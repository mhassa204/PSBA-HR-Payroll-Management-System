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hassan/Downloads/"/>
    </mc:Choice>
  </mc:AlternateContent>
  <xr:revisionPtr revIDLastSave="0" documentId="13_ncr:1_{61C6CB72-B9AA-2D45-8619-BEE5700283AD}" xr6:coauthVersionLast="47" xr6:coauthVersionMax="47" xr10:uidLastSave="{00000000-0000-0000-0000-000000000000}"/>
  <bookViews>
    <workbookView xWindow="0" yWindow="520" windowWidth="23260" windowHeight="13900" xr2:uid="{44379413-D557-4E31-9921-08CE531A20A5}"/>
  </bookViews>
  <sheets>
    <sheet name="Data for HR Software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'Data for HR Software'!$A$1:$Z$1548</definedName>
    <definedName name="_xlnm.Print_Area" localSheetId="0">'Data for HR Software'!$A$1:$Z$1548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548" i="1" l="1"/>
  <c r="H1548" i="1"/>
  <c r="S1547" i="1"/>
  <c r="H1547" i="1"/>
  <c r="S1546" i="1"/>
  <c r="H1546" i="1"/>
  <c r="S1545" i="1"/>
  <c r="H1545" i="1"/>
  <c r="S1544" i="1"/>
  <c r="H1544" i="1"/>
  <c r="S1543" i="1"/>
  <c r="H1543" i="1"/>
  <c r="S1542" i="1"/>
  <c r="H1542" i="1"/>
  <c r="S1541" i="1"/>
  <c r="H1541" i="1"/>
  <c r="S1540" i="1"/>
  <c r="H1540" i="1"/>
  <c r="S1539" i="1"/>
  <c r="H1539" i="1"/>
  <c r="S1538" i="1"/>
  <c r="H1538" i="1"/>
  <c r="S1537" i="1"/>
  <c r="H1537" i="1"/>
  <c r="S1536" i="1"/>
  <c r="H1536" i="1"/>
  <c r="S1535" i="1"/>
  <c r="H1535" i="1"/>
  <c r="S1534" i="1"/>
  <c r="H1534" i="1"/>
  <c r="S1533" i="1"/>
  <c r="H1533" i="1"/>
  <c r="S1532" i="1"/>
  <c r="H1532" i="1"/>
  <c r="S1531" i="1"/>
  <c r="H1531" i="1"/>
  <c r="S1530" i="1"/>
  <c r="H1530" i="1"/>
  <c r="S1529" i="1"/>
  <c r="H1529" i="1"/>
  <c r="S1528" i="1"/>
  <c r="H1528" i="1"/>
  <c r="S1527" i="1"/>
  <c r="H1527" i="1"/>
  <c r="S1526" i="1"/>
  <c r="H1526" i="1"/>
  <c r="S1525" i="1"/>
  <c r="H1525" i="1"/>
  <c r="S1524" i="1"/>
  <c r="H1524" i="1"/>
  <c r="S1523" i="1"/>
  <c r="H1523" i="1"/>
  <c r="S1522" i="1"/>
  <c r="H1522" i="1"/>
  <c r="S1521" i="1"/>
  <c r="H1521" i="1"/>
  <c r="S1520" i="1"/>
  <c r="H1520" i="1"/>
  <c r="H1519" i="1"/>
  <c r="S1518" i="1"/>
  <c r="H1518" i="1"/>
  <c r="S1517" i="1"/>
  <c r="H1517" i="1"/>
  <c r="S1516" i="1"/>
  <c r="H1516" i="1"/>
  <c r="S1515" i="1"/>
  <c r="H1515" i="1"/>
  <c r="S1514" i="1"/>
  <c r="H1514" i="1"/>
  <c r="S1513" i="1"/>
  <c r="H1513" i="1"/>
  <c r="S1512" i="1"/>
  <c r="H1512" i="1"/>
  <c r="S1511" i="1"/>
  <c r="H1511" i="1"/>
  <c r="S1510" i="1"/>
  <c r="H1510" i="1"/>
  <c r="S1509" i="1"/>
  <c r="H1509" i="1"/>
  <c r="S1508" i="1"/>
  <c r="H1508" i="1"/>
  <c r="S1507" i="1"/>
  <c r="H1507" i="1"/>
  <c r="S1506" i="1"/>
  <c r="H1506" i="1"/>
  <c r="S1505" i="1"/>
  <c r="H1505" i="1"/>
  <c r="S1504" i="1"/>
  <c r="H1504" i="1"/>
  <c r="S1503" i="1"/>
  <c r="H1503" i="1"/>
  <c r="S1502" i="1"/>
  <c r="H1502" i="1"/>
  <c r="S1501" i="1"/>
  <c r="H1501" i="1"/>
  <c r="S1500" i="1"/>
  <c r="H1500" i="1"/>
  <c r="S1499" i="1"/>
  <c r="H1499" i="1"/>
  <c r="S1498" i="1"/>
  <c r="H1498" i="1"/>
  <c r="S1497" i="1"/>
  <c r="H1497" i="1"/>
  <c r="S1496" i="1"/>
  <c r="H1496" i="1"/>
  <c r="S1495" i="1"/>
  <c r="H1495" i="1"/>
  <c r="S1494" i="1"/>
  <c r="H1494" i="1"/>
  <c r="S1493" i="1"/>
  <c r="H1493" i="1"/>
  <c r="S1492" i="1"/>
  <c r="H1492" i="1"/>
  <c r="S1491" i="1"/>
  <c r="H1491" i="1"/>
  <c r="S1490" i="1"/>
  <c r="H1490" i="1"/>
  <c r="S1489" i="1"/>
  <c r="H1489" i="1"/>
  <c r="S1488" i="1"/>
  <c r="H1488" i="1"/>
  <c r="S1487" i="1"/>
  <c r="H1487" i="1"/>
  <c r="S1486" i="1"/>
  <c r="H1486" i="1"/>
  <c r="S1485" i="1"/>
  <c r="H1485" i="1"/>
  <c r="S1484" i="1"/>
  <c r="H1484" i="1"/>
  <c r="S1483" i="1"/>
  <c r="H1483" i="1"/>
  <c r="S1482" i="1"/>
  <c r="H1482" i="1"/>
  <c r="S1481" i="1"/>
  <c r="H1481" i="1"/>
  <c r="S1480" i="1"/>
  <c r="H1480" i="1"/>
  <c r="S1479" i="1"/>
  <c r="H1479" i="1"/>
  <c r="S1478" i="1"/>
  <c r="H1478" i="1"/>
  <c r="S1477" i="1"/>
  <c r="H1477" i="1"/>
  <c r="S1476" i="1"/>
  <c r="H1476" i="1"/>
  <c r="S1475" i="1"/>
  <c r="H1475" i="1"/>
  <c r="S1474" i="1"/>
  <c r="H1474" i="1"/>
  <c r="S1473" i="1"/>
  <c r="H1473" i="1"/>
  <c r="S1472" i="1"/>
  <c r="H1472" i="1"/>
  <c r="S1471" i="1"/>
  <c r="H1471" i="1"/>
  <c r="S1470" i="1"/>
  <c r="H1470" i="1"/>
  <c r="S1469" i="1"/>
  <c r="H1469" i="1"/>
  <c r="S1468" i="1"/>
  <c r="H1468" i="1"/>
  <c r="S1467" i="1"/>
  <c r="H1467" i="1"/>
  <c r="S1466" i="1"/>
  <c r="H1466" i="1"/>
  <c r="S1465" i="1"/>
  <c r="H1465" i="1"/>
  <c r="S1464" i="1"/>
  <c r="H1464" i="1"/>
  <c r="S1463" i="1"/>
  <c r="H1463" i="1"/>
  <c r="S1462" i="1"/>
  <c r="H1462" i="1"/>
  <c r="S1461" i="1"/>
  <c r="H1461" i="1"/>
  <c r="S1460" i="1"/>
  <c r="H1460" i="1"/>
  <c r="S1459" i="1"/>
  <c r="H1459" i="1"/>
  <c r="S1458" i="1"/>
  <c r="H1458" i="1"/>
  <c r="S1457" i="1"/>
  <c r="H1457" i="1"/>
  <c r="S1456" i="1"/>
  <c r="H1456" i="1"/>
  <c r="S1455" i="1"/>
  <c r="H1455" i="1"/>
  <c r="S1454" i="1"/>
  <c r="H1454" i="1"/>
  <c r="S1453" i="1"/>
  <c r="H1453" i="1"/>
  <c r="S1452" i="1"/>
  <c r="H1452" i="1"/>
  <c r="S1451" i="1"/>
  <c r="H1451" i="1"/>
  <c r="S1450" i="1"/>
  <c r="H1450" i="1"/>
  <c r="S1449" i="1"/>
  <c r="H1449" i="1"/>
  <c r="S1448" i="1"/>
  <c r="H1448" i="1"/>
  <c r="S1447" i="1"/>
  <c r="H1447" i="1"/>
  <c r="S1446" i="1"/>
  <c r="H1446" i="1"/>
  <c r="S1445" i="1"/>
  <c r="H1445" i="1"/>
  <c r="S1444" i="1"/>
  <c r="H1444" i="1"/>
  <c r="S1443" i="1"/>
  <c r="H1443" i="1"/>
  <c r="S1442" i="1"/>
  <c r="H1442" i="1"/>
  <c r="S1441" i="1"/>
  <c r="H1441" i="1"/>
  <c r="S1440" i="1"/>
  <c r="H1440" i="1"/>
  <c r="S1439" i="1"/>
  <c r="H1439" i="1"/>
  <c r="S1438" i="1"/>
  <c r="H1438" i="1"/>
  <c r="S1437" i="1"/>
  <c r="H1437" i="1"/>
  <c r="S1436" i="1"/>
  <c r="H1436" i="1"/>
  <c r="S1435" i="1"/>
  <c r="H1435" i="1"/>
  <c r="S1434" i="1"/>
  <c r="H1434" i="1"/>
  <c r="S1433" i="1"/>
  <c r="H1433" i="1"/>
  <c r="S1432" i="1"/>
  <c r="H1432" i="1"/>
  <c r="S1431" i="1"/>
  <c r="H1431" i="1"/>
  <c r="S1430" i="1"/>
  <c r="H1430" i="1"/>
  <c r="S1429" i="1"/>
  <c r="H1429" i="1"/>
  <c r="S1428" i="1"/>
  <c r="H1428" i="1"/>
  <c r="S1427" i="1"/>
  <c r="H1427" i="1"/>
  <c r="S1426" i="1"/>
  <c r="H1426" i="1"/>
  <c r="S1425" i="1"/>
  <c r="H1425" i="1"/>
  <c r="S1424" i="1"/>
  <c r="H1424" i="1"/>
  <c r="S1423" i="1"/>
  <c r="H1423" i="1"/>
  <c r="S1422" i="1"/>
  <c r="H1422" i="1"/>
  <c r="S1421" i="1"/>
  <c r="H1421" i="1"/>
  <c r="S1420" i="1"/>
  <c r="H1420" i="1"/>
  <c r="S1419" i="1"/>
  <c r="H1419" i="1"/>
  <c r="S1418" i="1"/>
  <c r="H1418" i="1"/>
  <c r="S1417" i="1"/>
  <c r="H1417" i="1"/>
  <c r="S1416" i="1"/>
  <c r="H1416" i="1"/>
  <c r="S1415" i="1"/>
  <c r="H1415" i="1"/>
  <c r="S1414" i="1"/>
  <c r="H1414" i="1"/>
  <c r="S1413" i="1"/>
  <c r="H1413" i="1"/>
  <c r="S1412" i="1"/>
  <c r="H1412" i="1"/>
  <c r="S1411" i="1"/>
  <c r="H1411" i="1"/>
  <c r="S1410" i="1"/>
  <c r="H1410" i="1"/>
  <c r="S1409" i="1"/>
  <c r="H1409" i="1"/>
  <c r="S1408" i="1"/>
  <c r="H1408" i="1"/>
  <c r="S1407" i="1"/>
  <c r="H1407" i="1"/>
  <c r="S1406" i="1"/>
  <c r="H1406" i="1"/>
  <c r="S1405" i="1"/>
  <c r="H1405" i="1"/>
  <c r="S1404" i="1"/>
  <c r="H1404" i="1"/>
  <c r="S1403" i="1"/>
  <c r="H1403" i="1"/>
  <c r="S1402" i="1"/>
  <c r="H1402" i="1"/>
  <c r="S1401" i="1"/>
  <c r="H1401" i="1"/>
  <c r="S1400" i="1"/>
  <c r="H1400" i="1"/>
  <c r="S1399" i="1"/>
  <c r="H1399" i="1"/>
  <c r="S1398" i="1"/>
  <c r="H1398" i="1"/>
  <c r="S1397" i="1"/>
  <c r="H1397" i="1"/>
  <c r="S1396" i="1"/>
  <c r="H1396" i="1"/>
  <c r="S1395" i="1"/>
  <c r="H1395" i="1"/>
  <c r="S1394" i="1"/>
  <c r="H1394" i="1"/>
  <c r="S1393" i="1"/>
  <c r="H1393" i="1"/>
  <c r="S1392" i="1"/>
  <c r="H1392" i="1"/>
  <c r="H1391" i="1"/>
  <c r="S1390" i="1"/>
  <c r="H1390" i="1"/>
  <c r="S1389" i="1"/>
  <c r="H1389" i="1"/>
  <c r="S1388" i="1"/>
  <c r="H1388" i="1"/>
  <c r="S1387" i="1"/>
  <c r="H1387" i="1"/>
  <c r="S1386" i="1"/>
  <c r="H1386" i="1"/>
  <c r="S1385" i="1"/>
  <c r="H1385" i="1"/>
  <c r="S1384" i="1"/>
  <c r="H1384" i="1"/>
  <c r="S1383" i="1"/>
  <c r="H1383" i="1"/>
  <c r="S1382" i="1"/>
  <c r="H1382" i="1"/>
  <c r="S1381" i="1"/>
  <c r="H1381" i="1"/>
  <c r="S1380" i="1"/>
  <c r="H1380" i="1"/>
  <c r="S1379" i="1"/>
  <c r="H1379" i="1"/>
  <c r="S1378" i="1"/>
  <c r="H1378" i="1"/>
  <c r="S1377" i="1"/>
  <c r="H1377" i="1"/>
  <c r="S1376" i="1"/>
  <c r="H1376" i="1"/>
  <c r="S1375" i="1"/>
  <c r="H1375" i="1"/>
  <c r="S1374" i="1"/>
  <c r="H1374" i="1"/>
  <c r="S1373" i="1"/>
  <c r="H1373" i="1"/>
  <c r="S1372" i="1"/>
  <c r="H1372" i="1"/>
  <c r="S1371" i="1"/>
  <c r="H1371" i="1"/>
  <c r="S1370" i="1"/>
  <c r="H1370" i="1"/>
  <c r="S1369" i="1"/>
  <c r="H1369" i="1"/>
  <c r="S1368" i="1"/>
  <c r="H1368" i="1"/>
  <c r="S1367" i="1"/>
  <c r="H1367" i="1"/>
  <c r="S1366" i="1"/>
  <c r="H1366" i="1"/>
  <c r="S1365" i="1"/>
  <c r="H1365" i="1"/>
  <c r="S1364" i="1"/>
  <c r="H1364" i="1"/>
  <c r="S1363" i="1"/>
  <c r="H1363" i="1"/>
  <c r="S1362" i="1"/>
  <c r="H1362" i="1"/>
  <c r="S1361" i="1"/>
  <c r="H1361" i="1"/>
  <c r="S1360" i="1"/>
  <c r="H1360" i="1"/>
  <c r="S1359" i="1"/>
  <c r="H1359" i="1"/>
  <c r="S1358" i="1"/>
  <c r="H1358" i="1"/>
  <c r="S1357" i="1"/>
  <c r="H1357" i="1"/>
  <c r="S1356" i="1"/>
  <c r="H1356" i="1"/>
  <c r="S1355" i="1"/>
  <c r="H1355" i="1"/>
  <c r="S1354" i="1"/>
  <c r="H1354" i="1"/>
  <c r="S1353" i="1"/>
  <c r="H1353" i="1"/>
  <c r="S1352" i="1"/>
  <c r="H1352" i="1"/>
  <c r="S1351" i="1"/>
  <c r="H1351" i="1"/>
  <c r="S1350" i="1"/>
  <c r="H1350" i="1"/>
  <c r="S1349" i="1"/>
  <c r="H1349" i="1"/>
  <c r="S1348" i="1"/>
  <c r="H1348" i="1"/>
  <c r="S1347" i="1"/>
  <c r="H1347" i="1"/>
  <c r="S1346" i="1"/>
  <c r="H1346" i="1"/>
  <c r="S1345" i="1"/>
  <c r="H1345" i="1"/>
  <c r="S1344" i="1"/>
  <c r="H1344" i="1"/>
  <c r="S1343" i="1"/>
  <c r="H1343" i="1"/>
  <c r="H1342" i="1"/>
  <c r="S1341" i="1"/>
  <c r="H1341" i="1"/>
  <c r="S1340" i="1"/>
  <c r="H1340" i="1"/>
  <c r="S1339" i="1"/>
  <c r="H1339" i="1"/>
  <c r="S1338" i="1"/>
  <c r="H1338" i="1"/>
  <c r="S1337" i="1"/>
  <c r="H1337" i="1"/>
  <c r="S1336" i="1"/>
  <c r="H1336" i="1"/>
  <c r="S1335" i="1"/>
  <c r="H1335" i="1"/>
  <c r="S1334" i="1"/>
  <c r="H1334" i="1"/>
  <c r="S1333" i="1"/>
  <c r="H1333" i="1"/>
  <c r="S1332" i="1"/>
  <c r="H1332" i="1"/>
  <c r="S1331" i="1"/>
  <c r="H1331" i="1"/>
  <c r="S1330" i="1"/>
  <c r="H1330" i="1"/>
  <c r="S1329" i="1"/>
  <c r="H1329" i="1"/>
  <c r="S1328" i="1"/>
  <c r="H1328" i="1"/>
  <c r="S1327" i="1"/>
  <c r="H1327" i="1"/>
  <c r="S1326" i="1"/>
  <c r="H1326" i="1"/>
  <c r="S1325" i="1"/>
  <c r="H1325" i="1"/>
  <c r="S1324" i="1"/>
  <c r="H1324" i="1"/>
  <c r="S1323" i="1"/>
  <c r="H1323" i="1"/>
  <c r="S1322" i="1"/>
  <c r="H1322" i="1"/>
  <c r="S1321" i="1"/>
  <c r="H1321" i="1"/>
  <c r="S1320" i="1"/>
  <c r="H1320" i="1"/>
  <c r="S1319" i="1"/>
  <c r="H1319" i="1"/>
  <c r="S1318" i="1"/>
  <c r="H1318" i="1"/>
  <c r="S1317" i="1"/>
  <c r="H1317" i="1"/>
  <c r="S1316" i="1"/>
  <c r="H1316" i="1"/>
  <c r="S1315" i="1"/>
  <c r="H1315" i="1"/>
  <c r="S1314" i="1"/>
  <c r="H1314" i="1"/>
  <c r="S1313" i="1"/>
  <c r="H1313" i="1"/>
  <c r="S1312" i="1"/>
  <c r="H1312" i="1"/>
  <c r="S1311" i="1"/>
  <c r="H1311" i="1"/>
  <c r="S1310" i="1"/>
  <c r="H1310" i="1"/>
  <c r="S1309" i="1"/>
  <c r="H1309" i="1"/>
  <c r="S1308" i="1"/>
  <c r="H1308" i="1"/>
  <c r="S1307" i="1"/>
  <c r="H1307" i="1"/>
  <c r="S1306" i="1"/>
  <c r="H1306" i="1"/>
  <c r="S1305" i="1"/>
  <c r="H1305" i="1"/>
  <c r="S1304" i="1"/>
  <c r="H1304" i="1"/>
  <c r="S1303" i="1"/>
  <c r="H1303" i="1"/>
  <c r="S1302" i="1"/>
  <c r="H1302" i="1"/>
  <c r="S1301" i="1"/>
  <c r="H1301" i="1"/>
  <c r="S1300" i="1"/>
  <c r="H1300" i="1"/>
  <c r="S1299" i="1"/>
  <c r="H1299" i="1"/>
  <c r="S1298" i="1"/>
  <c r="H1298" i="1"/>
  <c r="S1297" i="1"/>
  <c r="H1297" i="1"/>
  <c r="S1296" i="1"/>
  <c r="H1296" i="1"/>
  <c r="S1295" i="1"/>
  <c r="H1295" i="1"/>
  <c r="S1294" i="1"/>
  <c r="H1294" i="1"/>
  <c r="S1293" i="1"/>
  <c r="H1293" i="1"/>
  <c r="S1292" i="1"/>
  <c r="H1292" i="1"/>
  <c r="S1291" i="1"/>
  <c r="H1291" i="1"/>
  <c r="S1290" i="1"/>
  <c r="H1290" i="1"/>
  <c r="S1289" i="1"/>
  <c r="H1289" i="1"/>
  <c r="S1288" i="1"/>
  <c r="H1288" i="1"/>
  <c r="S1287" i="1"/>
  <c r="H1287" i="1"/>
  <c r="S1286" i="1"/>
  <c r="H1286" i="1"/>
  <c r="S1285" i="1"/>
  <c r="H1285" i="1"/>
  <c r="S1284" i="1"/>
  <c r="H1284" i="1"/>
  <c r="S1283" i="1"/>
  <c r="H1283" i="1"/>
  <c r="S1282" i="1"/>
  <c r="H1282" i="1"/>
  <c r="S1281" i="1"/>
  <c r="H1281" i="1"/>
  <c r="S1280" i="1"/>
  <c r="H1280" i="1"/>
  <c r="S1279" i="1"/>
  <c r="H1279" i="1"/>
  <c r="S1278" i="1"/>
  <c r="H1278" i="1"/>
  <c r="S1277" i="1"/>
  <c r="H1277" i="1"/>
  <c r="S1276" i="1"/>
  <c r="H1276" i="1"/>
  <c r="S1275" i="1"/>
  <c r="H1275" i="1"/>
  <c r="S1274" i="1"/>
  <c r="H1274" i="1"/>
  <c r="S1273" i="1"/>
  <c r="H1273" i="1"/>
  <c r="S1272" i="1"/>
  <c r="H1272" i="1"/>
  <c r="S1271" i="1"/>
  <c r="H1271" i="1"/>
  <c r="S1270" i="1"/>
  <c r="H1270" i="1"/>
  <c r="S1269" i="1"/>
  <c r="H1269" i="1"/>
  <c r="S1268" i="1"/>
  <c r="H1268" i="1"/>
  <c r="S1267" i="1"/>
  <c r="H1267" i="1"/>
  <c r="S1266" i="1"/>
  <c r="H1266" i="1"/>
  <c r="S1265" i="1"/>
  <c r="H1265" i="1"/>
  <c r="S1264" i="1"/>
  <c r="H1264" i="1"/>
  <c r="S1263" i="1"/>
  <c r="H1263" i="1"/>
  <c r="S1262" i="1"/>
  <c r="H1262" i="1"/>
  <c r="H1261" i="1"/>
  <c r="S1260" i="1"/>
  <c r="H1260" i="1"/>
  <c r="S1259" i="1"/>
  <c r="H1259" i="1"/>
  <c r="S1258" i="1"/>
  <c r="H1258" i="1"/>
  <c r="S1257" i="1"/>
  <c r="H1257" i="1"/>
  <c r="S1256" i="1"/>
  <c r="H1256" i="1"/>
  <c r="S1255" i="1"/>
  <c r="H1255" i="1"/>
  <c r="S1254" i="1"/>
  <c r="H1254" i="1"/>
  <c r="S1253" i="1"/>
  <c r="H1253" i="1"/>
  <c r="S1252" i="1"/>
  <c r="H1252" i="1"/>
  <c r="S1251" i="1"/>
  <c r="H1251" i="1"/>
  <c r="S1250" i="1"/>
  <c r="H1250" i="1"/>
  <c r="S1249" i="1"/>
  <c r="H1249" i="1"/>
  <c r="S1248" i="1"/>
  <c r="H1248" i="1"/>
  <c r="S1247" i="1"/>
  <c r="H1247" i="1"/>
  <c r="S1246" i="1"/>
  <c r="H1246" i="1"/>
  <c r="S1245" i="1"/>
  <c r="H1245" i="1"/>
  <c r="H1244" i="1"/>
  <c r="S1243" i="1"/>
  <c r="H1243" i="1"/>
  <c r="S1242" i="1"/>
  <c r="H1242" i="1"/>
  <c r="S1241" i="1"/>
  <c r="H1241" i="1"/>
  <c r="S1240" i="1"/>
  <c r="H1240" i="1"/>
  <c r="S1239" i="1"/>
  <c r="H1239" i="1"/>
  <c r="S1238" i="1"/>
  <c r="H1238" i="1"/>
  <c r="S1237" i="1"/>
  <c r="H1237" i="1"/>
  <c r="S1236" i="1"/>
  <c r="H1236" i="1"/>
  <c r="S1235" i="1"/>
  <c r="H1235" i="1"/>
  <c r="H1234" i="1"/>
  <c r="S1233" i="1"/>
  <c r="H1233" i="1"/>
  <c r="S1232" i="1"/>
  <c r="H1232" i="1"/>
  <c r="S1231" i="1"/>
  <c r="H1231" i="1"/>
  <c r="S1230" i="1"/>
  <c r="H1230" i="1"/>
  <c r="S1229" i="1"/>
  <c r="H1229" i="1"/>
  <c r="S1228" i="1"/>
  <c r="H1228" i="1"/>
  <c r="S1227" i="1"/>
  <c r="H1227" i="1"/>
  <c r="S1226" i="1"/>
  <c r="H1226" i="1"/>
  <c r="S1225" i="1"/>
  <c r="H1225" i="1"/>
  <c r="S1224" i="1"/>
  <c r="H1224" i="1"/>
  <c r="S1223" i="1"/>
  <c r="H1223" i="1"/>
  <c r="S1222" i="1"/>
  <c r="H1222" i="1"/>
  <c r="S1221" i="1"/>
  <c r="H1221" i="1"/>
  <c r="S1220" i="1"/>
  <c r="H1220" i="1"/>
  <c r="S1219" i="1"/>
  <c r="H1219" i="1"/>
  <c r="S1218" i="1"/>
  <c r="H1218" i="1"/>
  <c r="S1217" i="1"/>
  <c r="H1217" i="1"/>
  <c r="S1216" i="1"/>
  <c r="H1216" i="1"/>
  <c r="S1215" i="1"/>
  <c r="H1215" i="1"/>
  <c r="S1214" i="1"/>
  <c r="H1214" i="1"/>
  <c r="S1213" i="1"/>
  <c r="H1213" i="1"/>
  <c r="S1212" i="1"/>
  <c r="H1212" i="1"/>
  <c r="S1211" i="1"/>
  <c r="H1211" i="1"/>
  <c r="S1210" i="1"/>
  <c r="H1210" i="1"/>
  <c r="S1209" i="1"/>
  <c r="H1209" i="1"/>
  <c r="H1208" i="1"/>
  <c r="S1207" i="1"/>
  <c r="H1207" i="1"/>
  <c r="S1206" i="1"/>
  <c r="H1206" i="1"/>
  <c r="S1205" i="1"/>
  <c r="H1205" i="1"/>
  <c r="S1204" i="1"/>
  <c r="H1204" i="1"/>
  <c r="S1203" i="1"/>
  <c r="H1203" i="1"/>
  <c r="S1202" i="1"/>
  <c r="H1202" i="1"/>
  <c r="S1201" i="1"/>
  <c r="H1201" i="1"/>
  <c r="S1200" i="1"/>
  <c r="H1200" i="1"/>
  <c r="S1199" i="1"/>
  <c r="H1199" i="1"/>
  <c r="S1198" i="1"/>
  <c r="H1198" i="1"/>
  <c r="S1197" i="1"/>
  <c r="H1197" i="1"/>
  <c r="S1196" i="1"/>
  <c r="H1196" i="1"/>
  <c r="S1195" i="1"/>
  <c r="H1195" i="1"/>
  <c r="S1194" i="1"/>
  <c r="H1194" i="1"/>
  <c r="S1193" i="1"/>
  <c r="H1193" i="1"/>
  <c r="S1192" i="1"/>
  <c r="H1192" i="1"/>
  <c r="S1191" i="1"/>
  <c r="H1191" i="1"/>
  <c r="S1190" i="1"/>
  <c r="H1190" i="1"/>
  <c r="S1189" i="1"/>
  <c r="H1189" i="1"/>
  <c r="S1188" i="1"/>
  <c r="H1188" i="1"/>
  <c r="S1187" i="1"/>
  <c r="H1187" i="1"/>
  <c r="S1186" i="1"/>
  <c r="H1186" i="1"/>
  <c r="S1185" i="1"/>
  <c r="H1185" i="1"/>
  <c r="S1184" i="1"/>
  <c r="H1184" i="1"/>
  <c r="S1183" i="1"/>
  <c r="H1183" i="1"/>
  <c r="S1182" i="1"/>
  <c r="H1182" i="1"/>
  <c r="S1181" i="1"/>
  <c r="H1181" i="1"/>
  <c r="S1180" i="1"/>
  <c r="H1180" i="1"/>
  <c r="S1179" i="1"/>
  <c r="H1179" i="1"/>
  <c r="S1178" i="1"/>
  <c r="H1178" i="1"/>
  <c r="S1177" i="1"/>
  <c r="H1177" i="1"/>
  <c r="S1176" i="1"/>
  <c r="H1176" i="1"/>
  <c r="S1175" i="1"/>
  <c r="H1175" i="1"/>
  <c r="S1174" i="1"/>
  <c r="H1174" i="1"/>
  <c r="S1173" i="1"/>
  <c r="H1173" i="1"/>
  <c r="S1172" i="1"/>
  <c r="H1172" i="1"/>
  <c r="S1171" i="1"/>
  <c r="H1171" i="1"/>
  <c r="S1170" i="1"/>
  <c r="H1170" i="1"/>
  <c r="H1169" i="1"/>
  <c r="S1168" i="1"/>
  <c r="H1168" i="1"/>
  <c r="S1167" i="1"/>
  <c r="H1167" i="1"/>
  <c r="S1166" i="1"/>
  <c r="H1166" i="1"/>
  <c r="S1165" i="1"/>
  <c r="H1165" i="1"/>
  <c r="S1164" i="1"/>
  <c r="H1164" i="1"/>
  <c r="S1163" i="1"/>
  <c r="H1163" i="1"/>
  <c r="S1162" i="1"/>
  <c r="H1162" i="1"/>
  <c r="S1161" i="1"/>
  <c r="H1161" i="1"/>
  <c r="S1160" i="1"/>
  <c r="H1160" i="1"/>
  <c r="S1159" i="1"/>
  <c r="H1159" i="1"/>
  <c r="S1158" i="1"/>
  <c r="H1158" i="1"/>
  <c r="S1157" i="1"/>
  <c r="H1157" i="1"/>
  <c r="S1156" i="1"/>
  <c r="H1156" i="1"/>
  <c r="S1155" i="1"/>
  <c r="H1155" i="1"/>
  <c r="S1154" i="1"/>
  <c r="H1154" i="1"/>
  <c r="S1153" i="1"/>
  <c r="H1153" i="1"/>
  <c r="H1152" i="1"/>
  <c r="Y1151" i="1"/>
  <c r="S1151" i="1"/>
  <c r="H1151" i="1"/>
  <c r="Y1150" i="1"/>
  <c r="S1150" i="1"/>
  <c r="H1150" i="1"/>
  <c r="Y1149" i="1"/>
  <c r="S1149" i="1"/>
  <c r="H1149" i="1"/>
  <c r="S1148" i="1"/>
  <c r="H1148" i="1"/>
  <c r="Y1147" i="1"/>
  <c r="S1147" i="1"/>
  <c r="H1147" i="1"/>
  <c r="Y1146" i="1"/>
  <c r="S1146" i="1"/>
  <c r="H1146" i="1"/>
  <c r="Y1145" i="1"/>
  <c r="S1145" i="1"/>
  <c r="H1145" i="1"/>
  <c r="Y1144" i="1"/>
  <c r="S1144" i="1"/>
  <c r="H1144" i="1"/>
  <c r="Y1143" i="1"/>
  <c r="S1143" i="1"/>
  <c r="H1143" i="1"/>
  <c r="Y1142" i="1"/>
  <c r="S1142" i="1"/>
  <c r="H1142" i="1"/>
  <c r="S1141" i="1"/>
  <c r="H1141" i="1"/>
  <c r="Y1140" i="1"/>
  <c r="S1140" i="1"/>
  <c r="H1140" i="1"/>
  <c r="S1139" i="1"/>
  <c r="H1139" i="1"/>
  <c r="S1138" i="1"/>
  <c r="H1138" i="1"/>
  <c r="S1137" i="1"/>
  <c r="H1137" i="1"/>
  <c r="Y1136" i="1"/>
  <c r="S1136" i="1"/>
  <c r="H1136" i="1"/>
  <c r="Y1135" i="1"/>
  <c r="S1135" i="1"/>
  <c r="H1135" i="1"/>
  <c r="Y1134" i="1"/>
  <c r="S1134" i="1"/>
  <c r="H1134" i="1"/>
  <c r="S1133" i="1"/>
  <c r="H1133" i="1"/>
  <c r="Y1132" i="1"/>
  <c r="S1132" i="1"/>
  <c r="H1132" i="1"/>
  <c r="S1131" i="1"/>
  <c r="H1131" i="1"/>
  <c r="S1130" i="1"/>
  <c r="H1130" i="1"/>
  <c r="Y1129" i="1"/>
  <c r="S1129" i="1"/>
  <c r="H1129" i="1"/>
  <c r="Y1128" i="1"/>
  <c r="S1128" i="1"/>
  <c r="H1128" i="1"/>
  <c r="S1127" i="1"/>
  <c r="H1127" i="1"/>
  <c r="Y1126" i="1"/>
  <c r="S1126" i="1"/>
  <c r="H1126" i="1"/>
  <c r="Y1125" i="1"/>
  <c r="S1125" i="1"/>
  <c r="H1125" i="1"/>
  <c r="Y1124" i="1"/>
  <c r="S1124" i="1"/>
  <c r="H1124" i="1"/>
  <c r="Y1123" i="1"/>
  <c r="S1123" i="1"/>
  <c r="H1123" i="1"/>
  <c r="Y1122" i="1"/>
  <c r="S1122" i="1"/>
  <c r="H1122" i="1"/>
  <c r="Y1121" i="1"/>
  <c r="S1121" i="1"/>
  <c r="H1121" i="1"/>
  <c r="S1120" i="1"/>
  <c r="H1120" i="1"/>
  <c r="Y1119" i="1"/>
  <c r="S1119" i="1"/>
  <c r="H1119" i="1"/>
  <c r="Y1118" i="1"/>
  <c r="S1118" i="1"/>
  <c r="H1118" i="1"/>
  <c r="Y1117" i="1"/>
  <c r="S1117" i="1"/>
  <c r="H1117" i="1"/>
  <c r="Y1116" i="1"/>
  <c r="S1116" i="1"/>
  <c r="H1116" i="1"/>
  <c r="Y1115" i="1"/>
  <c r="S1115" i="1"/>
  <c r="H1115" i="1"/>
  <c r="Y1114" i="1"/>
  <c r="S1114" i="1"/>
  <c r="H1114" i="1"/>
  <c r="Y1113" i="1"/>
  <c r="S1113" i="1"/>
  <c r="H1113" i="1"/>
  <c r="S1112" i="1"/>
  <c r="H1112" i="1"/>
  <c r="Y1111" i="1"/>
  <c r="S1111" i="1"/>
  <c r="H1111" i="1"/>
  <c r="S1110" i="1"/>
  <c r="H1110" i="1"/>
  <c r="S1109" i="1"/>
  <c r="H1109" i="1"/>
  <c r="S1108" i="1"/>
  <c r="H1108" i="1"/>
  <c r="S1107" i="1"/>
  <c r="H1107" i="1"/>
  <c r="S1106" i="1"/>
  <c r="H1106" i="1"/>
  <c r="S1105" i="1"/>
  <c r="H1105" i="1"/>
  <c r="S1104" i="1"/>
  <c r="H1104" i="1"/>
  <c r="S1103" i="1"/>
  <c r="H1103" i="1"/>
  <c r="S1102" i="1"/>
  <c r="H1102" i="1"/>
  <c r="S1101" i="1"/>
  <c r="H1101" i="1"/>
  <c r="S1100" i="1"/>
  <c r="H1100" i="1"/>
  <c r="S1099" i="1"/>
  <c r="H1099" i="1"/>
  <c r="S1098" i="1"/>
  <c r="H1098" i="1"/>
  <c r="H1097" i="1"/>
  <c r="H1096" i="1"/>
  <c r="S1095" i="1"/>
  <c r="H1095" i="1"/>
  <c r="S1094" i="1"/>
  <c r="H1094" i="1"/>
  <c r="S1093" i="1"/>
  <c r="H1093" i="1"/>
  <c r="S1092" i="1"/>
  <c r="H1092" i="1"/>
  <c r="S1091" i="1"/>
  <c r="H1091" i="1"/>
  <c r="S1090" i="1"/>
  <c r="H1090" i="1"/>
  <c r="S1089" i="1"/>
  <c r="H1089" i="1"/>
  <c r="S1088" i="1"/>
  <c r="H1088" i="1"/>
  <c r="S1087" i="1"/>
  <c r="H1087" i="1"/>
  <c r="S1086" i="1"/>
  <c r="H1086" i="1"/>
  <c r="S1085" i="1"/>
  <c r="H1085" i="1"/>
  <c r="S1084" i="1"/>
  <c r="H1084" i="1"/>
  <c r="S1083" i="1"/>
  <c r="H1083" i="1"/>
  <c r="S1082" i="1"/>
  <c r="H1082" i="1"/>
  <c r="S1081" i="1"/>
  <c r="H1081" i="1"/>
  <c r="S1080" i="1"/>
  <c r="H1080" i="1"/>
  <c r="S1079" i="1"/>
  <c r="H1079" i="1"/>
  <c r="S1078" i="1"/>
  <c r="H1078" i="1"/>
  <c r="S1077" i="1"/>
  <c r="H1077" i="1"/>
  <c r="S1076" i="1"/>
  <c r="H1076" i="1"/>
  <c r="S1075" i="1"/>
  <c r="H1075" i="1"/>
  <c r="S1074" i="1"/>
  <c r="H1074" i="1"/>
  <c r="S1073" i="1"/>
  <c r="H1073" i="1"/>
  <c r="S1072" i="1"/>
  <c r="H1072" i="1"/>
  <c r="S1071" i="1"/>
  <c r="H1071" i="1"/>
  <c r="S1070" i="1"/>
  <c r="H1070" i="1"/>
  <c r="S1069" i="1"/>
  <c r="H1069" i="1"/>
  <c r="S1068" i="1"/>
  <c r="H1068" i="1"/>
  <c r="S1067" i="1"/>
  <c r="H1067" i="1"/>
  <c r="S1066" i="1"/>
  <c r="H1066" i="1"/>
  <c r="S1065" i="1"/>
  <c r="H1065" i="1"/>
  <c r="S1064" i="1"/>
  <c r="H1064" i="1"/>
  <c r="S1063" i="1"/>
  <c r="H1063" i="1"/>
  <c r="S1062" i="1"/>
  <c r="H1062" i="1"/>
  <c r="S1061" i="1"/>
  <c r="H1061" i="1"/>
  <c r="S1060" i="1"/>
  <c r="H1060" i="1"/>
  <c r="S1059" i="1"/>
  <c r="H1059" i="1"/>
  <c r="S1058" i="1"/>
  <c r="H1058" i="1"/>
  <c r="S1057" i="1"/>
  <c r="H1057" i="1"/>
  <c r="S1056" i="1"/>
  <c r="H1056" i="1"/>
  <c r="S1055" i="1"/>
  <c r="H1055" i="1"/>
  <c r="S1054" i="1"/>
  <c r="H1054" i="1"/>
  <c r="S1053" i="1"/>
  <c r="H1053" i="1"/>
  <c r="S1052" i="1"/>
  <c r="H1052" i="1"/>
  <c r="S1051" i="1"/>
  <c r="H1051" i="1"/>
  <c r="S1050" i="1"/>
  <c r="H1050" i="1"/>
  <c r="S1049" i="1"/>
  <c r="H1049" i="1"/>
  <c r="S1048" i="1"/>
  <c r="H1048" i="1"/>
  <c r="S1047" i="1"/>
  <c r="H1047" i="1"/>
  <c r="S1046" i="1"/>
  <c r="H1046" i="1"/>
  <c r="S1045" i="1"/>
  <c r="H1045" i="1"/>
  <c r="S1044" i="1"/>
  <c r="H1044" i="1"/>
  <c r="S1043" i="1"/>
  <c r="H1043" i="1"/>
  <c r="S1042" i="1"/>
  <c r="H1042" i="1"/>
  <c r="S1041" i="1"/>
  <c r="H1041" i="1"/>
  <c r="S1040" i="1"/>
  <c r="H1040" i="1"/>
  <c r="S1039" i="1"/>
  <c r="H1039" i="1"/>
  <c r="S1038" i="1"/>
  <c r="H1038" i="1"/>
  <c r="S1037" i="1"/>
  <c r="H1037" i="1"/>
  <c r="S1036" i="1"/>
  <c r="H1036" i="1"/>
  <c r="S1035" i="1"/>
  <c r="H1035" i="1"/>
  <c r="S1034" i="1"/>
  <c r="H1034" i="1"/>
  <c r="S1033" i="1"/>
  <c r="H1033" i="1"/>
  <c r="S1032" i="1"/>
  <c r="H1032" i="1"/>
  <c r="S1031" i="1"/>
  <c r="H1031" i="1"/>
  <c r="S1030" i="1"/>
  <c r="H1030" i="1"/>
  <c r="S1029" i="1"/>
  <c r="H1029" i="1"/>
  <c r="S1028" i="1"/>
  <c r="H1028" i="1"/>
  <c r="S1027" i="1"/>
  <c r="H1027" i="1"/>
  <c r="S1026" i="1"/>
  <c r="H1026" i="1"/>
  <c r="S1025" i="1"/>
  <c r="H1025" i="1"/>
  <c r="S1024" i="1"/>
  <c r="H1024" i="1"/>
  <c r="S1023" i="1"/>
  <c r="H1023" i="1"/>
  <c r="S1022" i="1"/>
  <c r="H1022" i="1"/>
  <c r="S1021" i="1"/>
  <c r="H1021" i="1"/>
  <c r="S1020" i="1"/>
  <c r="H1020" i="1"/>
  <c r="S1019" i="1"/>
  <c r="H1019" i="1"/>
  <c r="S1018" i="1"/>
  <c r="H1018" i="1"/>
  <c r="S1017" i="1"/>
  <c r="H1017" i="1"/>
  <c r="S1016" i="1"/>
  <c r="H1016" i="1"/>
  <c r="S1015" i="1"/>
  <c r="H1015" i="1"/>
  <c r="S1014" i="1"/>
  <c r="H1014" i="1"/>
  <c r="S1013" i="1"/>
  <c r="H1013" i="1"/>
  <c r="S1012" i="1"/>
  <c r="H1012" i="1"/>
  <c r="S1011" i="1"/>
  <c r="H1011" i="1"/>
  <c r="S1010" i="1"/>
  <c r="H1010" i="1"/>
  <c r="S1009" i="1"/>
  <c r="H1009" i="1"/>
  <c r="S1008" i="1"/>
  <c r="H1008" i="1"/>
  <c r="S1007" i="1"/>
  <c r="H1007" i="1"/>
  <c r="S1006" i="1"/>
  <c r="H1006" i="1"/>
  <c r="S1005" i="1"/>
  <c r="H1005" i="1"/>
  <c r="S1004" i="1"/>
  <c r="H1004" i="1"/>
  <c r="S1003" i="1"/>
  <c r="H1003" i="1"/>
  <c r="S1002" i="1"/>
  <c r="H1002" i="1"/>
  <c r="S1001" i="1"/>
  <c r="H1001" i="1"/>
  <c r="S1000" i="1"/>
  <c r="H1000" i="1"/>
  <c r="S999" i="1"/>
  <c r="H999" i="1"/>
  <c r="S998" i="1"/>
  <c r="H998" i="1"/>
  <c r="S997" i="1"/>
  <c r="H997" i="1"/>
  <c r="S996" i="1"/>
  <c r="H996" i="1"/>
  <c r="S995" i="1"/>
  <c r="H995" i="1"/>
  <c r="S994" i="1"/>
  <c r="H994" i="1"/>
  <c r="S993" i="1"/>
  <c r="H993" i="1"/>
  <c r="S992" i="1"/>
  <c r="H992" i="1"/>
  <c r="S991" i="1"/>
  <c r="H991" i="1"/>
  <c r="S990" i="1"/>
  <c r="H990" i="1"/>
  <c r="S989" i="1"/>
  <c r="H989" i="1"/>
  <c r="S988" i="1"/>
  <c r="H988" i="1"/>
  <c r="S987" i="1"/>
  <c r="H987" i="1"/>
  <c r="S986" i="1"/>
  <c r="H986" i="1"/>
  <c r="S985" i="1"/>
  <c r="H985" i="1"/>
  <c r="H984" i="1"/>
  <c r="S983" i="1"/>
  <c r="H983" i="1"/>
  <c r="S982" i="1"/>
  <c r="H982" i="1"/>
  <c r="S981" i="1"/>
  <c r="H981" i="1"/>
  <c r="S980" i="1"/>
  <c r="H980" i="1"/>
  <c r="S979" i="1"/>
  <c r="H979" i="1"/>
  <c r="S978" i="1"/>
  <c r="H978" i="1"/>
  <c r="S977" i="1"/>
  <c r="H977" i="1"/>
  <c r="S976" i="1"/>
  <c r="H976" i="1"/>
  <c r="S975" i="1"/>
  <c r="H975" i="1"/>
  <c r="S974" i="1"/>
  <c r="H974" i="1"/>
  <c r="S973" i="1"/>
  <c r="H973" i="1"/>
  <c r="S972" i="1"/>
  <c r="H972" i="1"/>
  <c r="S971" i="1"/>
  <c r="H971" i="1"/>
  <c r="S970" i="1"/>
  <c r="H970" i="1"/>
  <c r="S969" i="1"/>
  <c r="H969" i="1"/>
  <c r="S968" i="1"/>
  <c r="H968" i="1"/>
  <c r="S967" i="1"/>
  <c r="H967" i="1"/>
  <c r="S966" i="1"/>
  <c r="H966" i="1"/>
  <c r="S965" i="1"/>
  <c r="H965" i="1"/>
  <c r="S964" i="1"/>
  <c r="H964" i="1"/>
  <c r="S963" i="1"/>
  <c r="H963" i="1"/>
  <c r="S962" i="1"/>
  <c r="H962" i="1"/>
  <c r="S961" i="1"/>
  <c r="H961" i="1"/>
  <c r="S960" i="1"/>
  <c r="H960" i="1"/>
  <c r="S959" i="1"/>
  <c r="H959" i="1"/>
  <c r="S958" i="1"/>
  <c r="H958" i="1"/>
  <c r="S957" i="1"/>
  <c r="H957" i="1"/>
  <c r="S956" i="1"/>
  <c r="H956" i="1"/>
  <c r="S955" i="1"/>
  <c r="H955" i="1"/>
  <c r="S954" i="1"/>
  <c r="H954" i="1"/>
  <c r="S953" i="1"/>
  <c r="H953" i="1"/>
  <c r="S952" i="1"/>
  <c r="H952" i="1"/>
  <c r="S951" i="1"/>
  <c r="H951" i="1"/>
  <c r="S950" i="1"/>
  <c r="H950" i="1"/>
  <c r="S949" i="1"/>
  <c r="H949" i="1"/>
  <c r="S948" i="1"/>
  <c r="H948" i="1"/>
  <c r="S947" i="1"/>
  <c r="H947" i="1"/>
  <c r="S946" i="1"/>
  <c r="H946" i="1"/>
  <c r="S945" i="1"/>
  <c r="H945" i="1"/>
  <c r="S944" i="1"/>
  <c r="H944" i="1"/>
  <c r="S943" i="1"/>
  <c r="H943" i="1"/>
  <c r="S942" i="1"/>
  <c r="H942" i="1"/>
  <c r="S941" i="1"/>
  <c r="H941" i="1"/>
  <c r="S940" i="1"/>
  <c r="H940" i="1"/>
  <c r="S939" i="1"/>
  <c r="H939" i="1"/>
  <c r="S938" i="1"/>
  <c r="H938" i="1"/>
  <c r="S937" i="1"/>
  <c r="H937" i="1"/>
  <c r="S936" i="1"/>
  <c r="H936" i="1"/>
  <c r="S935" i="1"/>
  <c r="H935" i="1"/>
  <c r="S934" i="1"/>
  <c r="H934" i="1"/>
  <c r="S933" i="1"/>
  <c r="H933" i="1"/>
  <c r="S932" i="1"/>
  <c r="H932" i="1"/>
  <c r="S931" i="1"/>
  <c r="H931" i="1"/>
  <c r="S930" i="1"/>
  <c r="H930" i="1"/>
  <c r="S929" i="1"/>
  <c r="H929" i="1"/>
  <c r="S928" i="1"/>
  <c r="H928" i="1"/>
  <c r="S927" i="1"/>
  <c r="H927" i="1"/>
  <c r="S926" i="1"/>
  <c r="H926" i="1"/>
  <c r="S925" i="1"/>
  <c r="H925" i="1"/>
  <c r="S924" i="1"/>
  <c r="H924" i="1"/>
  <c r="S923" i="1"/>
  <c r="H923" i="1"/>
  <c r="S922" i="1"/>
  <c r="H922" i="1"/>
  <c r="S921" i="1"/>
  <c r="H921" i="1"/>
  <c r="S920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S908" i="1"/>
  <c r="H908" i="1"/>
  <c r="S907" i="1"/>
  <c r="H907" i="1"/>
  <c r="S906" i="1"/>
  <c r="H906" i="1"/>
  <c r="S905" i="1"/>
  <c r="H905" i="1"/>
  <c r="S904" i="1"/>
  <c r="H904" i="1"/>
  <c r="S903" i="1"/>
  <c r="H903" i="1"/>
  <c r="S902" i="1"/>
  <c r="H902" i="1"/>
  <c r="S901" i="1"/>
  <c r="H901" i="1"/>
  <c r="S900" i="1"/>
  <c r="H900" i="1"/>
  <c r="S899" i="1"/>
  <c r="H899" i="1"/>
  <c r="S898" i="1"/>
  <c r="H898" i="1"/>
  <c r="S897" i="1"/>
  <c r="H897" i="1"/>
  <c r="S896" i="1"/>
  <c r="H896" i="1"/>
  <c r="S895" i="1"/>
  <c r="H895" i="1"/>
  <c r="S894" i="1"/>
  <c r="H894" i="1"/>
  <c r="S893" i="1"/>
  <c r="H893" i="1"/>
  <c r="S892" i="1"/>
  <c r="H892" i="1"/>
  <c r="S891" i="1"/>
  <c r="H891" i="1"/>
  <c r="S890" i="1"/>
  <c r="H890" i="1"/>
  <c r="S889" i="1"/>
  <c r="H889" i="1"/>
  <c r="S888" i="1"/>
  <c r="H888" i="1"/>
  <c r="S887" i="1"/>
  <c r="H887" i="1"/>
  <c r="S886" i="1"/>
  <c r="H886" i="1"/>
  <c r="S885" i="1"/>
  <c r="H885" i="1"/>
  <c r="S884" i="1"/>
  <c r="H884" i="1"/>
  <c r="S883" i="1"/>
  <c r="H883" i="1"/>
  <c r="S882" i="1"/>
  <c r="H882" i="1"/>
  <c r="S881" i="1"/>
  <c r="H881" i="1"/>
  <c r="S880" i="1"/>
  <c r="H880" i="1"/>
  <c r="S879" i="1"/>
  <c r="H879" i="1"/>
  <c r="S878" i="1"/>
  <c r="H878" i="1"/>
  <c r="S877" i="1"/>
  <c r="H877" i="1"/>
  <c r="S876" i="1"/>
  <c r="H876" i="1"/>
  <c r="S875" i="1"/>
  <c r="H875" i="1"/>
  <c r="S874" i="1"/>
  <c r="H874" i="1"/>
  <c r="S873" i="1"/>
  <c r="H873" i="1"/>
  <c r="S872" i="1"/>
  <c r="H872" i="1"/>
  <c r="S871" i="1"/>
  <c r="H871" i="1"/>
  <c r="S870" i="1"/>
  <c r="H870" i="1"/>
  <c r="S869" i="1"/>
  <c r="H869" i="1"/>
  <c r="S868" i="1"/>
  <c r="H868" i="1"/>
  <c r="S867" i="1"/>
  <c r="H867" i="1"/>
  <c r="S866" i="1"/>
  <c r="H866" i="1"/>
  <c r="S865" i="1"/>
  <c r="H865" i="1"/>
  <c r="S864" i="1"/>
  <c r="H864" i="1"/>
  <c r="S863" i="1"/>
  <c r="H863" i="1"/>
  <c r="S862" i="1"/>
  <c r="H862" i="1"/>
  <c r="S861" i="1"/>
  <c r="H861" i="1"/>
  <c r="S860" i="1"/>
  <c r="H860" i="1"/>
  <c r="S859" i="1"/>
  <c r="H859" i="1"/>
  <c r="S858" i="1"/>
  <c r="H858" i="1"/>
  <c r="S857" i="1"/>
  <c r="H857" i="1"/>
  <c r="S856" i="1"/>
  <c r="H856" i="1"/>
  <c r="S855" i="1"/>
  <c r="H855" i="1"/>
  <c r="S854" i="1"/>
  <c r="H854" i="1"/>
  <c r="S853" i="1"/>
  <c r="H853" i="1"/>
  <c r="S852" i="1"/>
  <c r="H852" i="1"/>
  <c r="S851" i="1"/>
  <c r="H851" i="1"/>
  <c r="S850" i="1"/>
  <c r="H850" i="1"/>
  <c r="S849" i="1"/>
  <c r="H849" i="1"/>
  <c r="S848" i="1"/>
  <c r="H848" i="1"/>
  <c r="S847" i="1"/>
  <c r="H847" i="1"/>
  <c r="S846" i="1"/>
  <c r="H846" i="1"/>
  <c r="S845" i="1"/>
  <c r="H845" i="1"/>
  <c r="S844" i="1"/>
  <c r="H844" i="1"/>
  <c r="S843" i="1"/>
  <c r="H843" i="1"/>
  <c r="S842" i="1"/>
  <c r="H842" i="1"/>
  <c r="S841" i="1"/>
  <c r="H841" i="1"/>
  <c r="S840" i="1"/>
  <c r="H840" i="1"/>
  <c r="S839" i="1"/>
  <c r="H839" i="1"/>
  <c r="S838" i="1"/>
  <c r="H838" i="1"/>
  <c r="S837" i="1"/>
  <c r="H837" i="1"/>
  <c r="S836" i="1"/>
  <c r="H836" i="1"/>
  <c r="S835" i="1"/>
  <c r="H835" i="1"/>
  <c r="S834" i="1"/>
  <c r="H834" i="1"/>
  <c r="S833" i="1"/>
  <c r="H833" i="1"/>
  <c r="S832" i="1"/>
  <c r="H832" i="1"/>
  <c r="S831" i="1"/>
  <c r="H831" i="1"/>
  <c r="S830" i="1"/>
  <c r="H830" i="1"/>
  <c r="S829" i="1"/>
  <c r="H829" i="1"/>
  <c r="S828" i="1"/>
  <c r="H828" i="1"/>
  <c r="S827" i="1"/>
  <c r="H827" i="1"/>
  <c r="S826" i="1"/>
  <c r="H826" i="1"/>
  <c r="S825" i="1"/>
  <c r="H825" i="1"/>
  <c r="S824" i="1"/>
  <c r="H824" i="1"/>
  <c r="S823" i="1"/>
  <c r="H823" i="1"/>
  <c r="S822" i="1"/>
  <c r="H822" i="1"/>
  <c r="S821" i="1"/>
  <c r="H821" i="1"/>
  <c r="S820" i="1"/>
  <c r="H820" i="1"/>
  <c r="S819" i="1"/>
  <c r="H819" i="1"/>
  <c r="S818" i="1"/>
  <c r="H818" i="1"/>
  <c r="S817" i="1"/>
  <c r="H817" i="1"/>
  <c r="S816" i="1"/>
  <c r="H816" i="1"/>
  <c r="S815" i="1"/>
  <c r="H815" i="1"/>
  <c r="S814" i="1"/>
  <c r="H814" i="1"/>
  <c r="S813" i="1"/>
  <c r="H813" i="1"/>
  <c r="S812" i="1"/>
  <c r="H812" i="1"/>
  <c r="S811" i="1"/>
  <c r="H811" i="1"/>
  <c r="S810" i="1"/>
  <c r="H810" i="1"/>
  <c r="S809" i="1"/>
  <c r="H809" i="1"/>
  <c r="S808" i="1"/>
  <c r="H808" i="1"/>
  <c r="S807" i="1"/>
  <c r="H807" i="1"/>
  <c r="S806" i="1"/>
  <c r="H806" i="1"/>
  <c r="S805" i="1"/>
  <c r="H805" i="1"/>
  <c r="S804" i="1"/>
  <c r="H804" i="1"/>
  <c r="S803" i="1"/>
  <c r="H803" i="1"/>
  <c r="S802" i="1"/>
  <c r="H802" i="1"/>
  <c r="S801" i="1"/>
  <c r="H801" i="1"/>
  <c r="S800" i="1"/>
  <c r="H800" i="1"/>
  <c r="S799" i="1"/>
  <c r="H799" i="1"/>
  <c r="S798" i="1"/>
  <c r="H798" i="1"/>
  <c r="S797" i="1"/>
  <c r="H797" i="1"/>
  <c r="S796" i="1"/>
  <c r="H796" i="1"/>
  <c r="S795" i="1"/>
  <c r="H795" i="1"/>
  <c r="S794" i="1"/>
  <c r="H794" i="1"/>
  <c r="S793" i="1"/>
  <c r="H793" i="1"/>
  <c r="S792" i="1"/>
  <c r="H792" i="1"/>
  <c r="S791" i="1"/>
  <c r="H791" i="1"/>
  <c r="S790" i="1"/>
  <c r="H790" i="1"/>
  <c r="S789" i="1"/>
  <c r="H789" i="1"/>
  <c r="S788" i="1"/>
  <c r="H788" i="1"/>
  <c r="S787" i="1"/>
  <c r="H787" i="1"/>
  <c r="S786" i="1"/>
  <c r="H786" i="1"/>
  <c r="S785" i="1"/>
  <c r="H785" i="1"/>
  <c r="S784" i="1"/>
  <c r="H784" i="1"/>
  <c r="S783" i="1"/>
  <c r="H783" i="1"/>
  <c r="S782" i="1"/>
  <c r="H782" i="1"/>
  <c r="S781" i="1"/>
  <c r="H781" i="1"/>
  <c r="S780" i="1"/>
  <c r="H780" i="1"/>
  <c r="S779" i="1"/>
  <c r="H779" i="1"/>
  <c r="S778" i="1"/>
  <c r="H778" i="1"/>
  <c r="S777" i="1"/>
  <c r="H777" i="1"/>
  <c r="S776" i="1"/>
  <c r="H776" i="1"/>
  <c r="S775" i="1"/>
  <c r="H775" i="1"/>
  <c r="S774" i="1"/>
  <c r="H774" i="1"/>
  <c r="S773" i="1"/>
  <c r="H773" i="1"/>
  <c r="S772" i="1"/>
  <c r="H772" i="1"/>
  <c r="S771" i="1"/>
  <c r="H771" i="1"/>
  <c r="S770" i="1"/>
  <c r="H770" i="1"/>
  <c r="S769" i="1"/>
  <c r="H769" i="1"/>
  <c r="S768" i="1"/>
  <c r="H768" i="1"/>
  <c r="S767" i="1"/>
  <c r="H767" i="1"/>
  <c r="S766" i="1"/>
  <c r="H766" i="1"/>
  <c r="S765" i="1"/>
  <c r="H765" i="1"/>
  <c r="S764" i="1"/>
  <c r="H764" i="1"/>
  <c r="S763" i="1"/>
  <c r="H763" i="1"/>
  <c r="S762" i="1"/>
  <c r="H762" i="1"/>
  <c r="S761" i="1"/>
  <c r="H761" i="1"/>
  <c r="S760" i="1"/>
  <c r="H760" i="1"/>
  <c r="S759" i="1"/>
  <c r="H759" i="1"/>
  <c r="S758" i="1"/>
  <c r="H758" i="1"/>
  <c r="S757" i="1"/>
  <c r="H757" i="1"/>
  <c r="S756" i="1"/>
  <c r="H756" i="1"/>
  <c r="S755" i="1"/>
  <c r="H755" i="1"/>
  <c r="S754" i="1"/>
  <c r="H754" i="1"/>
  <c r="S753" i="1"/>
  <c r="H753" i="1"/>
  <c r="S752" i="1"/>
  <c r="H752" i="1"/>
  <c r="S751" i="1"/>
  <c r="H751" i="1"/>
  <c r="S750" i="1"/>
  <c r="H750" i="1"/>
  <c r="S749" i="1"/>
  <c r="H749" i="1"/>
  <c r="S748" i="1"/>
  <c r="H748" i="1"/>
  <c r="S747" i="1"/>
  <c r="H747" i="1"/>
  <c r="S746" i="1"/>
  <c r="H746" i="1"/>
  <c r="S745" i="1"/>
  <c r="H745" i="1"/>
  <c r="S744" i="1"/>
  <c r="H744" i="1"/>
  <c r="S743" i="1"/>
  <c r="H743" i="1"/>
  <c r="S742" i="1"/>
  <c r="H742" i="1"/>
  <c r="H741" i="1"/>
  <c r="S740" i="1"/>
  <c r="H740" i="1"/>
  <c r="S739" i="1"/>
  <c r="H739" i="1"/>
  <c r="S738" i="1"/>
  <c r="H738" i="1"/>
  <c r="S737" i="1"/>
  <c r="H737" i="1"/>
  <c r="S736" i="1"/>
  <c r="H736" i="1"/>
  <c r="S735" i="1"/>
  <c r="H735" i="1"/>
  <c r="S734" i="1"/>
  <c r="H734" i="1"/>
  <c r="S733" i="1"/>
  <c r="H733" i="1"/>
  <c r="S732" i="1"/>
  <c r="H732" i="1"/>
  <c r="S731" i="1"/>
  <c r="H731" i="1"/>
  <c r="S730" i="1"/>
  <c r="H730" i="1"/>
  <c r="S729" i="1"/>
  <c r="H729" i="1"/>
  <c r="S728" i="1"/>
  <c r="H728" i="1"/>
  <c r="S727" i="1"/>
  <c r="H727" i="1"/>
  <c r="S726" i="1"/>
  <c r="H726" i="1"/>
  <c r="S725" i="1"/>
  <c r="H725" i="1"/>
  <c r="S724" i="1"/>
  <c r="H724" i="1"/>
  <c r="S723" i="1"/>
  <c r="H723" i="1"/>
  <c r="S722" i="1"/>
  <c r="H722" i="1"/>
  <c r="S721" i="1"/>
  <c r="H721" i="1"/>
  <c r="S720" i="1"/>
  <c r="H720" i="1"/>
  <c r="S719" i="1"/>
  <c r="H719" i="1"/>
  <c r="S718" i="1"/>
  <c r="H718" i="1"/>
  <c r="S717" i="1"/>
  <c r="H717" i="1"/>
  <c r="S716" i="1"/>
  <c r="H716" i="1"/>
  <c r="S715" i="1"/>
  <c r="H715" i="1"/>
  <c r="S714" i="1"/>
  <c r="H714" i="1"/>
  <c r="S713" i="1"/>
  <c r="H713" i="1"/>
  <c r="S712" i="1"/>
  <c r="H712" i="1"/>
  <c r="S711" i="1"/>
  <c r="H711" i="1"/>
  <c r="S710" i="1"/>
  <c r="H710" i="1"/>
  <c r="S709" i="1"/>
  <c r="H709" i="1"/>
  <c r="S708" i="1"/>
  <c r="H708" i="1"/>
  <c r="S707" i="1"/>
  <c r="H707" i="1"/>
  <c r="S706" i="1"/>
  <c r="H706" i="1"/>
  <c r="S705" i="1"/>
  <c r="H705" i="1"/>
  <c r="S704" i="1"/>
  <c r="H704" i="1"/>
  <c r="S703" i="1"/>
  <c r="H703" i="1"/>
  <c r="S702" i="1"/>
  <c r="H702" i="1"/>
  <c r="S701" i="1"/>
  <c r="H701" i="1"/>
  <c r="S700" i="1"/>
  <c r="H700" i="1"/>
  <c r="S699" i="1"/>
  <c r="H699" i="1"/>
  <c r="S698" i="1"/>
  <c r="H698" i="1"/>
  <c r="S697" i="1"/>
  <c r="H697" i="1"/>
  <c r="S696" i="1"/>
  <c r="H696" i="1"/>
  <c r="S695" i="1"/>
  <c r="H695" i="1"/>
  <c r="S694" i="1"/>
  <c r="H694" i="1"/>
  <c r="S693" i="1"/>
  <c r="H693" i="1"/>
  <c r="S692" i="1"/>
  <c r="H692" i="1"/>
  <c r="S691" i="1"/>
  <c r="H691" i="1"/>
  <c r="S690" i="1"/>
  <c r="H690" i="1"/>
  <c r="S689" i="1"/>
  <c r="H689" i="1"/>
  <c r="S688" i="1"/>
  <c r="H688" i="1"/>
  <c r="S687" i="1"/>
  <c r="H687" i="1"/>
  <c r="S686" i="1"/>
  <c r="H686" i="1"/>
  <c r="S685" i="1"/>
  <c r="H685" i="1"/>
  <c r="S684" i="1"/>
  <c r="H684" i="1"/>
  <c r="S683" i="1"/>
  <c r="H683" i="1"/>
  <c r="S682" i="1"/>
  <c r="H682" i="1"/>
  <c r="S681" i="1"/>
  <c r="H681" i="1"/>
  <c r="S680" i="1"/>
  <c r="H680" i="1"/>
  <c r="S679" i="1"/>
  <c r="H679" i="1"/>
  <c r="S678" i="1"/>
  <c r="H678" i="1"/>
  <c r="S677" i="1"/>
  <c r="H677" i="1"/>
  <c r="S676" i="1"/>
  <c r="H676" i="1"/>
  <c r="S675" i="1"/>
  <c r="H675" i="1"/>
  <c r="S674" i="1"/>
  <c r="H674" i="1"/>
  <c r="S673" i="1"/>
  <c r="H673" i="1"/>
  <c r="S672" i="1"/>
  <c r="H672" i="1"/>
  <c r="S671" i="1"/>
  <c r="H671" i="1"/>
  <c r="S670" i="1"/>
  <c r="H670" i="1"/>
  <c r="S669" i="1"/>
  <c r="H669" i="1"/>
  <c r="S668" i="1"/>
  <c r="H668" i="1"/>
  <c r="S667" i="1"/>
  <c r="H667" i="1"/>
  <c r="S666" i="1"/>
  <c r="H666" i="1"/>
  <c r="S665" i="1"/>
  <c r="H665" i="1"/>
  <c r="S664" i="1"/>
  <c r="H664" i="1"/>
  <c r="S663" i="1"/>
  <c r="H663" i="1"/>
  <c r="S662" i="1"/>
  <c r="H662" i="1"/>
  <c r="S661" i="1"/>
  <c r="H661" i="1"/>
  <c r="S660" i="1"/>
  <c r="H660" i="1"/>
  <c r="S659" i="1"/>
  <c r="H659" i="1"/>
  <c r="S658" i="1"/>
  <c r="H658" i="1"/>
  <c r="S657" i="1"/>
  <c r="H657" i="1"/>
  <c r="S656" i="1"/>
  <c r="H656" i="1"/>
  <c r="S655" i="1"/>
  <c r="H655" i="1"/>
  <c r="S654" i="1"/>
  <c r="H654" i="1"/>
  <c r="S653" i="1"/>
  <c r="H653" i="1"/>
  <c r="S652" i="1"/>
  <c r="H652" i="1"/>
  <c r="S651" i="1"/>
  <c r="H651" i="1"/>
  <c r="S650" i="1"/>
  <c r="H650" i="1"/>
  <c r="S649" i="1"/>
  <c r="H649" i="1"/>
  <c r="S648" i="1"/>
  <c r="H648" i="1"/>
  <c r="S647" i="1"/>
  <c r="H647" i="1"/>
  <c r="S646" i="1"/>
  <c r="H646" i="1"/>
  <c r="S645" i="1"/>
  <c r="H645" i="1"/>
  <c r="S644" i="1"/>
  <c r="H644" i="1"/>
  <c r="S643" i="1"/>
  <c r="H643" i="1"/>
  <c r="S642" i="1"/>
  <c r="H642" i="1"/>
  <c r="S641" i="1"/>
  <c r="H641" i="1"/>
  <c r="S640" i="1"/>
  <c r="H640" i="1"/>
  <c r="S639" i="1"/>
  <c r="H639" i="1"/>
  <c r="S638" i="1"/>
  <c r="H638" i="1"/>
  <c r="S637" i="1"/>
  <c r="H637" i="1"/>
  <c r="S636" i="1"/>
  <c r="H636" i="1"/>
  <c r="S635" i="1"/>
  <c r="H635" i="1"/>
  <c r="S634" i="1"/>
  <c r="H634" i="1"/>
  <c r="S633" i="1"/>
  <c r="H633" i="1"/>
  <c r="S632" i="1"/>
  <c r="H632" i="1"/>
  <c r="S631" i="1"/>
  <c r="H631" i="1"/>
  <c r="S630" i="1"/>
  <c r="H630" i="1"/>
  <c r="S629" i="1"/>
  <c r="H629" i="1"/>
  <c r="S628" i="1"/>
  <c r="H628" i="1"/>
  <c r="S627" i="1"/>
  <c r="H627" i="1"/>
  <c r="S626" i="1"/>
  <c r="H626" i="1"/>
  <c r="S625" i="1"/>
  <c r="H625" i="1"/>
  <c r="S624" i="1"/>
  <c r="H624" i="1"/>
  <c r="S623" i="1"/>
  <c r="H623" i="1"/>
  <c r="S622" i="1"/>
  <c r="H622" i="1"/>
  <c r="S621" i="1"/>
  <c r="H621" i="1"/>
  <c r="S620" i="1"/>
  <c r="H620" i="1"/>
  <c r="S619" i="1"/>
  <c r="H619" i="1"/>
  <c r="S618" i="1"/>
  <c r="H618" i="1"/>
  <c r="S617" i="1"/>
  <c r="H617" i="1"/>
  <c r="S616" i="1"/>
  <c r="H616" i="1"/>
  <c r="S615" i="1"/>
  <c r="H615" i="1"/>
  <c r="S614" i="1"/>
  <c r="H614" i="1"/>
  <c r="S613" i="1"/>
  <c r="H613" i="1"/>
  <c r="S612" i="1"/>
  <c r="H612" i="1"/>
  <c r="S611" i="1"/>
  <c r="H611" i="1"/>
  <c r="S610" i="1"/>
  <c r="H610" i="1"/>
  <c r="S609" i="1"/>
  <c r="H609" i="1"/>
  <c r="S608" i="1"/>
  <c r="H608" i="1"/>
  <c r="S607" i="1"/>
  <c r="H607" i="1"/>
  <c r="S606" i="1"/>
  <c r="H606" i="1"/>
  <c r="S605" i="1"/>
  <c r="H605" i="1"/>
  <c r="S604" i="1"/>
  <c r="H604" i="1"/>
  <c r="S603" i="1"/>
  <c r="H603" i="1"/>
  <c r="S602" i="1"/>
  <c r="H602" i="1"/>
  <c r="S601" i="1"/>
  <c r="H601" i="1"/>
  <c r="S600" i="1"/>
  <c r="H600" i="1"/>
  <c r="S599" i="1"/>
  <c r="H599" i="1"/>
  <c r="S598" i="1"/>
  <c r="H598" i="1"/>
  <c r="S597" i="1"/>
  <c r="H597" i="1"/>
  <c r="S596" i="1"/>
  <c r="H596" i="1"/>
  <c r="S595" i="1"/>
  <c r="H595" i="1"/>
  <c r="S594" i="1"/>
  <c r="H594" i="1"/>
  <c r="S593" i="1"/>
  <c r="H593" i="1"/>
  <c r="S592" i="1"/>
  <c r="H592" i="1"/>
  <c r="S591" i="1"/>
  <c r="H591" i="1"/>
  <c r="S590" i="1"/>
  <c r="H590" i="1"/>
  <c r="S589" i="1"/>
  <c r="H589" i="1"/>
  <c r="S588" i="1"/>
  <c r="H588" i="1"/>
  <c r="S587" i="1"/>
  <c r="H587" i="1"/>
  <c r="S586" i="1"/>
  <c r="H586" i="1"/>
  <c r="S585" i="1"/>
  <c r="H585" i="1"/>
  <c r="S584" i="1"/>
  <c r="H584" i="1"/>
  <c r="S583" i="1"/>
  <c r="H583" i="1"/>
  <c r="S582" i="1"/>
  <c r="H582" i="1"/>
  <c r="S581" i="1"/>
  <c r="H581" i="1"/>
  <c r="S580" i="1"/>
  <c r="H580" i="1"/>
  <c r="S579" i="1"/>
  <c r="H579" i="1"/>
  <c r="S578" i="1"/>
  <c r="H578" i="1"/>
  <c r="S577" i="1"/>
  <c r="H577" i="1"/>
  <c r="S576" i="1"/>
  <c r="H576" i="1"/>
  <c r="S575" i="1"/>
  <c r="H575" i="1"/>
  <c r="S574" i="1"/>
  <c r="H574" i="1"/>
  <c r="S573" i="1"/>
  <c r="H573" i="1"/>
  <c r="S572" i="1"/>
  <c r="H572" i="1"/>
  <c r="S571" i="1"/>
  <c r="H571" i="1"/>
  <c r="S570" i="1"/>
  <c r="H570" i="1"/>
  <c r="S569" i="1"/>
  <c r="H569" i="1"/>
  <c r="S568" i="1"/>
  <c r="H568" i="1"/>
  <c r="S567" i="1"/>
  <c r="H567" i="1"/>
  <c r="S566" i="1"/>
  <c r="H566" i="1"/>
  <c r="S565" i="1"/>
  <c r="H565" i="1"/>
  <c r="S564" i="1"/>
  <c r="H564" i="1"/>
  <c r="S563" i="1"/>
  <c r="H563" i="1"/>
  <c r="S562" i="1"/>
  <c r="H562" i="1"/>
  <c r="S561" i="1"/>
  <c r="H561" i="1"/>
  <c r="S560" i="1"/>
  <c r="H560" i="1"/>
  <c r="S559" i="1"/>
  <c r="H559" i="1"/>
  <c r="S558" i="1"/>
  <c r="H558" i="1"/>
  <c r="S557" i="1"/>
  <c r="H557" i="1"/>
  <c r="S556" i="1"/>
  <c r="H556" i="1"/>
  <c r="S555" i="1"/>
  <c r="H555" i="1"/>
  <c r="S554" i="1"/>
  <c r="H554" i="1"/>
  <c r="S553" i="1"/>
  <c r="H553" i="1"/>
  <c r="S552" i="1"/>
  <c r="H552" i="1"/>
  <c r="S551" i="1"/>
  <c r="H551" i="1"/>
  <c r="S550" i="1"/>
  <c r="H550" i="1"/>
  <c r="S549" i="1"/>
  <c r="H549" i="1"/>
  <c r="S548" i="1"/>
  <c r="H548" i="1"/>
  <c r="S547" i="1"/>
  <c r="H547" i="1"/>
  <c r="S546" i="1"/>
  <c r="H546" i="1"/>
  <c r="S545" i="1"/>
  <c r="H545" i="1"/>
  <c r="S544" i="1"/>
  <c r="H544" i="1"/>
  <c r="S543" i="1"/>
  <c r="H543" i="1"/>
  <c r="S542" i="1"/>
  <c r="H542" i="1"/>
  <c r="S541" i="1"/>
  <c r="H541" i="1"/>
  <c r="S540" i="1"/>
  <c r="H540" i="1"/>
  <c r="S539" i="1"/>
  <c r="H539" i="1"/>
  <c r="S538" i="1"/>
  <c r="H538" i="1"/>
  <c r="S537" i="1"/>
  <c r="H537" i="1"/>
  <c r="S536" i="1"/>
  <c r="H536" i="1"/>
  <c r="S535" i="1"/>
  <c r="H535" i="1"/>
  <c r="S534" i="1"/>
  <c r="H534" i="1"/>
  <c r="S533" i="1"/>
  <c r="H533" i="1"/>
  <c r="S532" i="1"/>
  <c r="H532" i="1"/>
  <c r="S531" i="1"/>
  <c r="H531" i="1"/>
  <c r="S530" i="1"/>
  <c r="H530" i="1"/>
  <c r="S529" i="1"/>
  <c r="H529" i="1"/>
  <c r="S528" i="1"/>
  <c r="H528" i="1"/>
  <c r="S527" i="1"/>
  <c r="H527" i="1"/>
  <c r="S526" i="1"/>
  <c r="H526" i="1"/>
  <c r="S525" i="1"/>
  <c r="H525" i="1"/>
  <c r="S524" i="1"/>
  <c r="H524" i="1"/>
  <c r="S523" i="1"/>
  <c r="H523" i="1"/>
  <c r="S522" i="1"/>
  <c r="H522" i="1"/>
  <c r="S521" i="1"/>
  <c r="H521" i="1"/>
  <c r="S520" i="1"/>
  <c r="H520" i="1"/>
  <c r="S519" i="1"/>
  <c r="H519" i="1"/>
  <c r="S518" i="1"/>
  <c r="H518" i="1"/>
  <c r="S517" i="1"/>
  <c r="H517" i="1"/>
  <c r="S516" i="1"/>
  <c r="H516" i="1"/>
  <c r="S515" i="1"/>
  <c r="H515" i="1"/>
  <c r="S514" i="1"/>
  <c r="H514" i="1"/>
  <c r="S513" i="1"/>
  <c r="H513" i="1"/>
  <c r="S512" i="1"/>
  <c r="H512" i="1"/>
  <c r="S511" i="1"/>
  <c r="H511" i="1"/>
  <c r="S510" i="1"/>
  <c r="H510" i="1"/>
  <c r="S509" i="1"/>
  <c r="H509" i="1"/>
  <c r="S508" i="1"/>
  <c r="H508" i="1"/>
  <c r="S507" i="1"/>
  <c r="H507" i="1"/>
  <c r="S506" i="1"/>
  <c r="H506" i="1"/>
  <c r="S505" i="1"/>
  <c r="H505" i="1"/>
  <c r="S504" i="1"/>
  <c r="H504" i="1"/>
  <c r="S503" i="1"/>
  <c r="H503" i="1"/>
  <c r="S502" i="1"/>
  <c r="H502" i="1"/>
  <c r="S501" i="1"/>
  <c r="H501" i="1"/>
  <c r="S500" i="1"/>
  <c r="H500" i="1"/>
  <c r="S499" i="1"/>
  <c r="H499" i="1"/>
  <c r="S498" i="1"/>
  <c r="H498" i="1"/>
  <c r="S497" i="1"/>
  <c r="H497" i="1"/>
  <c r="S496" i="1"/>
  <c r="H496" i="1"/>
  <c r="S495" i="1"/>
  <c r="H495" i="1"/>
  <c r="S494" i="1"/>
  <c r="H494" i="1"/>
  <c r="S493" i="1"/>
  <c r="H493" i="1"/>
  <c r="S492" i="1"/>
  <c r="H492" i="1"/>
  <c r="S491" i="1"/>
  <c r="H491" i="1"/>
  <c r="S490" i="1"/>
  <c r="H490" i="1"/>
  <c r="S489" i="1"/>
  <c r="H489" i="1"/>
  <c r="S488" i="1"/>
  <c r="H488" i="1"/>
  <c r="S487" i="1"/>
  <c r="H487" i="1"/>
  <c r="S486" i="1"/>
  <c r="H486" i="1"/>
  <c r="S485" i="1"/>
  <c r="H485" i="1"/>
  <c r="S484" i="1"/>
  <c r="H484" i="1"/>
  <c r="S483" i="1"/>
  <c r="H483" i="1"/>
  <c r="S482" i="1"/>
  <c r="H482" i="1"/>
  <c r="S481" i="1"/>
  <c r="H481" i="1"/>
  <c r="S480" i="1"/>
  <c r="H480" i="1"/>
  <c r="S479" i="1"/>
  <c r="H479" i="1"/>
  <c r="S478" i="1"/>
  <c r="H478" i="1"/>
  <c r="S477" i="1"/>
  <c r="H477" i="1"/>
  <c r="S476" i="1"/>
  <c r="H476" i="1"/>
  <c r="S475" i="1"/>
  <c r="H475" i="1"/>
  <c r="S474" i="1"/>
  <c r="H474" i="1"/>
  <c r="S473" i="1"/>
  <c r="H473" i="1"/>
  <c r="S472" i="1"/>
  <c r="H472" i="1"/>
  <c r="S471" i="1"/>
  <c r="H471" i="1"/>
  <c r="S470" i="1"/>
  <c r="H470" i="1"/>
  <c r="S469" i="1"/>
  <c r="H469" i="1"/>
  <c r="S468" i="1"/>
  <c r="H468" i="1"/>
  <c r="S467" i="1"/>
  <c r="H467" i="1"/>
  <c r="S466" i="1"/>
  <c r="H466" i="1"/>
  <c r="S465" i="1"/>
  <c r="H465" i="1"/>
  <c r="S464" i="1"/>
  <c r="H464" i="1"/>
  <c r="S463" i="1"/>
  <c r="H463" i="1"/>
  <c r="S462" i="1"/>
  <c r="H462" i="1"/>
  <c r="S461" i="1"/>
  <c r="H461" i="1"/>
  <c r="S460" i="1"/>
  <c r="H460" i="1"/>
  <c r="S459" i="1"/>
  <c r="H459" i="1"/>
  <c r="S458" i="1"/>
  <c r="H458" i="1"/>
  <c r="S457" i="1"/>
  <c r="H457" i="1"/>
  <c r="S456" i="1"/>
  <c r="H456" i="1"/>
  <c r="S455" i="1"/>
  <c r="H455" i="1"/>
  <c r="S454" i="1"/>
  <c r="H454" i="1"/>
  <c r="S453" i="1"/>
  <c r="H453" i="1"/>
  <c r="S452" i="1"/>
  <c r="H452" i="1"/>
  <c r="S451" i="1"/>
  <c r="H451" i="1"/>
  <c r="S450" i="1"/>
  <c r="H450" i="1"/>
  <c r="S449" i="1"/>
  <c r="H449" i="1"/>
  <c r="S448" i="1"/>
  <c r="H448" i="1"/>
  <c r="S447" i="1"/>
  <c r="H447" i="1"/>
  <c r="S446" i="1"/>
  <c r="H446" i="1"/>
  <c r="S445" i="1"/>
  <c r="H445" i="1"/>
  <c r="S444" i="1"/>
  <c r="H444" i="1"/>
  <c r="S443" i="1"/>
  <c r="H443" i="1"/>
  <c r="S442" i="1"/>
  <c r="H442" i="1"/>
  <c r="S441" i="1"/>
  <c r="H441" i="1"/>
  <c r="S440" i="1"/>
  <c r="H440" i="1"/>
  <c r="S439" i="1"/>
  <c r="H439" i="1"/>
  <c r="S438" i="1"/>
  <c r="H438" i="1"/>
  <c r="S437" i="1"/>
  <c r="H437" i="1"/>
  <c r="S436" i="1"/>
  <c r="H436" i="1"/>
  <c r="S435" i="1"/>
  <c r="H435" i="1"/>
  <c r="S434" i="1"/>
  <c r="H434" i="1"/>
  <c r="S433" i="1"/>
  <c r="H433" i="1"/>
  <c r="S432" i="1"/>
  <c r="H432" i="1"/>
  <c r="S431" i="1"/>
  <c r="H431" i="1"/>
  <c r="S430" i="1"/>
  <c r="H430" i="1"/>
  <c r="S429" i="1"/>
  <c r="H429" i="1"/>
  <c r="S428" i="1"/>
  <c r="H428" i="1"/>
  <c r="S427" i="1"/>
  <c r="H427" i="1"/>
  <c r="S426" i="1"/>
  <c r="H426" i="1"/>
  <c r="S425" i="1"/>
  <c r="H425" i="1"/>
  <c r="S424" i="1"/>
  <c r="H424" i="1"/>
  <c r="S423" i="1"/>
  <c r="H423" i="1"/>
  <c r="S422" i="1"/>
  <c r="H422" i="1"/>
  <c r="S421" i="1"/>
  <c r="H421" i="1"/>
  <c r="S420" i="1"/>
  <c r="H420" i="1"/>
  <c r="S419" i="1"/>
  <c r="H419" i="1"/>
  <c r="S418" i="1"/>
  <c r="H418" i="1"/>
  <c r="S417" i="1"/>
  <c r="H417" i="1"/>
  <c r="S416" i="1"/>
  <c r="H416" i="1"/>
  <c r="S415" i="1"/>
  <c r="H415" i="1"/>
  <c r="S414" i="1"/>
  <c r="H414" i="1"/>
  <c r="S413" i="1"/>
  <c r="H413" i="1"/>
  <c r="S412" i="1"/>
  <c r="H412" i="1"/>
  <c r="S411" i="1"/>
  <c r="H411" i="1"/>
  <c r="S410" i="1"/>
  <c r="H410" i="1"/>
  <c r="S409" i="1"/>
  <c r="H409" i="1"/>
  <c r="S408" i="1"/>
  <c r="H408" i="1"/>
  <c r="S407" i="1"/>
  <c r="H407" i="1"/>
  <c r="S406" i="1"/>
  <c r="H406" i="1"/>
  <c r="S405" i="1"/>
  <c r="H405" i="1"/>
  <c r="S404" i="1"/>
  <c r="H404" i="1"/>
  <c r="S403" i="1"/>
  <c r="H403" i="1"/>
  <c r="S402" i="1"/>
  <c r="H402" i="1"/>
  <c r="S401" i="1"/>
  <c r="H401" i="1"/>
  <c r="S400" i="1"/>
  <c r="H400" i="1"/>
  <c r="S399" i="1"/>
  <c r="H399" i="1"/>
  <c r="S398" i="1"/>
  <c r="H398" i="1"/>
  <c r="S397" i="1"/>
  <c r="H397" i="1"/>
  <c r="S396" i="1"/>
  <c r="H396" i="1"/>
  <c r="S395" i="1"/>
  <c r="H395" i="1"/>
  <c r="S394" i="1"/>
  <c r="H394" i="1"/>
  <c r="S393" i="1"/>
  <c r="H393" i="1"/>
  <c r="S392" i="1"/>
  <c r="H392" i="1"/>
  <c r="S391" i="1"/>
  <c r="H391" i="1"/>
  <c r="S390" i="1"/>
  <c r="H390" i="1"/>
  <c r="S389" i="1"/>
  <c r="H389" i="1"/>
  <c r="S388" i="1"/>
  <c r="H388" i="1"/>
  <c r="S387" i="1"/>
  <c r="H387" i="1"/>
  <c r="S386" i="1"/>
  <c r="H386" i="1"/>
  <c r="S385" i="1"/>
  <c r="H385" i="1"/>
  <c r="S384" i="1"/>
  <c r="H384" i="1"/>
  <c r="S383" i="1"/>
  <c r="H383" i="1"/>
  <c r="S382" i="1"/>
  <c r="H382" i="1"/>
  <c r="S381" i="1"/>
  <c r="H381" i="1"/>
  <c r="S380" i="1"/>
  <c r="H380" i="1"/>
  <c r="S379" i="1"/>
  <c r="H379" i="1"/>
  <c r="S378" i="1"/>
  <c r="H378" i="1"/>
  <c r="S377" i="1"/>
  <c r="H377" i="1"/>
  <c r="S376" i="1"/>
  <c r="H376" i="1"/>
  <c r="S375" i="1"/>
  <c r="H375" i="1"/>
  <c r="S374" i="1"/>
  <c r="H374" i="1"/>
  <c r="S373" i="1"/>
  <c r="H373" i="1"/>
  <c r="S372" i="1"/>
  <c r="H372" i="1"/>
  <c r="S371" i="1"/>
  <c r="H371" i="1"/>
  <c r="S370" i="1"/>
  <c r="H370" i="1"/>
  <c r="S369" i="1"/>
  <c r="H369" i="1"/>
  <c r="S368" i="1"/>
  <c r="H368" i="1"/>
  <c r="S367" i="1"/>
  <c r="H367" i="1"/>
  <c r="S366" i="1"/>
  <c r="H366" i="1"/>
  <c r="S365" i="1"/>
  <c r="H365" i="1"/>
  <c r="S364" i="1"/>
  <c r="H364" i="1"/>
  <c r="S363" i="1"/>
  <c r="H363" i="1"/>
  <c r="S362" i="1"/>
  <c r="H362" i="1"/>
  <c r="S361" i="1"/>
  <c r="H361" i="1"/>
  <c r="S360" i="1"/>
  <c r="H360" i="1"/>
  <c r="S359" i="1"/>
  <c r="H359" i="1"/>
  <c r="S358" i="1"/>
  <c r="H358" i="1"/>
  <c r="S357" i="1"/>
  <c r="H357" i="1"/>
  <c r="S356" i="1"/>
  <c r="H356" i="1"/>
  <c r="S355" i="1"/>
  <c r="H355" i="1"/>
  <c r="S354" i="1"/>
  <c r="H354" i="1"/>
  <c r="S353" i="1"/>
  <c r="H353" i="1"/>
  <c r="S352" i="1"/>
  <c r="H352" i="1"/>
  <c r="S351" i="1"/>
  <c r="H351" i="1"/>
  <c r="S350" i="1"/>
  <c r="H350" i="1"/>
  <c r="S349" i="1"/>
  <c r="H349" i="1"/>
  <c r="S348" i="1"/>
  <c r="H348" i="1"/>
  <c r="S347" i="1"/>
  <c r="H347" i="1"/>
  <c r="S346" i="1"/>
  <c r="H346" i="1"/>
  <c r="S345" i="1"/>
  <c r="H345" i="1"/>
  <c r="S344" i="1"/>
  <c r="H344" i="1"/>
  <c r="S343" i="1"/>
  <c r="H343" i="1"/>
  <c r="S342" i="1"/>
  <c r="H342" i="1"/>
  <c r="S341" i="1"/>
  <c r="H341" i="1"/>
  <c r="S340" i="1"/>
  <c r="H340" i="1"/>
  <c r="S339" i="1"/>
  <c r="H339" i="1"/>
  <c r="S338" i="1"/>
  <c r="H338" i="1"/>
  <c r="S337" i="1"/>
  <c r="H337" i="1"/>
  <c r="S336" i="1"/>
  <c r="H336" i="1"/>
  <c r="S335" i="1"/>
  <c r="H335" i="1"/>
  <c r="S334" i="1"/>
  <c r="H334" i="1"/>
  <c r="S333" i="1"/>
  <c r="H333" i="1"/>
  <c r="S332" i="1"/>
  <c r="H332" i="1"/>
  <c r="S331" i="1"/>
  <c r="H331" i="1"/>
  <c r="S330" i="1"/>
  <c r="H330" i="1"/>
  <c r="S329" i="1"/>
  <c r="H329" i="1"/>
  <c r="S328" i="1"/>
  <c r="H328" i="1"/>
  <c r="S327" i="1"/>
  <c r="H327" i="1"/>
  <c r="S326" i="1"/>
  <c r="H326" i="1"/>
  <c r="S325" i="1"/>
  <c r="H325" i="1"/>
  <c r="S324" i="1"/>
  <c r="H324" i="1"/>
  <c r="S323" i="1"/>
  <c r="H323" i="1"/>
  <c r="S322" i="1"/>
  <c r="H322" i="1"/>
  <c r="S321" i="1"/>
  <c r="H321" i="1"/>
  <c r="S320" i="1"/>
  <c r="H320" i="1"/>
  <c r="S319" i="1"/>
  <c r="H319" i="1"/>
  <c r="S318" i="1"/>
  <c r="H318" i="1"/>
  <c r="S317" i="1"/>
  <c r="H317" i="1"/>
  <c r="S316" i="1"/>
  <c r="H316" i="1"/>
  <c r="S315" i="1"/>
  <c r="H315" i="1"/>
  <c r="S314" i="1"/>
  <c r="H314" i="1"/>
  <c r="S313" i="1"/>
  <c r="H313" i="1"/>
  <c r="S312" i="1"/>
  <c r="H312" i="1"/>
  <c r="S311" i="1"/>
  <c r="H311" i="1"/>
  <c r="S310" i="1"/>
  <c r="H310" i="1"/>
  <c r="S309" i="1"/>
  <c r="H309" i="1"/>
  <c r="S308" i="1"/>
  <c r="H308" i="1"/>
  <c r="S307" i="1"/>
  <c r="H307" i="1"/>
  <c r="S306" i="1"/>
  <c r="H306" i="1"/>
  <c r="S305" i="1"/>
  <c r="H305" i="1"/>
  <c r="S304" i="1"/>
  <c r="H304" i="1"/>
  <c r="Y303" i="1"/>
  <c r="S303" i="1"/>
  <c r="H303" i="1"/>
  <c r="Y302" i="1"/>
  <c r="S302" i="1"/>
  <c r="H302" i="1"/>
  <c r="S301" i="1"/>
  <c r="H301" i="1"/>
  <c r="Y300" i="1"/>
  <c r="S300" i="1"/>
  <c r="H300" i="1"/>
  <c r="S299" i="1"/>
  <c r="H299" i="1"/>
  <c r="S298" i="1"/>
  <c r="H298" i="1"/>
  <c r="Y297" i="1"/>
  <c r="S297" i="1"/>
  <c r="H297" i="1"/>
  <c r="Y296" i="1"/>
  <c r="S296" i="1"/>
  <c r="H296" i="1"/>
  <c r="Y295" i="1"/>
  <c r="S295" i="1"/>
  <c r="H295" i="1"/>
  <c r="S294" i="1"/>
  <c r="H294" i="1"/>
  <c r="Y293" i="1"/>
  <c r="S293" i="1"/>
  <c r="H293" i="1"/>
  <c r="S292" i="1"/>
  <c r="H292" i="1"/>
  <c r="S291" i="1"/>
  <c r="H291" i="1"/>
  <c r="S290" i="1"/>
  <c r="H290" i="1"/>
  <c r="S289" i="1"/>
  <c r="H289" i="1"/>
  <c r="S288" i="1"/>
  <c r="H288" i="1"/>
  <c r="S287" i="1"/>
  <c r="H287" i="1"/>
  <c r="S286" i="1"/>
  <c r="H286" i="1"/>
  <c r="S285" i="1"/>
  <c r="H285" i="1"/>
  <c r="S284" i="1"/>
  <c r="H284" i="1"/>
  <c r="S283" i="1"/>
  <c r="H283" i="1"/>
  <c r="S282" i="1"/>
  <c r="H282" i="1"/>
  <c r="S281" i="1"/>
  <c r="H281" i="1"/>
  <c r="S280" i="1"/>
  <c r="H280" i="1"/>
  <c r="S279" i="1"/>
  <c r="H279" i="1"/>
  <c r="S278" i="1"/>
  <c r="H278" i="1"/>
  <c r="S277" i="1"/>
  <c r="H277" i="1"/>
  <c r="S276" i="1"/>
  <c r="H276" i="1"/>
  <c r="S275" i="1"/>
  <c r="H275" i="1"/>
  <c r="S274" i="1"/>
  <c r="H274" i="1"/>
  <c r="S273" i="1"/>
  <c r="H273" i="1"/>
  <c r="S272" i="1"/>
  <c r="H272" i="1"/>
  <c r="S271" i="1"/>
  <c r="H271" i="1"/>
  <c r="S270" i="1"/>
  <c r="H270" i="1"/>
  <c r="S269" i="1"/>
  <c r="H269" i="1"/>
  <c r="S268" i="1"/>
  <c r="H268" i="1"/>
  <c r="S267" i="1"/>
  <c r="H267" i="1"/>
  <c r="S266" i="1"/>
  <c r="H266" i="1"/>
  <c r="S265" i="1"/>
  <c r="H265" i="1"/>
  <c r="S264" i="1"/>
  <c r="H264" i="1"/>
  <c r="S263" i="1"/>
  <c r="H263" i="1"/>
  <c r="S262" i="1"/>
  <c r="H262" i="1"/>
  <c r="S261" i="1"/>
  <c r="H261" i="1"/>
  <c r="S260" i="1"/>
  <c r="H260" i="1"/>
  <c r="S259" i="1"/>
  <c r="H259" i="1"/>
  <c r="S258" i="1"/>
  <c r="H258" i="1"/>
  <c r="S257" i="1"/>
  <c r="H257" i="1"/>
  <c r="S256" i="1"/>
  <c r="H256" i="1"/>
  <c r="S255" i="1"/>
  <c r="H255" i="1"/>
  <c r="S254" i="1"/>
  <c r="H254" i="1"/>
  <c r="S253" i="1"/>
  <c r="H253" i="1"/>
  <c r="S252" i="1"/>
  <c r="H252" i="1"/>
  <c r="S251" i="1"/>
  <c r="H251" i="1"/>
  <c r="S250" i="1"/>
  <c r="H250" i="1"/>
  <c r="S249" i="1"/>
  <c r="H249" i="1"/>
  <c r="S248" i="1"/>
  <c r="H248" i="1"/>
  <c r="S247" i="1"/>
  <c r="H247" i="1"/>
  <c r="S246" i="1"/>
  <c r="H246" i="1"/>
  <c r="S245" i="1"/>
  <c r="H245" i="1"/>
  <c r="S244" i="1"/>
  <c r="H244" i="1"/>
  <c r="S243" i="1"/>
  <c r="H243" i="1"/>
  <c r="S242" i="1"/>
  <c r="H242" i="1"/>
  <c r="S241" i="1"/>
  <c r="H241" i="1"/>
  <c r="S240" i="1"/>
  <c r="H240" i="1"/>
  <c r="S239" i="1"/>
  <c r="H239" i="1"/>
  <c r="S238" i="1"/>
  <c r="H238" i="1"/>
  <c r="S237" i="1"/>
  <c r="H237" i="1"/>
  <c r="S236" i="1"/>
  <c r="H236" i="1"/>
  <c r="S235" i="1"/>
  <c r="H235" i="1"/>
  <c r="S234" i="1"/>
  <c r="H234" i="1"/>
  <c r="S233" i="1"/>
  <c r="H233" i="1"/>
  <c r="S232" i="1"/>
  <c r="H232" i="1"/>
  <c r="S231" i="1"/>
  <c r="H231" i="1"/>
  <c r="Y230" i="1"/>
  <c r="S230" i="1"/>
  <c r="H230" i="1"/>
  <c r="Y229" i="1"/>
  <c r="S229" i="1"/>
  <c r="H229" i="1"/>
  <c r="S228" i="1"/>
  <c r="H228" i="1"/>
  <c r="Y227" i="1"/>
  <c r="S227" i="1"/>
  <c r="H227" i="1"/>
  <c r="Y226" i="1"/>
  <c r="S226" i="1"/>
  <c r="H226" i="1"/>
  <c r="Y225" i="1"/>
  <c r="S225" i="1"/>
  <c r="H225" i="1"/>
  <c r="Y224" i="1"/>
  <c r="S224" i="1"/>
  <c r="H224" i="1"/>
  <c r="Y223" i="1"/>
  <c r="S223" i="1"/>
  <c r="H223" i="1"/>
  <c r="Y222" i="1"/>
  <c r="S222" i="1"/>
  <c r="H222" i="1"/>
  <c r="Y221" i="1"/>
  <c r="S221" i="1"/>
  <c r="H221" i="1"/>
  <c r="S220" i="1"/>
  <c r="H220" i="1"/>
  <c r="S219" i="1"/>
  <c r="H219" i="1"/>
  <c r="S218" i="1"/>
  <c r="H218" i="1"/>
  <c r="S217" i="1"/>
  <c r="H217" i="1"/>
  <c r="S216" i="1"/>
  <c r="H216" i="1"/>
  <c r="S215" i="1"/>
  <c r="H215" i="1"/>
  <c r="S214" i="1"/>
  <c r="H214" i="1"/>
  <c r="S213" i="1"/>
  <c r="H213" i="1"/>
  <c r="S212" i="1"/>
  <c r="H212" i="1"/>
  <c r="S211" i="1"/>
  <c r="H211" i="1"/>
  <c r="S210" i="1"/>
  <c r="H210" i="1"/>
  <c r="S209" i="1"/>
  <c r="H209" i="1"/>
  <c r="S208" i="1"/>
  <c r="H208" i="1"/>
  <c r="S207" i="1"/>
  <c r="H207" i="1"/>
  <c r="S206" i="1"/>
  <c r="H206" i="1"/>
  <c r="S205" i="1"/>
  <c r="H205" i="1"/>
  <c r="S204" i="1"/>
  <c r="H204" i="1"/>
  <c r="S203" i="1"/>
  <c r="H203" i="1"/>
  <c r="S202" i="1"/>
  <c r="H202" i="1"/>
  <c r="S201" i="1"/>
  <c r="H201" i="1"/>
  <c r="S200" i="1"/>
  <c r="H200" i="1"/>
  <c r="S199" i="1"/>
  <c r="H199" i="1"/>
  <c r="S198" i="1"/>
  <c r="H198" i="1"/>
  <c r="S197" i="1"/>
  <c r="H197" i="1"/>
  <c r="S196" i="1"/>
  <c r="H196" i="1"/>
  <c r="Y195" i="1"/>
  <c r="S195" i="1"/>
  <c r="H195" i="1"/>
  <c r="Y194" i="1"/>
  <c r="S194" i="1"/>
  <c r="H194" i="1"/>
  <c r="Y193" i="1"/>
  <c r="S193" i="1"/>
  <c r="H193" i="1"/>
  <c r="Y192" i="1"/>
  <c r="S192" i="1"/>
  <c r="H192" i="1"/>
  <c r="Y191" i="1"/>
  <c r="S191" i="1"/>
  <c r="H191" i="1"/>
  <c r="Y190" i="1"/>
  <c r="S190" i="1"/>
  <c r="H190" i="1"/>
  <c r="Y189" i="1"/>
  <c r="S189" i="1"/>
  <c r="H189" i="1"/>
  <c r="S188" i="1"/>
  <c r="H188" i="1"/>
  <c r="S187" i="1"/>
  <c r="H187" i="1"/>
  <c r="S186" i="1"/>
  <c r="H186" i="1"/>
  <c r="S185" i="1"/>
  <c r="H185" i="1"/>
  <c r="S184" i="1"/>
  <c r="H184" i="1"/>
  <c r="S183" i="1"/>
  <c r="H183" i="1"/>
  <c r="S182" i="1"/>
  <c r="H182" i="1"/>
  <c r="S181" i="1"/>
  <c r="H181" i="1"/>
  <c r="S180" i="1"/>
  <c r="H180" i="1"/>
  <c r="S179" i="1"/>
  <c r="H179" i="1"/>
  <c r="S178" i="1"/>
  <c r="H178" i="1"/>
  <c r="S177" i="1"/>
  <c r="H177" i="1"/>
  <c r="S176" i="1"/>
  <c r="H176" i="1"/>
  <c r="S175" i="1"/>
  <c r="H175" i="1"/>
  <c r="S174" i="1"/>
  <c r="H174" i="1"/>
  <c r="S173" i="1"/>
  <c r="H173" i="1"/>
  <c r="S172" i="1"/>
  <c r="H172" i="1"/>
  <c r="S171" i="1"/>
  <c r="H171" i="1"/>
  <c r="S170" i="1"/>
  <c r="H170" i="1"/>
  <c r="S169" i="1"/>
  <c r="H169" i="1"/>
  <c r="S168" i="1"/>
  <c r="H168" i="1"/>
  <c r="S167" i="1"/>
  <c r="H167" i="1"/>
  <c r="S166" i="1"/>
  <c r="H166" i="1"/>
  <c r="S165" i="1"/>
  <c r="H165" i="1"/>
  <c r="S164" i="1"/>
  <c r="H164" i="1"/>
  <c r="S163" i="1"/>
  <c r="H163" i="1"/>
  <c r="S162" i="1"/>
  <c r="H162" i="1"/>
  <c r="S161" i="1"/>
  <c r="H161" i="1"/>
  <c r="S160" i="1"/>
  <c r="H160" i="1"/>
  <c r="S159" i="1"/>
  <c r="H159" i="1"/>
  <c r="S158" i="1"/>
  <c r="H158" i="1"/>
  <c r="S157" i="1"/>
  <c r="H157" i="1"/>
  <c r="S156" i="1"/>
  <c r="H156" i="1"/>
  <c r="S155" i="1"/>
  <c r="H155" i="1"/>
  <c r="S154" i="1"/>
  <c r="H154" i="1"/>
  <c r="S153" i="1"/>
  <c r="H153" i="1"/>
  <c r="S152" i="1"/>
  <c r="H152" i="1"/>
  <c r="S151" i="1"/>
  <c r="H151" i="1"/>
  <c r="S150" i="1"/>
  <c r="H150" i="1"/>
  <c r="S149" i="1"/>
  <c r="H149" i="1"/>
  <c r="S148" i="1"/>
  <c r="H148" i="1"/>
  <c r="S147" i="1"/>
  <c r="H147" i="1"/>
  <c r="S146" i="1"/>
  <c r="H146" i="1"/>
  <c r="S145" i="1"/>
  <c r="H145" i="1"/>
  <c r="S144" i="1"/>
  <c r="H144" i="1"/>
  <c r="S143" i="1"/>
  <c r="H143" i="1"/>
  <c r="S142" i="1"/>
  <c r="H142" i="1"/>
  <c r="S141" i="1"/>
  <c r="H141" i="1"/>
  <c r="S140" i="1"/>
  <c r="H140" i="1"/>
  <c r="H139" i="1"/>
  <c r="S138" i="1"/>
  <c r="H138" i="1"/>
  <c r="S137" i="1"/>
  <c r="H137" i="1"/>
  <c r="S136" i="1"/>
  <c r="H136" i="1"/>
  <c r="S135" i="1"/>
  <c r="H135" i="1"/>
  <c r="H134" i="1"/>
  <c r="S133" i="1"/>
  <c r="H133" i="1"/>
  <c r="Y132" i="1"/>
  <c r="S132" i="1"/>
  <c r="H132" i="1"/>
  <c r="Y131" i="1"/>
  <c r="S131" i="1"/>
  <c r="H131" i="1"/>
  <c r="Y130" i="1"/>
  <c r="S130" i="1"/>
  <c r="H130" i="1"/>
  <c r="Y129" i="1"/>
  <c r="S129" i="1"/>
  <c r="H129" i="1"/>
  <c r="Y128" i="1"/>
  <c r="S128" i="1"/>
  <c r="H128" i="1"/>
  <c r="Y127" i="1"/>
  <c r="S127" i="1"/>
  <c r="H127" i="1"/>
  <c r="Y126" i="1"/>
  <c r="S126" i="1"/>
  <c r="H126" i="1"/>
  <c r="Y125" i="1"/>
  <c r="S125" i="1"/>
  <c r="H125" i="1"/>
  <c r="S124" i="1"/>
  <c r="H124" i="1"/>
  <c r="S123" i="1"/>
  <c r="H123" i="1"/>
  <c r="Y122" i="1"/>
  <c r="S122" i="1"/>
  <c r="H122" i="1"/>
  <c r="Y121" i="1"/>
  <c r="S121" i="1"/>
  <c r="H121" i="1"/>
  <c r="Y120" i="1"/>
  <c r="S120" i="1"/>
  <c r="H120" i="1"/>
  <c r="Y119" i="1"/>
  <c r="S119" i="1"/>
  <c r="H119" i="1"/>
  <c r="Y118" i="1"/>
  <c r="S118" i="1"/>
  <c r="H118" i="1"/>
  <c r="Y117" i="1"/>
  <c r="S117" i="1"/>
  <c r="H117" i="1"/>
  <c r="Y116" i="1"/>
  <c r="S116" i="1"/>
  <c r="H116" i="1"/>
  <c r="Y115" i="1"/>
  <c r="S115" i="1"/>
  <c r="H115" i="1"/>
  <c r="Y114" i="1"/>
  <c r="S114" i="1"/>
  <c r="H114" i="1"/>
  <c r="Y113" i="1"/>
  <c r="S113" i="1"/>
  <c r="H113" i="1"/>
  <c r="Y112" i="1"/>
  <c r="S112" i="1"/>
  <c r="H112" i="1"/>
  <c r="Y111" i="1"/>
  <c r="S111" i="1"/>
  <c r="H111" i="1"/>
  <c r="Y110" i="1"/>
  <c r="S110" i="1"/>
  <c r="H110" i="1"/>
  <c r="Y109" i="1"/>
  <c r="S109" i="1"/>
  <c r="H109" i="1"/>
  <c r="S108" i="1"/>
  <c r="H108" i="1"/>
  <c r="S107" i="1"/>
  <c r="H107" i="1"/>
  <c r="S106" i="1"/>
  <c r="H106" i="1"/>
  <c r="S105" i="1"/>
  <c r="H105" i="1"/>
  <c r="S104" i="1"/>
  <c r="H104" i="1"/>
  <c r="S103" i="1"/>
  <c r="H103" i="1"/>
  <c r="S102" i="1"/>
  <c r="H102" i="1"/>
  <c r="S101" i="1"/>
  <c r="H101" i="1"/>
  <c r="S100" i="1"/>
  <c r="H100" i="1"/>
  <c r="S99" i="1"/>
  <c r="H99" i="1"/>
  <c r="S98" i="1"/>
  <c r="H98" i="1"/>
  <c r="S97" i="1"/>
  <c r="H97" i="1"/>
  <c r="S96" i="1"/>
  <c r="H96" i="1"/>
  <c r="S95" i="1"/>
  <c r="H95" i="1"/>
  <c r="S94" i="1"/>
  <c r="H94" i="1"/>
  <c r="S93" i="1"/>
  <c r="H93" i="1"/>
  <c r="S92" i="1"/>
  <c r="H92" i="1"/>
  <c r="S91" i="1"/>
  <c r="H91" i="1"/>
  <c r="S90" i="1"/>
  <c r="H90" i="1"/>
  <c r="S89" i="1"/>
  <c r="H89" i="1"/>
  <c r="S88" i="1"/>
  <c r="H88" i="1"/>
  <c r="S87" i="1"/>
  <c r="H87" i="1"/>
  <c r="S86" i="1"/>
  <c r="H86" i="1"/>
  <c r="S85" i="1"/>
  <c r="H85" i="1"/>
  <c r="S84" i="1"/>
  <c r="H84" i="1"/>
  <c r="Y83" i="1"/>
  <c r="S83" i="1"/>
  <c r="H83" i="1"/>
  <c r="S82" i="1"/>
  <c r="H82" i="1"/>
  <c r="S81" i="1"/>
  <c r="H81" i="1"/>
  <c r="S80" i="1"/>
  <c r="H80" i="1"/>
  <c r="S79" i="1"/>
  <c r="H79" i="1"/>
  <c r="S78" i="1"/>
  <c r="H78" i="1"/>
  <c r="S77" i="1"/>
  <c r="H77" i="1"/>
  <c r="S76" i="1"/>
  <c r="H76" i="1"/>
  <c r="S75" i="1"/>
  <c r="H75" i="1"/>
  <c r="S74" i="1"/>
  <c r="H74" i="1"/>
  <c r="S73" i="1"/>
  <c r="H73" i="1"/>
  <c r="S72" i="1"/>
  <c r="H72" i="1"/>
  <c r="S71" i="1"/>
  <c r="H71" i="1"/>
  <c r="S70" i="1"/>
  <c r="H70" i="1"/>
  <c r="S69" i="1"/>
  <c r="H69" i="1"/>
  <c r="S68" i="1"/>
  <c r="H68" i="1"/>
  <c r="S67" i="1"/>
  <c r="H67" i="1"/>
  <c r="S66" i="1"/>
  <c r="H66" i="1"/>
  <c r="S65" i="1"/>
  <c r="H65" i="1"/>
  <c r="S64" i="1"/>
  <c r="H64" i="1"/>
  <c r="S63" i="1"/>
  <c r="H63" i="1"/>
  <c r="S62" i="1"/>
  <c r="H62" i="1"/>
  <c r="S61" i="1"/>
  <c r="H61" i="1"/>
  <c r="S60" i="1"/>
  <c r="H60" i="1"/>
  <c r="S59" i="1"/>
  <c r="H59" i="1"/>
  <c r="Y58" i="1"/>
  <c r="S58" i="1"/>
  <c r="H58" i="1"/>
  <c r="Y57" i="1"/>
  <c r="S57" i="1"/>
  <c r="H57" i="1"/>
  <c r="Y56" i="1"/>
  <c r="S56" i="1"/>
  <c r="H56" i="1"/>
  <c r="Y55" i="1"/>
  <c r="S55" i="1"/>
  <c r="H55" i="1"/>
  <c r="Y54" i="1"/>
  <c r="S54" i="1"/>
  <c r="H54" i="1"/>
  <c r="Y53" i="1"/>
  <c r="S53" i="1"/>
  <c r="H53" i="1"/>
  <c r="Y52" i="1"/>
  <c r="S52" i="1"/>
  <c r="H52" i="1"/>
  <c r="Y51" i="1"/>
  <c r="S51" i="1"/>
  <c r="H51" i="1"/>
  <c r="Y50" i="1"/>
  <c r="S50" i="1"/>
  <c r="H50" i="1"/>
  <c r="Y49" i="1"/>
  <c r="S49" i="1"/>
  <c r="H49" i="1"/>
  <c r="Y48" i="1"/>
  <c r="S48" i="1"/>
  <c r="H48" i="1"/>
  <c r="S47" i="1"/>
  <c r="H47" i="1"/>
  <c r="S46" i="1"/>
  <c r="H46" i="1"/>
  <c r="S45" i="1"/>
  <c r="H45" i="1"/>
  <c r="S44" i="1"/>
  <c r="H44" i="1"/>
  <c r="S43" i="1"/>
  <c r="H43" i="1"/>
  <c r="S42" i="1"/>
  <c r="H42" i="1"/>
  <c r="S41" i="1"/>
  <c r="H41" i="1"/>
  <c r="S40" i="1"/>
  <c r="H40" i="1"/>
  <c r="S39" i="1"/>
  <c r="H39" i="1"/>
  <c r="S38" i="1"/>
  <c r="H38" i="1"/>
  <c r="S37" i="1"/>
  <c r="H37" i="1"/>
  <c r="S36" i="1"/>
  <c r="H36" i="1"/>
  <c r="S35" i="1"/>
  <c r="H35" i="1"/>
  <c r="S34" i="1"/>
  <c r="H34" i="1"/>
  <c r="S33" i="1"/>
  <c r="H33" i="1"/>
  <c r="S32" i="1"/>
  <c r="H32" i="1"/>
  <c r="S31" i="1"/>
  <c r="H31" i="1"/>
  <c r="Y30" i="1"/>
  <c r="S30" i="1"/>
  <c r="H30" i="1"/>
  <c r="Y29" i="1"/>
  <c r="S29" i="1"/>
  <c r="H29" i="1"/>
  <c r="Y28" i="1"/>
  <c r="S28" i="1"/>
  <c r="H28" i="1"/>
  <c r="Y27" i="1"/>
  <c r="S27" i="1"/>
  <c r="H27" i="1"/>
  <c r="Y26" i="1"/>
  <c r="S26" i="1"/>
  <c r="H26" i="1"/>
  <c r="Y25" i="1"/>
  <c r="S25" i="1"/>
  <c r="H25" i="1"/>
  <c r="Y24" i="1"/>
  <c r="S24" i="1"/>
  <c r="H24" i="1"/>
  <c r="Y23" i="1"/>
  <c r="S23" i="1"/>
  <c r="H23" i="1"/>
  <c r="Y22" i="1"/>
  <c r="S22" i="1"/>
  <c r="H22" i="1"/>
  <c r="S21" i="1"/>
  <c r="H21" i="1"/>
  <c r="S20" i="1"/>
  <c r="H20" i="1"/>
  <c r="Y19" i="1"/>
  <c r="S19" i="1"/>
  <c r="H19" i="1"/>
  <c r="Y18" i="1"/>
  <c r="S18" i="1"/>
  <c r="H18" i="1"/>
  <c r="Y17" i="1"/>
  <c r="S17" i="1"/>
  <c r="H17" i="1"/>
  <c r="Y16" i="1"/>
  <c r="S16" i="1"/>
  <c r="H16" i="1"/>
  <c r="Y15" i="1"/>
  <c r="S15" i="1"/>
  <c r="H15" i="1"/>
  <c r="Y14" i="1"/>
  <c r="S14" i="1"/>
  <c r="H14" i="1"/>
  <c r="Y13" i="1"/>
  <c r="S13" i="1"/>
  <c r="H13" i="1"/>
  <c r="Y12" i="1"/>
  <c r="S12" i="1"/>
  <c r="H12" i="1"/>
  <c r="Y11" i="1"/>
  <c r="S11" i="1"/>
  <c r="H11" i="1"/>
  <c r="Y10" i="1"/>
  <c r="S10" i="1"/>
  <c r="H10" i="1"/>
  <c r="Y9" i="1"/>
  <c r="S9" i="1"/>
  <c r="H9" i="1"/>
  <c r="Y8" i="1"/>
  <c r="S8" i="1"/>
  <c r="H8" i="1"/>
  <c r="Y7" i="1"/>
  <c r="S7" i="1"/>
  <c r="H7" i="1"/>
  <c r="Y6" i="1"/>
  <c r="S6" i="1"/>
  <c r="H6" i="1"/>
  <c r="Y5" i="1"/>
  <c r="S5" i="1"/>
  <c r="H5" i="1"/>
  <c r="Y4" i="1"/>
  <c r="S4" i="1"/>
  <c r="H4" i="1"/>
  <c r="Y3" i="1"/>
  <c r="S3" i="1"/>
  <c r="H3" i="1"/>
  <c r="A3" i="1"/>
  <c r="Y2" i="1"/>
  <c r="S2" i="1"/>
  <c r="H2" i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</calcChain>
</file>

<file path=xl/sharedStrings.xml><?xml version="1.0" encoding="utf-8"?>
<sst xmlns="http://schemas.openxmlformats.org/spreadsheetml/2006/main" count="18335" uniqueCount="5453">
  <si>
    <t>Sr No</t>
  </si>
  <si>
    <t>Organization Name</t>
  </si>
  <si>
    <t>CNIC No.</t>
  </si>
  <si>
    <t>Biometric ID</t>
  </si>
  <si>
    <t>CNIC Issue Date</t>
  </si>
  <si>
    <t>CNIC Expiry Date</t>
  </si>
  <si>
    <t>Date of Birth</t>
  </si>
  <si>
    <t>Age</t>
  </si>
  <si>
    <t>Muslim/Non Muslim</t>
  </si>
  <si>
    <t>Male/Female</t>
  </si>
  <si>
    <t>Disable/Sepcial Person</t>
  </si>
  <si>
    <t>Employee Name</t>
  </si>
  <si>
    <t>Father Name</t>
  </si>
  <si>
    <t>BS/Grade</t>
  </si>
  <si>
    <t>Department</t>
  </si>
  <si>
    <t>Joining</t>
  </si>
  <si>
    <t>Salary</t>
  </si>
  <si>
    <t>Bank Account Number</t>
  </si>
  <si>
    <t>Name of Bank</t>
  </si>
  <si>
    <t>Cost center</t>
  </si>
  <si>
    <t>Education</t>
  </si>
  <si>
    <t>Address</t>
  </si>
  <si>
    <t>Contact No.</t>
  </si>
  <si>
    <t>Personal Email Address</t>
  </si>
  <si>
    <t>Payroll/DailyWages</t>
  </si>
  <si>
    <t>PSBA</t>
  </si>
  <si>
    <t>Muslim</t>
  </si>
  <si>
    <t>Male</t>
  </si>
  <si>
    <t>Naveed Rafaqat Ahmad</t>
  </si>
  <si>
    <t>Sarfraz Ahmad</t>
  </si>
  <si>
    <t>Additional Director General (Headquarters, Finance &amp; Startegic Planning)
Additional Charge of Director General</t>
  </si>
  <si>
    <t>Competent Authority</t>
  </si>
  <si>
    <t>Allied Bank Limited</t>
  </si>
  <si>
    <t>Head Office</t>
  </si>
  <si>
    <t>FCCA, ACA</t>
  </si>
  <si>
    <t>House No. 354, Kashmir Block, Allama Iqbal Town, Lahore</t>
  </si>
  <si>
    <t>0333-0497149</t>
  </si>
  <si>
    <t>Payroll</t>
  </si>
  <si>
    <t>Farhan Dilawar Sheikh</t>
  </si>
  <si>
    <t>Shiekh Dilawar Hussain</t>
  </si>
  <si>
    <t>Additional Director (Audit, Monitoring &amp; Evaluation)
Additional Charge of Director (Audit, Monitoring &amp; Evaluation)</t>
  </si>
  <si>
    <t>Audit Department</t>
  </si>
  <si>
    <t>MBA &amp; FPFA &amp; ACA</t>
  </si>
  <si>
    <t>House no. 178, Block B, Mohalla Nespak  Phase II, Lahore</t>
  </si>
  <si>
    <t>0321-8888326</t>
  </si>
  <si>
    <t>Sadam Hussain</t>
  </si>
  <si>
    <t>Shabaz Ali</t>
  </si>
  <si>
    <t>Additional Director (Operations &amp; Revenue)
Additional Charge of Director (Operations &amp; Revenue)</t>
  </si>
  <si>
    <t>Operations Department</t>
  </si>
  <si>
    <t>BS (Electricial Engineering)</t>
  </si>
  <si>
    <t>House no. 507, L-Block Johar Town Lahore</t>
  </si>
  <si>
    <t>0321-7777927</t>
  </si>
  <si>
    <t>Roshan Zameer</t>
  </si>
  <si>
    <t>Muhammad Kabeer Ch</t>
  </si>
  <si>
    <t>Additional Director (Projects, Planning &amp; Special Initiatives)
Additional Charge of Director (Projects, Planning &amp; Special Initiatives)</t>
  </si>
  <si>
    <t>Projects &amp; Management Unit Department</t>
  </si>
  <si>
    <t>MS (Projects Management)</t>
  </si>
  <si>
    <t>67-L1, Valencia Town Lahore</t>
  </si>
  <si>
    <t>0306-4646558</t>
  </si>
  <si>
    <t>Muhammad Asad Abbas</t>
  </si>
  <si>
    <t>Mian Sardar Hussain</t>
  </si>
  <si>
    <t>Sr. Engineer (Civil)
Additional Charge of Chief Engineer</t>
  </si>
  <si>
    <t>Civil Department</t>
  </si>
  <si>
    <t>MS (Construction Engineering &amp; Management)</t>
  </si>
  <si>
    <t>27-A, Commercial 2nd floor, Pak Arab Housing Society Main Ferozpur road lahore</t>
  </si>
  <si>
    <t>0346-7031971</t>
  </si>
  <si>
    <t>Female</t>
  </si>
  <si>
    <t>Mariya Iqbal</t>
  </si>
  <si>
    <t>Muhammad Iqbal</t>
  </si>
  <si>
    <t>Assistant Director (Establishment)
Additional Charge of Deputy Director (Headquarter &amp; Establishment)</t>
  </si>
  <si>
    <t>Establishment Department</t>
  </si>
  <si>
    <t>BS (Hons), Master in HRM</t>
  </si>
  <si>
    <t>House No. 11, Street NO. 21, Shamsabad, Misri Shah, Lahore</t>
  </si>
  <si>
    <t>0323-4442033</t>
  </si>
  <si>
    <t>Muhammad Aamir</t>
  </si>
  <si>
    <t>Tahir Hussain Rana</t>
  </si>
  <si>
    <t>Architect</t>
  </si>
  <si>
    <t>Bachelor of Architecture</t>
  </si>
  <si>
    <t>H # 51-J, Mohalla Kosarabad, Mianwali</t>
  </si>
  <si>
    <t>0300-0240560</t>
  </si>
  <si>
    <t>Kashif Rasheed</t>
  </si>
  <si>
    <t>Rasheed Ahmad</t>
  </si>
  <si>
    <t>Assistant Director (Account, Payroll &amp; Reconciliation)</t>
  </si>
  <si>
    <t>Accounts Department</t>
  </si>
  <si>
    <t>MBA (Finance) &amp; MSC Acturial Science</t>
  </si>
  <si>
    <t>Muhalla Tariqabad, Manga Mandi, Distt. Lahore</t>
  </si>
  <si>
    <t>0332-4266914</t>
  </si>
  <si>
    <t>Salamat Ali</t>
  </si>
  <si>
    <t>Assistant Director (Budget, Finance &amp; Taxation)</t>
  </si>
  <si>
    <t>MBA, PIPFA, CA Finalist</t>
  </si>
  <si>
    <t>Post Office Talwandi Mosa Khan, Gujranwala</t>
  </si>
  <si>
    <t>0333-3089300</t>
  </si>
  <si>
    <t>Muhammad Ali Hassan</t>
  </si>
  <si>
    <t>Muhammad Rafique Javed</t>
  </si>
  <si>
    <t>Assistant Director (DevOps)</t>
  </si>
  <si>
    <t>Devops Department</t>
  </si>
  <si>
    <t>MS (big data technology)</t>
  </si>
  <si>
    <t>Present: House No. 390, Block F, Jubliee Town, Jalyana, Tehsil Raiwind, District Lahore
Permanent: House No. 97, Block Ghaznawai Extension Sector F, Bahria Town Ram Koat, Tehsil Raiwind, District Lahore</t>
  </si>
  <si>
    <t>0345-6344055</t>
  </si>
  <si>
    <t>Muhammad Ali</t>
  </si>
  <si>
    <t>Sami Ullah</t>
  </si>
  <si>
    <t>Assistant Director (Headquarter, Admin/Operations)</t>
  </si>
  <si>
    <t>Admin Department</t>
  </si>
  <si>
    <t>B.A, LLB, IFMP</t>
  </si>
  <si>
    <t>Khalid bin Waleed street House no 26/6, satreet no 39-B, muhallah Allama Iqbal Town, Lhaore.</t>
  </si>
  <si>
    <t>0323-4543772</t>
  </si>
  <si>
    <t>Muhammad Ahmed</t>
  </si>
  <si>
    <t>Sheikh Tassadaq Hussain</t>
  </si>
  <si>
    <t>Assistant Director (IT)</t>
  </si>
  <si>
    <t>IT Department</t>
  </si>
  <si>
    <t>BSCS (Hons)</t>
  </si>
  <si>
    <t>House no. 65 A, Muhalla Allam Iqbal Road, Railway Colony, Lahore</t>
  </si>
  <si>
    <t>0331-4272946</t>
  </si>
  <si>
    <t>Rab Nawaz Baloch</t>
  </si>
  <si>
    <t>Haqnawaz Baloch</t>
  </si>
  <si>
    <t>Assistant Director (Legal)</t>
  </si>
  <si>
    <t>Legal Department</t>
  </si>
  <si>
    <t>LLB, DIPL</t>
  </si>
  <si>
    <t>House no 218-B, Muhammad Ali Johar Town Lahore</t>
  </si>
  <si>
    <t>0321-4364444</t>
  </si>
  <si>
    <t>Muhammad Moeen Chishti</t>
  </si>
  <si>
    <t>Nadeem Asghar Chishti</t>
  </si>
  <si>
    <t>Assistant Director (Monitoring &amp; Evaluation)</t>
  </si>
  <si>
    <t>FCCA, ACA, M.Com, BFP</t>
  </si>
  <si>
    <t>House no. 764, Nashiman e Iqbal, Housing Society Lahore</t>
  </si>
  <si>
    <t>0333-3311127</t>
  </si>
  <si>
    <t>Syed Rizwan Haider</t>
  </si>
  <si>
    <t>Manzoor Hussain</t>
  </si>
  <si>
    <t>Assistant Director (Projects, Planning &amp; Special Initiatives)</t>
  </si>
  <si>
    <t>B.Tech (Civil)</t>
  </si>
  <si>
    <t>Ratti Ram Pura, Post Office Gulab Ali Distt. Bahawalnagar</t>
  </si>
  <si>
    <t>0333-9919495</t>
  </si>
  <si>
    <t>Asim Shahbaz</t>
  </si>
  <si>
    <t>Muhammad Arshad</t>
  </si>
  <si>
    <t>Assistant Director (Security &amp; Surveillance)</t>
  </si>
  <si>
    <t>Master</t>
  </si>
  <si>
    <t>Nazar Labana, Tehsil Sharqpur, District Sheikhupura</t>
  </si>
  <si>
    <t>0321-1278628</t>
  </si>
  <si>
    <t>Usman Badar</t>
  </si>
  <si>
    <t>Muhammad Saeed Kamboh</t>
  </si>
  <si>
    <t>Assistant Director, Operations &amp; Revenue (Central &amp; North)</t>
  </si>
  <si>
    <t>BS (Electrical Engineering)</t>
  </si>
  <si>
    <t>House no. 201, Muhalla Block no 2, sector D-1, Township Lahore</t>
  </si>
  <si>
    <t>0322-4556033</t>
  </si>
  <si>
    <t>Barkat Ali</t>
  </si>
  <si>
    <t>Riaz Ahmad</t>
  </si>
  <si>
    <t>Structural Design Engineer</t>
  </si>
  <si>
    <t>MS (Construction Engineering and Management)</t>
  </si>
  <si>
    <t>Nawaz Medical Store P/O Choti Zareen Tehsil Kot Chutta,District DG Khan</t>
  </si>
  <si>
    <t>0333-8559919</t>
  </si>
  <si>
    <t>Sheikh Muhammad Zohaib Hassan</t>
  </si>
  <si>
    <t xml:space="preserve">Ameer Muhammad </t>
  </si>
  <si>
    <t xml:space="preserve">Sahulat Bazaar Incharge
</t>
  </si>
  <si>
    <t>Bhakkar</t>
  </si>
  <si>
    <t>BSCS (Hons), MSC</t>
  </si>
  <si>
    <t xml:space="preserve">mohallah sheikhanwala soneri masjid Dullewala  Tehsil Darya Khan Dist Bhakkar </t>
  </si>
  <si>
    <t>0336-5128028</t>
  </si>
  <si>
    <t>Raheel Anwar</t>
  </si>
  <si>
    <t>Khalil Anwar</t>
  </si>
  <si>
    <t>Gujrat</t>
  </si>
  <si>
    <t>BCS (Hons)</t>
  </si>
  <si>
    <t>House No. B-7/153, Mohallah Kucha Bandi Gujrat.</t>
  </si>
  <si>
    <t>0334-4669789</t>
  </si>
  <si>
    <t>Ali Zia</t>
  </si>
  <si>
    <t>Zia Ud Din</t>
  </si>
  <si>
    <t>Accounts Receivable Officer</t>
  </si>
  <si>
    <t>MBA (Finance)</t>
  </si>
  <si>
    <t>House no. 1/2, street no 2, dusr road Baghbanpura, Lahore</t>
  </si>
  <si>
    <t>0333-4430636</t>
  </si>
  <si>
    <t>Qamar Shahzad</t>
  </si>
  <si>
    <t>Shukar Din</t>
  </si>
  <si>
    <t>Admin Officer</t>
  </si>
  <si>
    <t>Graduation</t>
  </si>
  <si>
    <t>House no. 263,Hunza Block, Allama Iqbal Town, Lahore</t>
  </si>
  <si>
    <t>0302-4041664</t>
  </si>
  <si>
    <t>Umair Iqbal</t>
  </si>
  <si>
    <t>Asset Management Officer</t>
  </si>
  <si>
    <t>BS Hons(Accounting &amp; Finance)</t>
  </si>
  <si>
    <t>House No. 11, Shamsabad, Misri Shah, Lahore</t>
  </si>
  <si>
    <t>0323-8445344</t>
  </si>
  <si>
    <t xml:space="preserve">Tahir Majeed </t>
  </si>
  <si>
    <t>Majeed Ahmad</t>
  </si>
  <si>
    <t>Assistant Engineer Elctrical</t>
  </si>
  <si>
    <t>Electrical Department</t>
  </si>
  <si>
    <t>Muhalla Islampura Narowal</t>
  </si>
  <si>
    <t>0337-7779500</t>
  </si>
  <si>
    <t>Salman Elahi</t>
  </si>
  <si>
    <t>Shafqat Elahi</t>
  </si>
  <si>
    <t>Finance &amp; Taxation Officer</t>
  </si>
  <si>
    <t>House no. 359, Nizam Block, Allama Iqbal Town, Lahore</t>
  </si>
  <si>
    <t>0334-9766114</t>
  </si>
  <si>
    <t>Hashir Kaleem</t>
  </si>
  <si>
    <t>Kaleem Anwar</t>
  </si>
  <si>
    <t>HR Operations Officer</t>
  </si>
  <si>
    <t>House No. 143 Chuburju Park, Multan Road, Lahore</t>
  </si>
  <si>
    <t>0336-4338810</t>
  </si>
  <si>
    <t>Lifetime</t>
  </si>
  <si>
    <t>Special/Disable Person</t>
  </si>
  <si>
    <t>Wasim Akram</t>
  </si>
  <si>
    <t>Muhammad Akram</t>
  </si>
  <si>
    <t>Master in Urdu</t>
  </si>
  <si>
    <t>Chak No. 735GB, Tehsil Kamalia Distt. Toba Tek Singh</t>
  </si>
  <si>
    <t>0333-4395774</t>
  </si>
  <si>
    <t>Muhammad Imran Saeed</t>
  </si>
  <si>
    <t>Saeed Ahmad</t>
  </si>
  <si>
    <t>Procurement Officer</t>
  </si>
  <si>
    <t>M.Com</t>
  </si>
  <si>
    <t>Chak No. 47/3R,Tehsil Haroonabad Distt. Bahwalnagar</t>
  </si>
  <si>
    <t>0333-6336457</t>
  </si>
  <si>
    <t>Muhammad Faisal Tariq</t>
  </si>
  <si>
    <t>Haji Muhammad Tariq</t>
  </si>
  <si>
    <t>Public Relations Officer</t>
  </si>
  <si>
    <t>Media Department</t>
  </si>
  <si>
    <t>M.A (Political Science)</t>
  </si>
  <si>
    <t>House no. 240, Mamdot Block, Mustafa Town, Lahore</t>
  </si>
  <si>
    <t>0343-4871483</t>
  </si>
  <si>
    <t xml:space="preserve">Zahid Imran </t>
  </si>
  <si>
    <t>Manzoor Ahmad Tahir</t>
  </si>
  <si>
    <t>Sahulat Bazaar Incharge
(Divisional Incharge)</t>
  </si>
  <si>
    <t>Jhang Road Faisalabad</t>
  </si>
  <si>
    <t>M.Phil (Business Administration)</t>
  </si>
  <si>
    <t>P-3500 Near Sun Model School, Manawala, Faisalabad.</t>
  </si>
  <si>
    <t>0333-6575976</t>
  </si>
  <si>
    <t>Umar Faraz</t>
  </si>
  <si>
    <t>Malik Sarfaraz Arif</t>
  </si>
  <si>
    <t>Kasur</t>
  </si>
  <si>
    <t>M.A Political Science</t>
  </si>
  <si>
    <t>14/P Phase 2 Johar Town Lahore, Lahore</t>
  </si>
  <si>
    <t>0321-4944279</t>
  </si>
  <si>
    <t>Jawad Zaheer</t>
  </si>
  <si>
    <t>Khalid Zaheer</t>
  </si>
  <si>
    <t>Khanewal</t>
  </si>
  <si>
    <t>M.Com (Hons)</t>
  </si>
  <si>
    <t>Chak no 105 TDA P/O Basti Sabani Tehsil karor lal esan District Layyah</t>
  </si>
  <si>
    <t>0321-6761633</t>
  </si>
  <si>
    <t>Qasim Hussain</t>
  </si>
  <si>
    <t>Muhammad Hassan</t>
  </si>
  <si>
    <t>Lodhran</t>
  </si>
  <si>
    <t>House No: 81-C, Street No: 2, Block Y, Model Town C, Bahawalpur.</t>
  </si>
  <si>
    <t>0300-7109613</t>
  </si>
  <si>
    <t>Saqib Shehzad</t>
  </si>
  <si>
    <t xml:space="preserve">ATTA MUHAMMAD </t>
  </si>
  <si>
    <t>Okara</t>
  </si>
  <si>
    <t>M.A (Punjabi)</t>
  </si>
  <si>
    <t>HOUSE NO.20, STREET NO. G, HOUSING COLONY NO.1, TOBA TEK SINGH</t>
  </si>
  <si>
    <t>0300-6562900</t>
  </si>
  <si>
    <t>Raza Hussain</t>
  </si>
  <si>
    <t>Imdad Hussain</t>
  </si>
  <si>
    <t>Sargodha</t>
  </si>
  <si>
    <t>M.Phil (Political Science)</t>
  </si>
  <si>
    <t>Vanike Tarrar Road, Jhariyan Wala,, Hafizabad</t>
  </si>
  <si>
    <t>0346-6000367</t>
  </si>
  <si>
    <t>Ahmad Mahi Ud Din</t>
  </si>
  <si>
    <t>Rahat Hussain</t>
  </si>
  <si>
    <t>Township</t>
  </si>
  <si>
    <t>Master of Mass Communication &amp; Media Studies</t>
  </si>
  <si>
    <t>G-1228 Nawan Mohallah inside Sheranwala Gate Lahore</t>
  </si>
  <si>
    <t>0322-2211546</t>
  </si>
  <si>
    <t>Muhammad Usman</t>
  </si>
  <si>
    <t>Abdul Hameed</t>
  </si>
  <si>
    <t>D-64 punjab university town two near qadir topaz chowk lahore</t>
  </si>
  <si>
    <t>0300-8818660</t>
  </si>
  <si>
    <t>Shafique Ur Rehman</t>
  </si>
  <si>
    <t>Muhammad Khan</t>
  </si>
  <si>
    <t>Bhera</t>
  </si>
  <si>
    <t>B.A</t>
  </si>
  <si>
    <t>H#40 BLOCK # 28 NEW CIVIL LINES JOHAR ABAD KHUSHAB</t>
  </si>
  <si>
    <t>0304-4864004</t>
  </si>
  <si>
    <t>Hafiz Rao Naveed Ahmad</t>
  </si>
  <si>
    <t>Khalil Ahmad</t>
  </si>
  <si>
    <t>Burewala</t>
  </si>
  <si>
    <t>Master of Science</t>
  </si>
  <si>
    <t>Dak Khana Khas, Gulab Ali, Tehsil &amp; District Bahawalnagar</t>
  </si>
  <si>
    <t>0306-1212421</t>
  </si>
  <si>
    <t>Iftikhar Iqbal</t>
  </si>
  <si>
    <t>Pehalwan Khan</t>
  </si>
  <si>
    <t>Chakwal</t>
  </si>
  <si>
    <t>CHAH ISLAM ABAD   P/O BAGH ASHABA SHUMALI JHANG</t>
  </si>
  <si>
    <t>0343-7666905</t>
  </si>
  <si>
    <t>Ahmad Mahmood</t>
  </si>
  <si>
    <t>Hamid Mahmood</t>
  </si>
  <si>
    <t>China Scheme</t>
  </si>
  <si>
    <t>House # 183, Block-J, Sabzazaar Scheme, Lahore</t>
  </si>
  <si>
    <t>0322-8888985</t>
  </si>
  <si>
    <t>Rashid Ali</t>
  </si>
  <si>
    <t>Niamat Ali</t>
  </si>
  <si>
    <t>Chung</t>
  </si>
  <si>
    <t>BBA (Hons)</t>
  </si>
  <si>
    <t>Babliyana Autar, Dak Khana Khas, Raiwind, District Lahore</t>
  </si>
  <si>
    <t>0311-4005766</t>
  </si>
  <si>
    <t>Shahid Aziz</t>
  </si>
  <si>
    <t>Abdul Aziz</t>
  </si>
  <si>
    <t>DG KHAN</t>
  </si>
  <si>
    <t>BA</t>
  </si>
  <si>
    <t>Chah Rind Wala, P/O Aali Wala, Tehsil Kot Chhutta, District D.G.Khan</t>
  </si>
  <si>
    <t>03315346060</t>
  </si>
  <si>
    <t>Adil Sajjad Mureed</t>
  </si>
  <si>
    <t>Ch Mureed Hussain Gondal</t>
  </si>
  <si>
    <t>DG Khan</t>
  </si>
  <si>
    <t>Kot dina p.o and tehseel sambrial distric Sialkot</t>
  </si>
  <si>
    <t>0300-5408388</t>
  </si>
  <si>
    <t>Muhammad Farooq Chohan</t>
  </si>
  <si>
    <t>Muhammad Ayub Chohan</t>
  </si>
  <si>
    <t>Gujranwala</t>
  </si>
  <si>
    <t>Village Jalhan PO Tehsil &amp; District Gujranwala</t>
  </si>
  <si>
    <t>0301-4853339</t>
  </si>
  <si>
    <t>Naveed Anjum</t>
  </si>
  <si>
    <t>Bashir Ahmad</t>
  </si>
  <si>
    <t>Sahulat Bazaar Incharge</t>
  </si>
  <si>
    <t>Harbanspura</t>
  </si>
  <si>
    <t>MBA (Business Administration)</t>
  </si>
  <si>
    <t>House No. 116/B, Gulshn E Lahore scheme near Wapda Town Lahore</t>
  </si>
  <si>
    <t>0333-4497445</t>
  </si>
  <si>
    <t>Abdul Hafeez</t>
  </si>
  <si>
    <t>Mukhtar Ahmad</t>
  </si>
  <si>
    <t>Computer Operator</t>
  </si>
  <si>
    <t>House no. 15, Muhalla Block 11, sector B-1, Township, Lahore</t>
  </si>
  <si>
    <t>0320-5515815</t>
  </si>
  <si>
    <t>Rizwan Shoukat</t>
  </si>
  <si>
    <t>Shaukat Ali</t>
  </si>
  <si>
    <t>Intermediate</t>
  </si>
  <si>
    <t>House # 260-A2, Johar Town, Lahore</t>
  </si>
  <si>
    <t>0309-7747813</t>
  </si>
  <si>
    <t>Zain ul Abideen</t>
  </si>
  <si>
    <t>Abid Ali</t>
  </si>
  <si>
    <t>Muhalla Shadiwal Majha, Township Lahore</t>
  </si>
  <si>
    <t>0312-6887862</t>
  </si>
  <si>
    <t>Sehar Fatima</t>
  </si>
  <si>
    <t>Syed Zahoor Hussain</t>
  </si>
  <si>
    <t>Monitoring &amp; Evalution Assistant</t>
  </si>
  <si>
    <t>House no 24, street no 11, mUhalla Shaheen Park Mughal pura lahore Cantt.
Hhouse no 11, street no 99, Muhalla awami street aziz park new wassann lahore cannt.</t>
  </si>
  <si>
    <t>0331-4030651</t>
  </si>
  <si>
    <t>Hassan Ali Shah Shami</t>
  </si>
  <si>
    <t>Salman Iftikhar Ali Shami</t>
  </si>
  <si>
    <t>Network Support Associate</t>
  </si>
  <si>
    <t xml:space="preserve">BSCS </t>
  </si>
  <si>
    <t>H # 1/27-C, GOR 3 Shadman, Lahore.</t>
  </si>
  <si>
    <t>0309-9822914</t>
  </si>
  <si>
    <t>Nabeel Jamil</t>
  </si>
  <si>
    <t>Muhammad Jameel</t>
  </si>
  <si>
    <t>BSCS</t>
  </si>
  <si>
    <t>House no. 325, street no. 42, Muhalla Kareem Park Chah Meeran, Lahore</t>
  </si>
  <si>
    <t>0304-0426764</t>
  </si>
  <si>
    <t>Saba Aftab</t>
  </si>
  <si>
    <t>W/O Zeeshan Ahmad Qureshi</t>
  </si>
  <si>
    <t>Office Supervisor</t>
  </si>
  <si>
    <t>BS (Hons)</t>
  </si>
  <si>
    <t>House # 81, Street # 2, Mohalla Maqam Hayat Near Masjid Ahle Hadees, Sargodha</t>
  </si>
  <si>
    <t>0333-4155753</t>
  </si>
  <si>
    <t>Muhammad Husnain</t>
  </si>
  <si>
    <t>Muhammad Rafique</t>
  </si>
  <si>
    <t>Project Coordinator</t>
  </si>
  <si>
    <t>House # 2, Street # 1, Muhalla Ahamadabad, Samadpura Road, Okara.</t>
  </si>
  <si>
    <t>0301-7326050</t>
  </si>
  <si>
    <t>Zeeshan Haider Awan</t>
  </si>
  <si>
    <t>Abdul Aziz Awan</t>
  </si>
  <si>
    <t>H # 12/35 Muhallah Hattara wala, Bhera</t>
  </si>
  <si>
    <t>0300-5214255</t>
  </si>
  <si>
    <t>Zee Waqar Mehdi</t>
  </si>
  <si>
    <t>Allah Bakhash</t>
  </si>
  <si>
    <t>Sub-Engineer (Civil)</t>
  </si>
  <si>
    <t>Mauza Panwar Shumali, P/O Mehmood Kot, Tehsil Kot Adu, District Muzaffar Garh</t>
  </si>
  <si>
    <t>0304-7646069</t>
  </si>
  <si>
    <t>Zain Ahmed</t>
  </si>
  <si>
    <t>Ahmed Saleem</t>
  </si>
  <si>
    <t>Sub-Engineer (Maintenance)</t>
  </si>
  <si>
    <t>Chak # 190/9 AL, P.O Khas,Tehsil o District Sahiwal</t>
  </si>
  <si>
    <t>0308-7287090</t>
  </si>
  <si>
    <t>Allah Nawaz Khan</t>
  </si>
  <si>
    <t>Haq Nawaz Khan</t>
  </si>
  <si>
    <t>Jampur</t>
  </si>
  <si>
    <t>MA Economics</t>
  </si>
  <si>
    <t>Mehmodabad Colony, Shah Sikandar Road, Near Ghulam Nursary DG Khan</t>
  </si>
  <si>
    <t>0334-6748893</t>
  </si>
  <si>
    <t>Ahmad Ali Hashmi</t>
  </si>
  <si>
    <t>Muhammad Shees Qureshi</t>
  </si>
  <si>
    <t>Johar Town</t>
  </si>
  <si>
    <t>MBA (Marketing)</t>
  </si>
  <si>
    <t>House # 39, street # 16, Ibrahim road islam gunj lahore</t>
  </si>
  <si>
    <t>0313-4019247</t>
  </si>
  <si>
    <t>Muhammad Afzaal</t>
  </si>
  <si>
    <t>Ali Asghar</t>
  </si>
  <si>
    <t>House no. 234, Mohalla Bhatta Colony Chishtian Distt. Bahawalnagar</t>
  </si>
  <si>
    <t>0306-4373969</t>
  </si>
  <si>
    <t>Muhammad Zia</t>
  </si>
  <si>
    <t>Muhammad Riaz</t>
  </si>
  <si>
    <t>Khushab</t>
  </si>
  <si>
    <t>Khokhar Post Office Pail Khushab,
Tehsil &amp; District Khushab</t>
  </si>
  <si>
    <t>0302-2111020</t>
  </si>
  <si>
    <t>Zeeshan ul Hassan</t>
  </si>
  <si>
    <t>Muhammad Shafee</t>
  </si>
  <si>
    <t>Layyah</t>
  </si>
  <si>
    <t>MBA</t>
  </si>
  <si>
    <t>Basti Mathay Wala, PO Tail Indus, Chak No. 273 TDATehsil Karoor Lal Eisen, District Layyah</t>
  </si>
  <si>
    <t>0333-6171948</t>
  </si>
  <si>
    <t>Muhammad Mubashar Manzoor</t>
  </si>
  <si>
    <t>Chak # 26/11 L, Ghaziabad, P.O Khas,Tehsil Cheecha watni,District Sahiwal</t>
  </si>
  <si>
    <t>0301-1252626</t>
  </si>
  <si>
    <t>Rao Muzaffar Zulfiqar</t>
  </si>
  <si>
    <t>Rao Zulfiqar Ali</t>
  </si>
  <si>
    <t>Kotla Ali Dsty P.O Same Tehsil And Dist Lodhran</t>
  </si>
  <si>
    <t>0300-8196700</t>
  </si>
  <si>
    <t>Muhammad Ramzan</t>
  </si>
  <si>
    <t>Muhammad Younis</t>
  </si>
  <si>
    <t>Muzaffargarh</t>
  </si>
  <si>
    <t>B.Com</t>
  </si>
  <si>
    <t>Chak No. 133/TDA, Post office Lalazar, Tehsill and district layyah</t>
  </si>
  <si>
    <t>03007664898</t>
  </si>
  <si>
    <t>Umer Munir</t>
  </si>
  <si>
    <t>Munir Ahmad</t>
  </si>
  <si>
    <t>Pakpattan</t>
  </si>
  <si>
    <t>Chak No. 44/12L Tehsil Chicha Watni, Distt. Sahiwal</t>
  </si>
  <si>
    <t>0300_6084005</t>
  </si>
  <si>
    <t>Ali Raza</t>
  </si>
  <si>
    <t>Muhammad Aslam</t>
  </si>
  <si>
    <t>Raiwind</t>
  </si>
  <si>
    <t>BS Electrical Technology</t>
  </si>
  <si>
    <t>Muhala Kot Nihal Khan, Manga Road Raiwind Lahore</t>
  </si>
  <si>
    <t>0303-8686393</t>
  </si>
  <si>
    <t>Muhammad Waqas Farooqi</t>
  </si>
  <si>
    <t>Pervaiz Iqbal</t>
  </si>
  <si>
    <t>Rawalpindi</t>
  </si>
  <si>
    <t>Present: Mohalla Special Branch Sitara Market, Islamabad
Permanent: Dhook Salabat, Dak Khana  Bara Gwah Domeli, Tehsil Sohawa, District Jhelum</t>
  </si>
  <si>
    <t>0315-0540641</t>
  </si>
  <si>
    <t>Khurram Shehzad</t>
  </si>
  <si>
    <t>Malik Mursaleen</t>
  </si>
  <si>
    <t>H # C66 Koh-e-noor colony Peshawar road, Rawalpindi</t>
  </si>
  <si>
    <t>0322-5507733</t>
  </si>
  <si>
    <t>Tahir Mahmood</t>
  </si>
  <si>
    <t>Ali Sher Khan</t>
  </si>
  <si>
    <t>Sabzazaar</t>
  </si>
  <si>
    <t>B.Com, MBA</t>
  </si>
  <si>
    <t>Muhallah Railway colony Street Rana Karamat P/O Khas Raiwind, Lahore.</t>
  </si>
  <si>
    <t>0333-4008663</t>
  </si>
  <si>
    <t>Muhammad Saleem</t>
  </si>
  <si>
    <t>Muhammad Pora P.O Thokar Niaz Baig Raiwind Road Lahore</t>
  </si>
  <si>
    <t>0300-4142697</t>
  </si>
  <si>
    <t>Hafiz Muhamad Saleem Ullah</t>
  </si>
  <si>
    <t>Ghulam Rasool</t>
  </si>
  <si>
    <t>Hazoor Pur Post office Khas, Tehsil Bhalwal, District  Sargodha</t>
  </si>
  <si>
    <t>0345-8623705</t>
  </si>
  <si>
    <t>Mahmood Ahmad</t>
  </si>
  <si>
    <t xml:space="preserve">Maqbool Ahmad </t>
  </si>
  <si>
    <t>Sher Shah Colony</t>
  </si>
  <si>
    <t>Bara Street, Maqbool Bara House,Hanjer wall PO Box Awan Town Lahore.</t>
  </si>
  <si>
    <t>0321-4366983</t>
  </si>
  <si>
    <t>Falak Sher</t>
  </si>
  <si>
    <t>Muhammad Khadim Hussain</t>
  </si>
  <si>
    <t>Thokar</t>
  </si>
  <si>
    <t>28 Islam Block, Azam Garden, Multan Road Lahore</t>
  </si>
  <si>
    <t>0323-3003000</t>
  </si>
  <si>
    <t>Malik Asim</t>
  </si>
  <si>
    <t>Iftikhar Mohsin</t>
  </si>
  <si>
    <t>Moh. Johar Town, Samsani khoi, Lahore</t>
  </si>
  <si>
    <t>0321-4883161</t>
  </si>
  <si>
    <t>Muhammad Zohaib Aslam</t>
  </si>
  <si>
    <t>Malik M.Aslam</t>
  </si>
  <si>
    <t>Sahulat Bazaar Supervisor</t>
  </si>
  <si>
    <t>Anti Encroachment Squad</t>
  </si>
  <si>
    <t>B.Com, LLB</t>
  </si>
  <si>
    <t>House No,3  Street No.3 Faiz Street New Ahmed Avenue Butt Chowk College Road Township Lahore</t>
  </si>
  <si>
    <t>0324-4315801</t>
  </si>
  <si>
    <t>Saad Ibnan</t>
  </si>
  <si>
    <t>Ibnan Riaz</t>
  </si>
  <si>
    <t>H no. 426 Kareem Block Allama Iqbal Town Lahore</t>
  </si>
  <si>
    <t>0323-4295659</t>
  </si>
  <si>
    <t>Muhammad Qasim</t>
  </si>
  <si>
    <t>Muhammad sadiq</t>
  </si>
  <si>
    <t xml:space="preserve">Sahulat Bazaar Supervisor
</t>
  </si>
  <si>
    <t>Bhalwal</t>
  </si>
  <si>
    <t>Bachelor of Library &amp; Information sciences</t>
  </si>
  <si>
    <t>Hafiz Abad Road,Street #3,Mohlla Mania Wala,Qila Dedar Singh Gujranwala</t>
  </si>
  <si>
    <t>0312-6262233</t>
  </si>
  <si>
    <t>Anees Ahmad</t>
  </si>
  <si>
    <t xml:space="preserve">Muhammad Maroof </t>
  </si>
  <si>
    <t xml:space="preserve">House No 60 Ahata chiragh Din 45 G.T Road Swami Nagar Lahore </t>
  </si>
  <si>
    <t>0300-4789591</t>
  </si>
  <si>
    <t>Ayaz Ashfaq</t>
  </si>
  <si>
    <t xml:space="preserve">Muhammad Ashfaq </t>
  </si>
  <si>
    <t xml:space="preserve"> H#1, Mohalla Aitchison Collage Lahore </t>
  </si>
  <si>
    <t>0331-4796303</t>
  </si>
  <si>
    <t>Hamid Bashir</t>
  </si>
  <si>
    <t>Hafiz Muhammad Bashir</t>
  </si>
  <si>
    <t>Gulshan Ravi (Sahulat on the Go)</t>
  </si>
  <si>
    <t xml:space="preserve">Shah Pur Kanjra Post office Khas Mohallah Bullah Ghari Multan Road Lahore </t>
  </si>
  <si>
    <t>0321-4239692</t>
  </si>
  <si>
    <t>Kafeel Ahmad</t>
  </si>
  <si>
    <t>Home Delivery Department</t>
  </si>
  <si>
    <t>Chak No.47/03-R, Tehsil Haroon Abad, District Bahawalpnagar</t>
  </si>
  <si>
    <t>0302-9392989</t>
  </si>
  <si>
    <t xml:space="preserve">Kashif Ali </t>
  </si>
  <si>
    <t>Muhammad Ashiq</t>
  </si>
  <si>
    <t>B.Tech (Electrical), B.A</t>
  </si>
  <si>
    <t>Village Gohar Hathar P.O Joura Tehsil and District Kasur</t>
  </si>
  <si>
    <t>0300-2916890</t>
  </si>
  <si>
    <t xml:space="preserve">Naqqash Abd-ul-razaq </t>
  </si>
  <si>
    <t>Abd-ul-razaq</t>
  </si>
  <si>
    <t xml:space="preserve">Kocha Zahoor Hussain Kot Fateh Din Khan Kasur </t>
  </si>
  <si>
    <t>0322-6584746</t>
  </si>
  <si>
    <t>Ijaz Ahmed</t>
  </si>
  <si>
    <t>Ajmer Shah</t>
  </si>
  <si>
    <t>Mader e Millat (Sahulat on the Go)</t>
  </si>
  <si>
    <t>Murid wal Thokar Niaz Baig</t>
  </si>
  <si>
    <t>0322-4803186</t>
  </si>
  <si>
    <t>Nadeem Abbas</t>
  </si>
  <si>
    <t xml:space="preserve">ALLAH DITTA </t>
  </si>
  <si>
    <t>Toba Tek Singh</t>
  </si>
  <si>
    <t>M.A (Urdu)</t>
  </si>
  <si>
    <t>STREET NO.5 MOHALLAH BAKHSHI PARK TOBA TEK SINGH</t>
  </si>
  <si>
    <t>0347-7740002</t>
  </si>
  <si>
    <t>Muhammad Ishtiaq</t>
  </si>
  <si>
    <t>Muhammad Nazir</t>
  </si>
  <si>
    <t>Wahdat Colony</t>
  </si>
  <si>
    <t>B.A, LLB</t>
  </si>
  <si>
    <t>House #440, Rana Ashraf Colony #2 Bhalwal , District Sargodha</t>
  </si>
  <si>
    <t>0321-5012628</t>
  </si>
  <si>
    <t>Malik Noor Hussain Khalid</t>
  </si>
  <si>
    <t>Khalid Mehmood</t>
  </si>
  <si>
    <t>Doctor of Medical Lab Sciences</t>
  </si>
  <si>
    <t>House No. 12-C, Main Bazaar Rana Town, Near Mansoorah, Multan</t>
  </si>
  <si>
    <t>0301-9228888</t>
  </si>
  <si>
    <t>Muhammad Nisar</t>
  </si>
  <si>
    <t>Chaudhary Khalil Ahmad</t>
  </si>
  <si>
    <t>Dak Khana Khas, Shamky Bhatti Tehsil &amp; District Lahore</t>
  </si>
  <si>
    <t>0302-4764550</t>
  </si>
  <si>
    <t>Muhammad Waseem</t>
  </si>
  <si>
    <t>Nazeer Ahmad</t>
  </si>
  <si>
    <t>Qureshi Street, House No. 74, Rab Rab Colony, Band Road Dholanwal, Lahore</t>
  </si>
  <si>
    <t>0306-0828189</t>
  </si>
  <si>
    <t>Nabeel Ahmad</t>
  </si>
  <si>
    <t>Present : H # 53/21-S-12, Street # Quaid e Azam, Mohalla Liaqaabad Salamatpura, Lahore Cantt, District Lahore</t>
  </si>
  <si>
    <t>0308-8566320</t>
  </si>
  <si>
    <t>Muhammad Ijaz Hussain</t>
  </si>
  <si>
    <t>Khalid parveez</t>
  </si>
  <si>
    <t>Awan Town (Sahulat on the GO)</t>
  </si>
  <si>
    <t xml:space="preserve">Village Samsani khoi PO NEW  Campus  Lahore </t>
  </si>
  <si>
    <t>0322-4003045</t>
  </si>
  <si>
    <t>Aziz ur Rehman Chughtai</t>
  </si>
  <si>
    <t>Fazal Ellahi Dilshad</t>
  </si>
  <si>
    <t>Bahawalpur</t>
  </si>
  <si>
    <t>Bakshan Arai, Basti Ahmedabad, Post Office Koat Samaba, Rahim Yar Khan</t>
  </si>
  <si>
    <t>0318-3396880</t>
  </si>
  <si>
    <t>AE</t>
  </si>
  <si>
    <t>Qamar uzzaman</t>
  </si>
  <si>
    <t>Abrar Hussain</t>
  </si>
  <si>
    <t>Dak Khana Khas, Chak No. 211/9 R, Tehsil Fort Abbas, District Bahawalnagar</t>
  </si>
  <si>
    <t>0303-4212211</t>
  </si>
  <si>
    <t>Muhammad Sohail Anjum</t>
  </si>
  <si>
    <t>Muhammad Sabir</t>
  </si>
  <si>
    <t>H # 371/9 Muhallah Chota Sethiyan Wala, Bhera</t>
  </si>
  <si>
    <t>0305-7140246</t>
  </si>
  <si>
    <t>Mahnoor Asif</t>
  </si>
  <si>
    <t>Asif Ali Ghani</t>
  </si>
  <si>
    <t>M.A (Islamic Studies)</t>
  </si>
  <si>
    <t>H # 64, Street # 7, Ehali Park,Wassan Pura,Lahore</t>
  </si>
  <si>
    <t>0318-0670301</t>
  </si>
  <si>
    <t>Muhammad Abu Bakar</t>
  </si>
  <si>
    <t>Peeran Dita</t>
  </si>
  <si>
    <t>Near Govt. Boys High School Chung Multan Road</t>
  </si>
  <si>
    <t>0304-3740472</t>
  </si>
  <si>
    <t>Ghazanfar Ali</t>
  </si>
  <si>
    <t>Muhammad Siddique Naeem</t>
  </si>
  <si>
    <t>211/9 R,P.O Khas, Tehsil Fortabas,District Bahawalnagar</t>
  </si>
  <si>
    <t>0304-7020238</t>
  </si>
  <si>
    <t>Muhammad Shafqat</t>
  </si>
  <si>
    <t>DAE, B.A</t>
  </si>
  <si>
    <t>Present : Basti Pandhi Khan, P.O Choti Zeeren, Mutafariq Chahan, Tehsil Kot Chatha, District D.G Khan</t>
  </si>
  <si>
    <t>0333-7411782</t>
  </si>
  <si>
    <t>Muhammad Waris Bhutta</t>
  </si>
  <si>
    <t>Atta Muhammad</t>
  </si>
  <si>
    <t>H # 15,Block # 43,DG Khan</t>
  </si>
  <si>
    <t>0336-6427323</t>
  </si>
  <si>
    <t>Rashid Iqbal</t>
  </si>
  <si>
    <t>Hussain Bakhsh Khan</t>
  </si>
  <si>
    <t>M.A</t>
  </si>
  <si>
    <t>Chah Waday Wala, Choti Zarin, Tehsil Kot Chatha District Dera Ghazi Khan</t>
  </si>
  <si>
    <t>0334-6790634</t>
  </si>
  <si>
    <t>Naeem Ullah</t>
  </si>
  <si>
    <t>Muhammad Sadiq</t>
  </si>
  <si>
    <t>Post Office Mitranwali, Kotli Khanun, Daska, District Sialkot</t>
  </si>
  <si>
    <t>0300-6492459</t>
  </si>
  <si>
    <t>Muhammad Shahzaib</t>
  </si>
  <si>
    <t>Malik Muhammad Shafi</t>
  </si>
  <si>
    <t>Gulshan Ravi (Sahulat on the GO)</t>
  </si>
  <si>
    <t>Ayub Street, House No. 21-B, Mohalla Shah Jamal Kamal Road, Chowk, Ashiqabad, Ichra Lahore</t>
  </si>
  <si>
    <t>0303-2304000</t>
  </si>
  <si>
    <t>Jahangeer Shafique</t>
  </si>
  <si>
    <t>Muhammad Shafique</t>
  </si>
  <si>
    <t>Hafizabad</t>
  </si>
  <si>
    <t>House # 2, Street # 5 Chaudhary Street, Muhalla Panjpeer, Mughalpura, Lahore Cantt. Distt. Lahore</t>
  </si>
  <si>
    <t>0300-4858475</t>
  </si>
  <si>
    <t>Zulfiqar Ahmad</t>
  </si>
  <si>
    <t>Mohalla Bollay, Gujrat</t>
  </si>
  <si>
    <t>0341-6022676</t>
  </si>
  <si>
    <t>Samrah Noreen</t>
  </si>
  <si>
    <t>Wife of Mr. Khalid Hussain</t>
  </si>
  <si>
    <t>B.A B.ED</t>
  </si>
  <si>
    <t>Dak Khana Khas, Bharri Chatha, Tehsil &amp; District Hafizabad</t>
  </si>
  <si>
    <t>0343-6115550
0304-8910048</t>
  </si>
  <si>
    <t>Muhammad Afaq</t>
  </si>
  <si>
    <t>Muhammad Ameen</t>
  </si>
  <si>
    <t>Mohalla Mushtaq Colony, Kasur</t>
  </si>
  <si>
    <t>0311-4261156</t>
  </si>
  <si>
    <t>Muhammad Haider Hassan</t>
  </si>
  <si>
    <t>Muhammad Riaz Hassan</t>
  </si>
  <si>
    <t>Graphic Designer</t>
  </si>
  <si>
    <t>Govt Employees Cooperative House Society, House No. 374, Block 2, Mohalla Township Sector C2, Lahore</t>
  </si>
  <si>
    <t>0321-8494684
0334-9666952</t>
  </si>
  <si>
    <t>Zain Arshad</t>
  </si>
  <si>
    <t>Arshad Mahmood</t>
  </si>
  <si>
    <t>Jr. System Administor</t>
  </si>
  <si>
    <t>House No. 123-a, Street No. 51, Mohalla Mujahidabad Mughalpura Lahore</t>
  </si>
  <si>
    <t>0317-4326730</t>
  </si>
  <si>
    <t>Abid Munir</t>
  </si>
  <si>
    <t>Muhammad Munir</t>
  </si>
  <si>
    <t>Monitoring Supervisor</t>
  </si>
  <si>
    <t>House No.136 Block N Margzar Colony Multan Road, Lahore</t>
  </si>
  <si>
    <t>0321-3222219</t>
  </si>
  <si>
    <t>Adnan Javed</t>
  </si>
  <si>
    <t>Muhammad Javed</t>
  </si>
  <si>
    <t>Monitoring Department</t>
  </si>
  <si>
    <t>House#1 Sardar Street Quaid E Azam Park Kot Lakhpat Lahore</t>
  </si>
  <si>
    <t>0322-4728685</t>
  </si>
  <si>
    <t>Asad Ullah Khan</t>
  </si>
  <si>
    <t>Yar Asghar</t>
  </si>
  <si>
    <t>House No. 24-C, Mohalla Wahdat Road, Ghaosia Colony, Lahore</t>
  </si>
  <si>
    <t>0300-4343125 &amp; 0323-4162472</t>
  </si>
  <si>
    <t>Farhan khan</t>
  </si>
  <si>
    <t>Bakhti Rawan</t>
  </si>
  <si>
    <t xml:space="preserve">House No 700 Block C 2 Gujjar Pura China Schme Lahore </t>
  </si>
  <si>
    <t>0311-5056725</t>
  </si>
  <si>
    <t>Ghulam Mustafa</t>
  </si>
  <si>
    <t>Muhammad Akbar</t>
  </si>
  <si>
    <t>Jamal Pura, Dak Khana Khas, Judhu Dheer, Tehsil Raiwind, District Lahore</t>
  </si>
  <si>
    <t>0334-8237627</t>
  </si>
  <si>
    <t>Imran Ramzan</t>
  </si>
  <si>
    <t>House 611 C farooq Street Chohan Park Band Road :Lahore</t>
  </si>
  <si>
    <t>0321-4307326</t>
  </si>
  <si>
    <t>Muhammad Irfan</t>
  </si>
  <si>
    <t>Noor Muhammad</t>
  </si>
  <si>
    <t>House No. 25-A, Muhalla PCSIR, Staff Colony, College Road Township, Lahore</t>
  </si>
  <si>
    <t>0323-4025770</t>
  </si>
  <si>
    <t>Muhammad Nabeel Gulzar</t>
  </si>
  <si>
    <t>Gulzar Ahmad</t>
  </si>
  <si>
    <t>MSC (Physical Education)</t>
  </si>
  <si>
    <t>GOR 1, Feeral Lodges Chamba House, Lahore</t>
  </si>
  <si>
    <t>0334-4434024</t>
  </si>
  <si>
    <t>Muhammad Nauman Baig</t>
  </si>
  <si>
    <t>Mirza Kamil Beg</t>
  </si>
  <si>
    <t>House No 182 Block 13 Sector B1 Township Lahore</t>
  </si>
  <si>
    <t>0302-4128268</t>
  </si>
  <si>
    <t>Rashid Mahmood</t>
  </si>
  <si>
    <t>Muhalla Tariqabad Managa Mandi Lahore</t>
  </si>
  <si>
    <t>0307-2034338</t>
  </si>
  <si>
    <t>Shabbir Hussain</t>
  </si>
  <si>
    <t>Allah ditta</t>
  </si>
  <si>
    <t>House no. 314, Katchi Abadi, people colony, Haroonabad Distt. Bahawalpur</t>
  </si>
  <si>
    <t>0333-6306331</t>
  </si>
  <si>
    <t>Maryam Aslam Khan</t>
  </si>
  <si>
    <t>Muhammad Aslam Khan</t>
  </si>
  <si>
    <t>Research Assistant</t>
  </si>
  <si>
    <t>House No. 17, Street No. 1, Mohalla Shahjahan Park, Baghbanpura Lahore Cantt</t>
  </si>
  <si>
    <t>0321-4827010</t>
  </si>
  <si>
    <t>Syeda Tayaba Bibi</t>
  </si>
  <si>
    <t>Shamshad Hussain Shah</t>
  </si>
  <si>
    <t>Bs. In Physics</t>
  </si>
  <si>
    <t>Malo Mehsy , Post office Khas, Tesil Daska, District Sialkoy</t>
  </si>
  <si>
    <t>0324-7852026</t>
  </si>
  <si>
    <t>Ali Raza Liaquat</t>
  </si>
  <si>
    <t>Liaquat Ali</t>
  </si>
  <si>
    <t>DAE civil</t>
  </si>
  <si>
    <t>Bhekewal Wahdat Road, Near Nizam Block Lahore</t>
  </si>
  <si>
    <t>0306-6827311</t>
  </si>
  <si>
    <t>Muhammad Ahtesham</t>
  </si>
  <si>
    <t>Muhammad Nasir</t>
  </si>
  <si>
    <t>Street no 55, house no 6, tauheedabad ravi road lahore</t>
  </si>
  <si>
    <t>0322-7900803</t>
  </si>
  <si>
    <t>Muhammad Usama Mubarik</t>
  </si>
  <si>
    <t>Mubarik Ali</t>
  </si>
  <si>
    <t>House No. 284-G, Bheekay Wala Moor Allama Iqbal Town, Lahore</t>
  </si>
  <si>
    <t>0310-4198509</t>
  </si>
  <si>
    <t>Hafiz Muhammad Saleem</t>
  </si>
  <si>
    <t>Muhammad Walayat</t>
  </si>
  <si>
    <t>Sub-Engineer Electrical</t>
  </si>
  <si>
    <t>Village Samsani khoi, PO New Campus, Johar Town Lahore</t>
  </si>
  <si>
    <t>0321-4146642</t>
  </si>
  <si>
    <t>Abdul Hameed Nasir</t>
  </si>
  <si>
    <t>Supervisor FHD</t>
  </si>
  <si>
    <t>Barkat Street, house no. 14, muhalla Gulshan abbas, scheme 2, multan road lahore, Tehsil Lahore city, Distt. Lahore.
P.Ad: Jhok Nawaz Chak No 231 EB, Dak Khana Khas Tehsil Borewala Distt. Vehari</t>
  </si>
  <si>
    <t>0306-2689852</t>
  </si>
  <si>
    <t>Gull e Madni</t>
  </si>
  <si>
    <t>Abdul Razaq</t>
  </si>
  <si>
    <t>House No. 18-B, Govt. Chauburji Garden Estate Multan Raod, Lahore</t>
  </si>
  <si>
    <t>0303-4222773</t>
  </si>
  <si>
    <t>Muhammad Zeeshan Mansha</t>
  </si>
  <si>
    <t>Muhammad Mansha</t>
  </si>
  <si>
    <t>Talab Saraye, Dak Khana Raiwind, Lahore</t>
  </si>
  <si>
    <t>0306-4145084</t>
  </si>
  <si>
    <t>Rafia Shabbir</t>
  </si>
  <si>
    <t>Ghulam Shabeer</t>
  </si>
  <si>
    <t>Koot Bhai Khan Tehsil Shahpur Distt. Sargodha</t>
  </si>
  <si>
    <t>0317-4557138</t>
  </si>
  <si>
    <t>Shamail Manzoor</t>
  </si>
  <si>
    <t>Manzoor Ahmad</t>
  </si>
  <si>
    <t>House no. 15, Block no 5, Sector D-1, Green Town Lahore</t>
  </si>
  <si>
    <t>0321-4589848</t>
  </si>
  <si>
    <t>Nasir Abbas</t>
  </si>
  <si>
    <t>Sajjad Hussain</t>
  </si>
  <si>
    <t>Chah Chandnay wala, Thath Gabolan, Dak Khana Khas, Tehsil Kot Chatta, Distt. Dera Ghazi Khan</t>
  </si>
  <si>
    <t>03327576910</t>
  </si>
  <si>
    <t>Muhammad Adeel Ashraf</t>
  </si>
  <si>
    <t>Muhammad Ashraf</t>
  </si>
  <si>
    <t>Jarranwala</t>
  </si>
  <si>
    <t>B.Tech</t>
  </si>
  <si>
    <t>Dak Khana Khas, Chak No. 374 GB, Arkan o Seeran, Tehsil Jaranwala, District Faisalabad</t>
  </si>
  <si>
    <t>0342-6163009</t>
  </si>
  <si>
    <t>Ahmad Ali</t>
  </si>
  <si>
    <t>Arshad Ali</t>
  </si>
  <si>
    <t>Chak No. 651/2 G.B, P/O Chak No 653/4 GB, Tehsil Jaranwala District Faisalabad</t>
  </si>
  <si>
    <t>0300-3651651</t>
  </si>
  <si>
    <t>Kashif Akram</t>
  </si>
  <si>
    <t>Jhang</t>
  </si>
  <si>
    <t>House No 173- 174 D-Block Gulfishan Colony Jhang Road Faisalabad.</t>
  </si>
  <si>
    <t>0321-9710045</t>
  </si>
  <si>
    <t>Muhammad Kashif Imran</t>
  </si>
  <si>
    <t>Rana Muhammad Siddiqui Khan</t>
  </si>
  <si>
    <t>Dak Khana Khas, Chak No. 334 GB Koat Ram Chand Tehsil Gojra District TT Singh</t>
  </si>
  <si>
    <t>0323-6688334</t>
  </si>
  <si>
    <t>Rizwan Manzoor</t>
  </si>
  <si>
    <t>Muhammad Manzoor</t>
  </si>
  <si>
    <t>Chah away wala P/O khaas ashaba shumali Distt Jhang.</t>
  </si>
  <si>
    <t>0347-7399131</t>
  </si>
  <si>
    <t>Haider Abbas</t>
  </si>
  <si>
    <t>Walait Hussain</t>
  </si>
  <si>
    <t>Dak Khana, Khas, 434 GB, Jhok Amraya, Tehhsil Jaranwala, District Faisalabad</t>
  </si>
  <si>
    <t>0346-5455613</t>
  </si>
  <si>
    <t xml:space="preserve">Kanwal Khalid </t>
  </si>
  <si>
    <t>Syed Khalid Hussain</t>
  </si>
  <si>
    <t>Dak Khana Khas, Shafi, Tehsil Arif Wala, District Pakpattan</t>
  </si>
  <si>
    <t>0303-6432220</t>
  </si>
  <si>
    <t>Muhammad Akbar Ali</t>
  </si>
  <si>
    <t>Noshera Dak Khana Dajil, Tehsil Jampur, District Rajanpur</t>
  </si>
  <si>
    <t>0305-9097988</t>
  </si>
  <si>
    <t>Tayyaba Yasmeen</t>
  </si>
  <si>
    <t>D/O Riaz Ahmad</t>
  </si>
  <si>
    <t xml:space="preserve">House No.A Mohalla Railway Colony Sector /49 Faisalabad. </t>
  </si>
  <si>
    <t>0308-6514726</t>
  </si>
  <si>
    <t>Razan Khalid</t>
  </si>
  <si>
    <t>Muhammad Khalid</t>
  </si>
  <si>
    <t>B.Com1-4-2023,</t>
  </si>
  <si>
    <t>House no. 314/SD, Mohalla People Colony, Faisalabad</t>
  </si>
  <si>
    <t>0305-6101779</t>
  </si>
  <si>
    <t>B.A Mas Communication</t>
  </si>
  <si>
    <t>House No. 89/B, Mohalla Sharif Park Phase-2, Bagariyan Lahore</t>
  </si>
  <si>
    <t>0306-0772626</t>
  </si>
  <si>
    <t>Atta Ullah</t>
  </si>
  <si>
    <t>Muhamad Hamayun</t>
  </si>
  <si>
    <t>Intermediate+Electrical Diploma, B.A</t>
  </si>
  <si>
    <t>House # 66c, bilal town stree # 5, awan town multan road lahore</t>
  </si>
  <si>
    <t>0320-4102525</t>
  </si>
  <si>
    <t>Muhammad Shahzad Hanif</t>
  </si>
  <si>
    <t>Muhammad Hanif</t>
  </si>
  <si>
    <t>Present: Mohalla Chowk, Numberdaran Hanjarwal, Multan Road Lahore
Permanent: Vanpur Doba, Dak Khana Pattoki Distrct Kasur</t>
  </si>
  <si>
    <t>0309-4974799</t>
  </si>
  <si>
    <t>Malik Farhan Ali</t>
  </si>
  <si>
    <t>Malik Farmaish Ali</t>
  </si>
  <si>
    <t>Near Nizam Block, Mohalla, Bhejywal, Allama Iqbal Town lahore</t>
  </si>
  <si>
    <t>0300-8070655</t>
  </si>
  <si>
    <t>Javed Iqbal</t>
  </si>
  <si>
    <t>Ali Muhammad</t>
  </si>
  <si>
    <t>Veram Chak No.4, Tehsil Chunian, Kasoor</t>
  </si>
  <si>
    <t>0304-4399339</t>
  </si>
  <si>
    <t>Tanveer Hussain</t>
  </si>
  <si>
    <t>Eiday Shah Road, Street no.3, Mohalla Mushtaq Colony, Kasur</t>
  </si>
  <si>
    <t>0306-4515370</t>
  </si>
  <si>
    <t>Ismail Ahmad</t>
  </si>
  <si>
    <t>Muhammad Yaqoob</t>
  </si>
  <si>
    <t>B.Sc</t>
  </si>
  <si>
    <t>House No. 67, Mohalla Wahdat Colony, Joharabad, Khushab</t>
  </si>
  <si>
    <t>0331-5590109</t>
  </si>
  <si>
    <t>Shahid Imran</t>
  </si>
  <si>
    <t>M.A Islamic Studies</t>
  </si>
  <si>
    <t>Chak No. 36 Janoobi, Dak Khana Khas, Teehsil &amp; District Sargodha</t>
  </si>
  <si>
    <t>0308-4210319</t>
  </si>
  <si>
    <t>Meesam Raza</t>
  </si>
  <si>
    <t>Abid Hussain</t>
  </si>
  <si>
    <t>Kotha Pind Faisal Town (Sahulat on the Go)</t>
  </si>
  <si>
    <t>BS Botony</t>
  </si>
  <si>
    <t>Abbas Town, Dak Khana Ali Pur, Ghalwan 2, Tehsil Ali Pur, District Muzaffargarh</t>
  </si>
  <si>
    <t>0305-2725313</t>
  </si>
  <si>
    <t>Rana Muhammad Abdullah Khan</t>
  </si>
  <si>
    <t>Rana Liaqat Ali Khan</t>
  </si>
  <si>
    <t>Rana House Peer Jogi Multan Road, PO Khas, Chung Lahore</t>
  </si>
  <si>
    <t>0307-4567322</t>
  </si>
  <si>
    <t>Muhammad Tehseen</t>
  </si>
  <si>
    <t xml:space="preserve">B.A </t>
  </si>
  <si>
    <t>Chak No. 211/9R Tehsil Fortabbas, Distt. Bahawalnagar</t>
  </si>
  <si>
    <t>0306-9002717</t>
  </si>
  <si>
    <t>Nasir Fayyaz</t>
  </si>
  <si>
    <t>Muhammad Fayyaz</t>
  </si>
  <si>
    <t>Mader e Millat (Sahulat on the GO)</t>
  </si>
  <si>
    <t>Dak Khana Khana Nu, Jheedu Lahore</t>
  </si>
  <si>
    <t>0320-0100123</t>
  </si>
  <si>
    <t>Ubaid Ullah Khan</t>
  </si>
  <si>
    <t>Sana Ullah Khan</t>
  </si>
  <si>
    <t>Mianwali</t>
  </si>
  <si>
    <t>Makar wal ,Khuduzai, P/O Manda Khail, Tehsil Esa Khail , District Mianwali.</t>
  </si>
  <si>
    <t>0322-5999655</t>
  </si>
  <si>
    <t xml:space="preserve">Faisal Rafique </t>
  </si>
  <si>
    <t>Millat Road</t>
  </si>
  <si>
    <t xml:space="preserve">Chak No.74/JB Thikriwala Faisalabad. </t>
  </si>
  <si>
    <t>0300-7973247</t>
  </si>
  <si>
    <t>Ghulam Qadir</t>
  </si>
  <si>
    <t>Gagan Thal,P.O Fort Munro, Tehsil D.G Khan,Qabayaili Illaqa ,</t>
  </si>
  <si>
    <t>0335-6517414</t>
  </si>
  <si>
    <t>Muhammad Hamad Javed</t>
  </si>
  <si>
    <t>Javed Nawaz</t>
  </si>
  <si>
    <t>Bs English Language &amp; Literature</t>
  </si>
  <si>
    <t>Saeyadan Wala, Dak Khana Khas, Ghulab Ali Tehsil &amp; District Bahawalnagar</t>
  </si>
  <si>
    <t>0305-1704575</t>
  </si>
  <si>
    <t>Ali Husnain</t>
  </si>
  <si>
    <t>Syed Mubarak Ali Shah</t>
  </si>
  <si>
    <t>House no. 102, Nashat Block, Chinar Bagh, Main Raiwind Road Lahore,</t>
  </si>
  <si>
    <t>0333-3396300</t>
  </si>
  <si>
    <t>Fahad Ali</t>
  </si>
  <si>
    <t>Present : Tableghi Markaz Gate # 5 Mohalla Penchawala ,raiwind,tehsil-o District Lahore
Permanent:Haveli Ghatiyanwali,P.O Raja Jang,Roral Part,Tehsil o  District Kasur</t>
  </si>
  <si>
    <t>0332-0044027</t>
  </si>
  <si>
    <t>Jaweria Sherazi</t>
  </si>
  <si>
    <t>Shafqat Sherazi</t>
  </si>
  <si>
    <t>Doctor Azeem Street, Raiwind, District Lahore</t>
  </si>
  <si>
    <t>0309-5833212
0300-4135965</t>
  </si>
  <si>
    <t>Nabeel Kazim Khan</t>
  </si>
  <si>
    <t>MUHAMMAD KAZAM KHAN</t>
  </si>
  <si>
    <t>NEAR CICIL HOSPITAL RAIWIND ROAD LAHORE</t>
  </si>
  <si>
    <t>0304-3001992</t>
  </si>
  <si>
    <t>Rana Jahanzaib</t>
  </si>
  <si>
    <t>Pervaiz Ashraf</t>
  </si>
  <si>
    <t>Mohalla Raiwind Kalaan, Lahore</t>
  </si>
  <si>
    <t>0332-8800593</t>
  </si>
  <si>
    <t>Raiwind Sundar Road (Sahulat on the Go)</t>
  </si>
  <si>
    <t>Jhoneky P/O Raja Jang Tehsil &amp; Distt Kasur.</t>
  </si>
  <si>
    <t>0301-4383699</t>
  </si>
  <si>
    <t>Riaz Hussain</t>
  </si>
  <si>
    <t>Sultan Ali</t>
  </si>
  <si>
    <t>Jia Ka Tibba P/O Manga Mandi, Lahore</t>
  </si>
  <si>
    <t>0308-2713356</t>
  </si>
  <si>
    <t>Momina Asif</t>
  </si>
  <si>
    <t>0316-4342458</t>
  </si>
  <si>
    <t>Abuzar Khalid</t>
  </si>
  <si>
    <t>Master Of Science in Construction and Engineering Management</t>
  </si>
  <si>
    <t>Near GPO, Mohalla Jilani Colony, Narowal</t>
  </si>
  <si>
    <t>0332-8688083</t>
  </si>
  <si>
    <t>Syed Azhar Abbas Zaidi</t>
  </si>
  <si>
    <t xml:space="preserve">Syed Nazar Abbas Zaidi </t>
  </si>
  <si>
    <t>House no. 420, Nargis Block, Allama Iqbal Town, Lahore</t>
  </si>
  <si>
    <t>0333-4552675</t>
  </si>
  <si>
    <t>Abdul Mutlab</t>
  </si>
  <si>
    <t xml:space="preserve">Khalil Ahmad </t>
  </si>
  <si>
    <t>Sahiwal</t>
  </si>
  <si>
    <t>B.Tech (Electrical)</t>
  </si>
  <si>
    <t xml:space="preserve">Nazad Khawaja Bukhtiar Kaki Chowk Mohala Noor Kot Pakpatan </t>
  </si>
  <si>
    <t>0303-7539819</t>
  </si>
  <si>
    <t>Faisal Aziz</t>
  </si>
  <si>
    <t>House No. 30/31, Street No. 3, Mohalla Bagh, Farooqazam Road, Sargodha</t>
  </si>
  <si>
    <t>0324-7200135
0334-7503801</t>
  </si>
  <si>
    <t>Abdul Salam</t>
  </si>
  <si>
    <t>Hafiz Abdul Jalil</t>
  </si>
  <si>
    <t>Shadman (Sahulat on the GO)</t>
  </si>
  <si>
    <t>BS English</t>
  </si>
  <si>
    <t>Bonga Balocha, Phool Nagar, Tehsil Pattoki, District Kasur</t>
  </si>
  <si>
    <t>0311-4545389</t>
  </si>
  <si>
    <t>Amir Saeed</t>
  </si>
  <si>
    <t>Jalal Din</t>
  </si>
  <si>
    <t>M.A Arabic &amp; Islamic Studies</t>
  </si>
  <si>
    <t>Mohalla Farooqia Rizwia P/O Tehsil Kot Radha Kishan District Kasur</t>
  </si>
  <si>
    <t>0300-7879078</t>
  </si>
  <si>
    <t>Muhammad Naveed Habib</t>
  </si>
  <si>
    <t>Habib Ahmad</t>
  </si>
  <si>
    <t>BCS</t>
  </si>
  <si>
    <t>Rasheed Town, Manga Mandi Lahore</t>
  </si>
  <si>
    <t>0332-4288405</t>
  </si>
  <si>
    <t xml:space="preserve">Muhammad Kashif  </t>
  </si>
  <si>
    <t>Dur Muhammad Khan</t>
  </si>
  <si>
    <t>Taunsa</t>
  </si>
  <si>
    <t>Matric</t>
  </si>
  <si>
    <t>0332-7285387</t>
  </si>
  <si>
    <t>Muhammad Sikandar Bakht</t>
  </si>
  <si>
    <t>Basti Buzdar, Dak Khana Khas, Tehsil Taunsa, District Dera Ghazi Khan</t>
  </si>
  <si>
    <t>0334-6888848</t>
  </si>
  <si>
    <t>Muhammad Shamla</t>
  </si>
  <si>
    <t>Muhammad Nawaz</t>
  </si>
  <si>
    <t xml:space="preserve">Dost photo state Shop near kechehry road Jampur </t>
  </si>
  <si>
    <t>0333-6349667</t>
  </si>
  <si>
    <t>Muhammad Mehboob Hayat</t>
  </si>
  <si>
    <t>Muhammad Yousaf</t>
  </si>
  <si>
    <t>Kot Hayat Manowal Mutan Road Chung, P.O Khas, Tehsil Raiwind, District Lahore</t>
  </si>
  <si>
    <t>0304-6257648</t>
  </si>
  <si>
    <t xml:space="preserve">  Mian Munir Ahmed </t>
  </si>
  <si>
    <t>chung panj graein multan road lahore</t>
  </si>
  <si>
    <t>0321-4770009</t>
  </si>
  <si>
    <t>Abbas Ali sani</t>
  </si>
  <si>
    <t>Mehbood Ali Sani</t>
  </si>
  <si>
    <t>Street No 2, House No 424, Mohallah Sarhind Colony,Toba Tek Sing</t>
  </si>
  <si>
    <t>0333-2900364</t>
  </si>
  <si>
    <t>Muhammad Ikram</t>
  </si>
  <si>
    <t xml:space="preserve">ABDUL GHAFOOR </t>
  </si>
  <si>
    <t>STREET NO. 6 MOHALLAH SHARIF COLONY, TOBA TEK SINGH</t>
  </si>
  <si>
    <t>0336-6871351</t>
  </si>
  <si>
    <t>Salman Raza</t>
  </si>
  <si>
    <t>Malik Sakhawat Ali</t>
  </si>
  <si>
    <t>Mohallah Darbar Haji Shah Saleem Hanjarwala Lahore</t>
  </si>
  <si>
    <t>0322-4949429</t>
  </si>
  <si>
    <t>Non Muslim</t>
  </si>
  <si>
    <t>Shafiq Masih</t>
  </si>
  <si>
    <t>Aziz Masih</t>
  </si>
  <si>
    <t>Present: House No. 67, Mohalla Modern Colony peco Road, Koat Lakhpat Lahore
Permanent: Dak Khana Khas, Ahmad Shah, Tehsil &amp; District Sahiwal</t>
  </si>
  <si>
    <t>0309-4712809</t>
  </si>
  <si>
    <t>Suleman</t>
  </si>
  <si>
    <t>Tariq Mehmood</t>
  </si>
  <si>
    <t>Valencia (Sahulat on the GO)</t>
  </si>
  <si>
    <t>Dak Khana Khas, Raiwind, Roral Part, Tehsil &amp; District Lahore</t>
  </si>
  <si>
    <t>0303-4304850</t>
  </si>
  <si>
    <t>Valencia (Sahulat on the Go)</t>
  </si>
  <si>
    <t>Jhalar Khushal Singh, Dak Khana Kot Rada Kishan, Tehsil Pattoki &amp; Distt. Kasur</t>
  </si>
  <si>
    <t>0304-7005598</t>
  </si>
  <si>
    <t>Muhammad Danish Ali</t>
  </si>
  <si>
    <t>Rehmat Ali</t>
  </si>
  <si>
    <t>Doctor of Physical Therapy</t>
  </si>
  <si>
    <t>Khudpur Dak Khana Maraka, Lahore</t>
  </si>
  <si>
    <t>0308-4266880</t>
  </si>
  <si>
    <t>Noman Qadeer</t>
  </si>
  <si>
    <t>Qadeer Ahmad</t>
  </si>
  <si>
    <t>Muhalla Virkan Dak Khana Khas, Botala Sharm Singh Tehsil &amp; distt. Gujranwala</t>
  </si>
  <si>
    <t>0340-0119835</t>
  </si>
  <si>
    <t>Khurram Shahzad</t>
  </si>
  <si>
    <t>Muhammad Ismail</t>
  </si>
  <si>
    <t>Wazirabad</t>
  </si>
  <si>
    <t>Master of Science in Commerce</t>
  </si>
  <si>
    <t>3-Rehman Colony House No. 06, Behind Usmania Restaurent GT Road Gujranwala</t>
  </si>
  <si>
    <t>0339-4400406</t>
  </si>
  <si>
    <t>Muhammad Zeeshan</t>
  </si>
  <si>
    <t>Mehmood Ul Hassan</t>
  </si>
  <si>
    <t>DIT (Diploma Information Technology 3 Years)</t>
  </si>
  <si>
    <t>House no. 254-P, Street no. 7, Block 29, Muhalla Arban Area, Sargodha</t>
  </si>
  <si>
    <t>0300-9428541</t>
  </si>
  <si>
    <t>Abdul Moiz Shoaib</t>
  </si>
  <si>
    <t>Shoaib Dilawar</t>
  </si>
  <si>
    <t>Operations Assistant</t>
  </si>
  <si>
    <t>0308-2908288</t>
  </si>
  <si>
    <t>Muhammad Anas</t>
  </si>
  <si>
    <t>Muhammad Azhar Saleem</t>
  </si>
  <si>
    <t>House no 12, Street no 50, Muhalla Hussain Pura Ghaziabad Mughalpura, Lahore Cantt. Distt. Lahore</t>
  </si>
  <si>
    <t>0322-4531113</t>
  </si>
  <si>
    <t>Muhammad Bilal Ashraf</t>
  </si>
  <si>
    <t>H # 18, Mohalla Dilkasha Gardens, S Block Model Town EXT, Lahore</t>
  </si>
  <si>
    <t>0306-0651590</t>
  </si>
  <si>
    <t>Mumtaz Ali</t>
  </si>
  <si>
    <t>Muhammad Tufail</t>
  </si>
  <si>
    <t>House # E-306-11-k-116 Muhala ghora chowk modle colony lahore</t>
  </si>
  <si>
    <t>0305-5997599</t>
  </si>
  <si>
    <t>Tajamul Hussain</t>
  </si>
  <si>
    <t>Jamal ul Hasnain Khan</t>
  </si>
  <si>
    <t>House No. 654, Mohalla Kashmir Block Allama Iqbal Town, Lahore</t>
  </si>
  <si>
    <t>0313-6598788</t>
  </si>
  <si>
    <t>Umer Farooq</t>
  </si>
  <si>
    <t>Farooq Ahmad</t>
  </si>
  <si>
    <t>House no. 4, Empress Park Bibi Pak Daman Lahore.</t>
  </si>
  <si>
    <t>0321-4499886</t>
  </si>
  <si>
    <t>Bilal Hussain</t>
  </si>
  <si>
    <t>P.O New Campus, Mohalla Samsani Khoi, Johar Town Lahore</t>
  </si>
  <si>
    <t>0301-3330450</t>
  </si>
  <si>
    <t>Ghulam Fareed</t>
  </si>
  <si>
    <t>Pending</t>
  </si>
  <si>
    <t>0307-6835263</t>
  </si>
  <si>
    <t>Muhammad Sarwar</t>
  </si>
  <si>
    <t>Koat Ghulam Muhammad Raiwind Road, Dak Khana Thokar Niaz Baig Bhobtiyan, Tehsil &amp; District Lahore</t>
  </si>
  <si>
    <t>0305-8187615</t>
  </si>
  <si>
    <t>Muhammad Razzaq</t>
  </si>
  <si>
    <t xml:space="preserve">Muhammad Hayyat  </t>
  </si>
  <si>
    <t>Dak Khana Khas, Khud Pur, Tehsil Raiwind, District Lahore</t>
  </si>
  <si>
    <t>0332-7085718</t>
  </si>
  <si>
    <t>Rashid Masih</t>
  </si>
  <si>
    <t>Rasheed Masih</t>
  </si>
  <si>
    <t>Chamru Pur Dak Khana Thokar Niaz Baig, Lahore</t>
  </si>
  <si>
    <t>0306-5564230</t>
  </si>
  <si>
    <t>Shaukat Ali Shah</t>
  </si>
  <si>
    <t>Muhammad Arshad Shah</t>
  </si>
  <si>
    <t>Mohalla Ameenpura, Raiwind Lahore</t>
  </si>
  <si>
    <t>0302-4340308</t>
  </si>
  <si>
    <t>Ali Akbar Bhatti</t>
  </si>
  <si>
    <t>Iftikhar Ahmad</t>
  </si>
  <si>
    <t>Anti Theft Cell</t>
  </si>
  <si>
    <t>Dak Khana Khas, Shamky Bhatti, Tehsil &amp; District Lahore</t>
  </si>
  <si>
    <t>0303-4264525</t>
  </si>
  <si>
    <t>Ali Hassan</t>
  </si>
  <si>
    <t>Ali Hussainabad, Dak Khana Khas, Maraka Lahore</t>
  </si>
  <si>
    <t>0327-1635569</t>
  </si>
  <si>
    <t xml:space="preserve">Multan Road, Dak Khana Chung, Maraka Lahore
</t>
  </si>
  <si>
    <t>0302-4159403</t>
  </si>
  <si>
    <t>Ghulam Haider</t>
  </si>
  <si>
    <t>Aslam</t>
  </si>
  <si>
    <t>Hussainabad, Raiwind Road, Ali Razaabad, Dak Khana Thokar Niaz Baig Lahore</t>
  </si>
  <si>
    <t>0306-0494806</t>
  </si>
  <si>
    <t>Gulfam</t>
  </si>
  <si>
    <t>Chamrupur, Chak No. 62, Dak Khana Khas, Tehsil &amp; District Lahore</t>
  </si>
  <si>
    <t>0301-4219607</t>
  </si>
  <si>
    <t>Muhammad Haroon</t>
  </si>
  <si>
    <t>Mohalla Shadiwall Majh,Township,Lahore</t>
  </si>
  <si>
    <t>0312-4924913</t>
  </si>
  <si>
    <t>Sohail Munir</t>
  </si>
  <si>
    <t>DAE Civil</t>
  </si>
  <si>
    <t>House No. 587, Mohalla Block A, Sher Shah Colony, Raiwind Road, Lahore</t>
  </si>
  <si>
    <t>0323-4253763</t>
  </si>
  <si>
    <t>Taimoor Ahmad</t>
  </si>
  <si>
    <t>Arif Mehmood Chughtai</t>
  </si>
  <si>
    <t>FSC</t>
  </si>
  <si>
    <t>Present: Street No. 45, Mohalla Banu Bazaar, Rahim Yar Khan
Permanent: Basti Ahmad Buksh Arain Dak Khana, Koat Samba, Tehsil &amp; District Rahim yar Khan</t>
  </si>
  <si>
    <t>0312-0833948</t>
  </si>
  <si>
    <t>Anas ur Rehman</t>
  </si>
  <si>
    <t>Malik Muhammad Saleem</t>
  </si>
  <si>
    <t>Barki Road (Sahulat on the GO)</t>
  </si>
  <si>
    <t>Munir Shah Town, THQ Hospital, Tehsil Depalpur, District okara</t>
  </si>
  <si>
    <t>0300-1955600</t>
  </si>
  <si>
    <t>Maqsood Hyat</t>
  </si>
  <si>
    <t xml:space="preserve">MUHAMMAD YOUSAF </t>
  </si>
  <si>
    <t xml:space="preserve">COT HAYAT MANUWAL CHUNG MULTAN ROAD LAHORE </t>
  </si>
  <si>
    <t>0303-5079058</t>
  </si>
  <si>
    <t>Ahmad Shahid</t>
  </si>
  <si>
    <t>Muhammad Shahid</t>
  </si>
  <si>
    <t>Main Street Near Daewoo Adda Mohalla Shahzad Colony, Dera Ghazi Khan</t>
  </si>
  <si>
    <t>0317-6311459</t>
  </si>
  <si>
    <t>Aman Ullah</t>
  </si>
  <si>
    <t>Saif Ullah</t>
  </si>
  <si>
    <t>Dak Khana Khar Fort Manro, Kagan Thal, Tehsil  Dera Ghazi Khan, Qabaili Elaqa, Distt. Dera Ghazi Khan</t>
  </si>
  <si>
    <t>03328585849</t>
  </si>
  <si>
    <t>Khalid Hussain</t>
  </si>
  <si>
    <t>Muhammad Bakhsh</t>
  </si>
  <si>
    <t>Dak Khana Peer Adil, Chak Jhangeel, Tehsil &amp; District Dera Ghazi Khan</t>
  </si>
  <si>
    <t>0333-2026900</t>
  </si>
  <si>
    <t>Malik Nauman Shafiq</t>
  </si>
  <si>
    <t>Malik Shafiq Ahmad</t>
  </si>
  <si>
    <t>Farooqabad</t>
  </si>
  <si>
    <t>Matric, D.CoM</t>
  </si>
  <si>
    <t>Baba Bhola Street, Mohalla Ram Garha, Sheikhupura</t>
  </si>
  <si>
    <t>0322-7269994</t>
  </si>
  <si>
    <t>Muhammad Almas Sultani</t>
  </si>
  <si>
    <t xml:space="preserve">Muhammad Amjad  </t>
  </si>
  <si>
    <t>DAE</t>
  </si>
  <si>
    <t>Street Batanwali, Masjid Noor Madina, Mohalla Saeed Pak Dhaly, Gujranwala</t>
  </si>
  <si>
    <t>0301-9649085</t>
  </si>
  <si>
    <t>Muhammad Wajdan</t>
  </si>
  <si>
    <t>Muhammad Amir Taqi</t>
  </si>
  <si>
    <t>Near Office City Defence, Sant Nagar, House No. 12 Street No. 1, Lahore</t>
  </si>
  <si>
    <t>0312-4156595</t>
  </si>
  <si>
    <t>Naveed Imran</t>
  </si>
  <si>
    <t>New Village Gopay Ray Thokar Niaz Baig Lahore</t>
  </si>
  <si>
    <t>0324-8095878</t>
  </si>
  <si>
    <t>Muhammad Umar</t>
  </si>
  <si>
    <t>Malook Hussain</t>
  </si>
  <si>
    <t>Main Bazaar Farooq Azam, Dak Khana Batapur, Attokay Awan, Lahore</t>
  </si>
  <si>
    <t>0328-8169030</t>
  </si>
  <si>
    <t>Muhammad Usman Arif</t>
  </si>
  <si>
    <t>M.Ghazanafar sultan</t>
  </si>
  <si>
    <t>Lakhan Shareef, P/O Bata Pur ,Lahore</t>
  </si>
  <si>
    <t>0324- 6682270</t>
  </si>
  <si>
    <t>Haider Ali</t>
  </si>
  <si>
    <t>Zakir Hussain</t>
  </si>
  <si>
    <t>Electrician</t>
  </si>
  <si>
    <t>Near Middle School Manwaala, Dak Khana Kabir Wala, District Khan e wal</t>
  </si>
  <si>
    <t>0308-2076693
0307-5293331</t>
  </si>
  <si>
    <t>Syed Ali Zar</t>
  </si>
  <si>
    <t>Syed Jafar Abbas</t>
  </si>
  <si>
    <t>Dak Khana Khass, Mallian Kalan, Tehsil Sheikhupura Distt. Sheikhupura</t>
  </si>
  <si>
    <t>0309-9972372</t>
  </si>
  <si>
    <t>Iqra Amir</t>
  </si>
  <si>
    <t>W/O Muhammad Farooq</t>
  </si>
  <si>
    <t>Present: House No23, Street No. 1, Mohalla Sultan Ahmad Road, Ichra Lahore</t>
  </si>
  <si>
    <t>0327-1228061</t>
  </si>
  <si>
    <t>Mudassar Mahmood</t>
  </si>
  <si>
    <t>House No. 183, Block-J, Sabzazaar Scheme Lahore</t>
  </si>
  <si>
    <t>0306-4138155</t>
  </si>
  <si>
    <t>Muhammad Muneeb</t>
  </si>
  <si>
    <t>Muhammad Hayyat Javed</t>
  </si>
  <si>
    <t>House No. 48, Street No. 20-A, Mohalla Rasheed Pura Kotli Peer Abdul Rehman Lahore Cantt</t>
  </si>
  <si>
    <t>0307-8176288</t>
  </si>
  <si>
    <t>Muhammad Shahzad</t>
  </si>
  <si>
    <t>Satokatla near wapda town dakhana township Lahore</t>
  </si>
  <si>
    <t>0326-5327815</t>
  </si>
  <si>
    <t>Salamat Mobarik</t>
  </si>
  <si>
    <t>Mobarik Masih</t>
  </si>
  <si>
    <t>Present : Dak Khana Khas, Chak No. 152 TDA, Tehsil &amp; District Layyah
Permanent : Dak Khana Khas, Chak No. 43NB, Tehsil &amp; District Sargodha</t>
  </si>
  <si>
    <t>0325-7230280</t>
  </si>
  <si>
    <t>Syed Mohsin Raza Naqvi</t>
  </si>
  <si>
    <t>Literate</t>
  </si>
  <si>
    <t>Present : Dak Khana Ali Pur, Ghalwan 1, Tehsil Ali Pur, District Muzafargarh
Permanent: Basti Kabir Wala, Post Office Malik Arain, Kotla Ghulam Shah, Tehsil Ali Pur, District Muzafargarh</t>
  </si>
  <si>
    <t>0303-9256719</t>
  </si>
  <si>
    <t>Rashid Mehmood</t>
  </si>
  <si>
    <t>Present : Mohalla Ghosia Colony Pungjrien, Dak Khan Khas, Chung Lahore
Permanent : Dak Khana Chak No. 509 TDA, Chak No. 507 TDA, Tehsil Kot Addu, District Muzafargarh</t>
  </si>
  <si>
    <t>0329-7185010</t>
  </si>
  <si>
    <t>Umar Afzal</t>
  </si>
  <si>
    <t>Muhammad Afzal</t>
  </si>
  <si>
    <t>F.A</t>
  </si>
  <si>
    <t>House No. 13-A, Street No. 1, Muhallah Haji Yahya Colony, Ghoray Shah, Lahore</t>
  </si>
  <si>
    <t>0315-4403815</t>
  </si>
  <si>
    <t>Hamza Talib</t>
  </si>
  <si>
    <t>Talib Hussain</t>
  </si>
  <si>
    <t>House no 15, street no 22, Muhalla Gfhosia Park BaBa Fareed Colony Kot Lkhpat Cantt. Lahore</t>
  </si>
  <si>
    <t>0304-4464169</t>
  </si>
  <si>
    <t>Mukhtiar Ahmad</t>
  </si>
  <si>
    <t>Chah Wady Wala Mauza Thatha Gabolam (Choti Zareen)) DG Khan</t>
  </si>
  <si>
    <t>0336-6103249</t>
  </si>
  <si>
    <t>Muhammad Azeem Ashraf</t>
  </si>
  <si>
    <t>Dak Khana Khas, Chak 374, GB, Arkan o Seran, Tehsil Jaranwala, District Faisalabad</t>
  </si>
  <si>
    <t>0305-7135703</t>
  </si>
  <si>
    <t xml:space="preserve">Nisar Ahmad </t>
  </si>
  <si>
    <t>Qudrat Ali</t>
  </si>
  <si>
    <t xml:space="preserve">House # 501 Islam Pura Chak No.66/ JB Dhandra Faisalabad </t>
  </si>
  <si>
    <t>0345-7788852</t>
  </si>
  <si>
    <t>Ijaz Ahmad</t>
  </si>
  <si>
    <t>203 RB, Manawala, Street No. 13, Mohalla Azhar Town, Faisalabad</t>
  </si>
  <si>
    <t>0301-7191926</t>
  </si>
  <si>
    <t>Muhammad Asif</t>
  </si>
  <si>
    <t>Muhammad Ishfaq</t>
  </si>
  <si>
    <t>Present: Dak Khana Khas, Ghulab Ali , Tehsil &amp; District Bahawalnagar
Permanent: Mohalla Sheikhanwala, Donga Bonga, Tehsil &amp; District Bahawalnagar</t>
  </si>
  <si>
    <t>0300-4710248</t>
  </si>
  <si>
    <t>Liaqat Ali</t>
  </si>
  <si>
    <t>Muhammad Pura, Dak Khana Kahna Nu, Gajumatta, Lahore</t>
  </si>
  <si>
    <t>0322-8034200</t>
  </si>
  <si>
    <t>Tasawar Ijaz</t>
  </si>
  <si>
    <t>Ijaz Ahmad Bhatti</t>
  </si>
  <si>
    <t>Sarhali Kalan P/O Khas, District Kasur</t>
  </si>
  <si>
    <t>0323-4320773</t>
  </si>
  <si>
    <t>Muhammad Waqar</t>
  </si>
  <si>
    <t>Muhammad Younas</t>
  </si>
  <si>
    <t>Kharak Nala (Sahulat on the GO)</t>
  </si>
  <si>
    <t>Koat Hayat Manowal, Dak Khana Khas, Chung Tehsil Raiwind, District District Lahore</t>
  </si>
  <si>
    <t>0305-9161926</t>
  </si>
  <si>
    <t>Umer Huraira</t>
  </si>
  <si>
    <t>Azam Ali</t>
  </si>
  <si>
    <t>Near Boys High School Multan Road, Dak Khana Khas, Chung Tehsil Raiwind District Lahore</t>
  </si>
  <si>
    <t>0320-9440603</t>
  </si>
  <si>
    <t>Muhammad Affaq</t>
  </si>
  <si>
    <t>Muhammad Sultan</t>
  </si>
  <si>
    <t>Basti kalio Wala Mouza, Chah Bangla Wala No. 9, Lodhran</t>
  </si>
  <si>
    <t>0322-1597512</t>
  </si>
  <si>
    <t>Ali Hamza</t>
  </si>
  <si>
    <t>Ishfaq Ahmad</t>
  </si>
  <si>
    <t>Manga Mandi (Sahulat on the GO)</t>
  </si>
  <si>
    <t>Qila Dawood Ka, Manga Autar, Dak Khana Khas, Lahore</t>
  </si>
  <si>
    <t>0308-4287977</t>
  </si>
  <si>
    <t>Muhammad Usama</t>
  </si>
  <si>
    <t>Ch Muhammad Sharif</t>
  </si>
  <si>
    <t>Mohalla Qila Tarday, Dak Khana Manga Mandi, Lahore</t>
  </si>
  <si>
    <t>0309-8302600</t>
  </si>
  <si>
    <t>Ghulam sarwar</t>
  </si>
  <si>
    <t>P.O Khas Ghulab Ali, Tehsil o District Bahawalnagar</t>
  </si>
  <si>
    <t>0313-4466588</t>
  </si>
  <si>
    <t>Muzammal Ali</t>
  </si>
  <si>
    <t>Muhammad Hussain</t>
  </si>
  <si>
    <t>Dak Khana Renala Khurd, Chak No. 12/1AL, Tehsil Renala Khurd, Okara</t>
  </si>
  <si>
    <t>0318-6108338</t>
  </si>
  <si>
    <t>Muneeb ur Rehman</t>
  </si>
  <si>
    <t>Abdullah</t>
  </si>
  <si>
    <t>Dak Khana Beeto Farm, Chak No. 29 SP, Tehsil &amp; District Pakpattan</t>
  </si>
  <si>
    <t>0321-8330529</t>
  </si>
  <si>
    <t>Muhammad Saeed</t>
  </si>
  <si>
    <t>Pattoki</t>
  </si>
  <si>
    <t>Present : House No. 234, Mohalla Pilack Block, Allama Iqbal Town, Lahore
Permanent : Bonga Balocha, Phool Nagar, Tehsil Pattoki, District Kasur</t>
  </si>
  <si>
    <t>0317-4080139</t>
  </si>
  <si>
    <t>Iqbal Hussain</t>
  </si>
  <si>
    <t>Village Khana Nepal Post Office, Arriyan, Raiwind Road, Lahore</t>
  </si>
  <si>
    <t>0311-4042437</t>
  </si>
  <si>
    <t>Haris Asif</t>
  </si>
  <si>
    <t>Maher House Muhammadi Street, Tariq Majeed Road, Raiwind lahore</t>
  </si>
  <si>
    <t>0308-4340809</t>
  </si>
  <si>
    <t>Muhammad Abubakar Riaz</t>
  </si>
  <si>
    <t>Mohalla Railway Colony Raiwind, Tehsil &amp; District Lahore</t>
  </si>
  <si>
    <t>0309-8300736</t>
  </si>
  <si>
    <t>Muhammad Naveed</t>
  </si>
  <si>
    <t>PO Khas, Bhai Kot Tehsil Raiwind,  Distt Lahore</t>
  </si>
  <si>
    <t>0307-1677568</t>
  </si>
  <si>
    <t>Nawaz Mushtaq</t>
  </si>
  <si>
    <t>Muhammad Mushtaq</t>
  </si>
  <si>
    <t>Muhallah Burhan Pura,Raiwind Tehsil &amp; Distt Lahore.</t>
  </si>
  <si>
    <t>0303-4358909</t>
  </si>
  <si>
    <t>Tahreem Saeed</t>
  </si>
  <si>
    <t>Saeed Akhtar Sindhu</t>
  </si>
  <si>
    <t>Dak Khana Khas Halloki, Lahore</t>
  </si>
  <si>
    <t>0334-4016942
0346-4498069</t>
  </si>
  <si>
    <t>Ali Jahangir</t>
  </si>
  <si>
    <t>Muhammad Jahangir</t>
  </si>
  <si>
    <t>Post Office Khas, Manak Tehsil Raiwind, Lahore</t>
  </si>
  <si>
    <t>0303-5873503</t>
  </si>
  <si>
    <t>Tamoor Hussain</t>
  </si>
  <si>
    <t>Noor Muhammad Hussain</t>
  </si>
  <si>
    <t>Dak Khana Khass, Jamarghal, Tehsil &amp; District Jehlam</t>
  </si>
  <si>
    <t>0332-4342750</t>
  </si>
  <si>
    <t>Nazar Abbas</t>
  </si>
  <si>
    <t>P.O Khas, Shafi, Tehsil Arif Wala, District Pakpattan</t>
  </si>
  <si>
    <t>0304-9510435</t>
  </si>
  <si>
    <t>Muhammad Shabir</t>
  </si>
  <si>
    <t>Gul Muhammad</t>
  </si>
  <si>
    <t>Tukra No. 18/WM Post Office Harappa City, District Sahiwal</t>
  </si>
  <si>
    <t>0306-1840472
0304-6483199</t>
  </si>
  <si>
    <t>Imran Haider</t>
  </si>
  <si>
    <t>Jawad Hussain</t>
  </si>
  <si>
    <t>Sharaqpur Sharif</t>
  </si>
  <si>
    <t>Dak Khana Mahmood Koat, Panwar Shamali Tehsil &amp; Dustrict Koat Addu</t>
  </si>
  <si>
    <t>0303-6499028</t>
  </si>
  <si>
    <t>Aqib Saleem</t>
  </si>
  <si>
    <t>Saleem Khan</t>
  </si>
  <si>
    <t>Talab Sarye Manga Autar, Dak Khana Khas, Tehsil &amp; District Lahore</t>
  </si>
  <si>
    <t>0300-1185385</t>
  </si>
  <si>
    <t>Kamal Ud Din Ahmad</t>
  </si>
  <si>
    <t>Muhammad Sharif</t>
  </si>
  <si>
    <t>Sialkot</t>
  </si>
  <si>
    <t>Dak Khana Khas, Chak No. 231 EB, Tehsil Boriwala, District Vehari</t>
  </si>
  <si>
    <t>0300-7314565</t>
  </si>
  <si>
    <t>Muhammad Tauqeer</t>
  </si>
  <si>
    <t>Basti Greeba Abad, P/O Sinawan Tehsil Kot Addu District Muzaffargarh</t>
  </si>
  <si>
    <t>0301-4254207
0349-8344046</t>
  </si>
  <si>
    <t>Hassan Raza Khokhar</t>
  </si>
  <si>
    <t>Faqir Hussain</t>
  </si>
  <si>
    <t>Mohalla Hanjarwal Mansoora Multan Road lahore</t>
  </si>
  <si>
    <t>0344-4850786</t>
  </si>
  <si>
    <t>Muhammad Javaid Sardar</t>
  </si>
  <si>
    <t>Sardar Ahmad</t>
  </si>
  <si>
    <t>Mohalla Tooran Wala, Near Chowk Jhanda, Chung, Tehsil Raiwind, District Lahore</t>
  </si>
  <si>
    <t>0303-4487845</t>
  </si>
  <si>
    <t>Usama Chand</t>
  </si>
  <si>
    <t>Malik Tanvir</t>
  </si>
  <si>
    <t>Saidpur Mohalla Madina Masjid Lahore</t>
  </si>
  <si>
    <t>0324-1166512</t>
  </si>
  <si>
    <t>Umar Moavia</t>
  </si>
  <si>
    <t>Street No. 4, Sargodha Road, Mohalla Allabad, Jhang</t>
  </si>
  <si>
    <t>0317-7509879</t>
  </si>
  <si>
    <t>Ghulam Farid</t>
  </si>
  <si>
    <t xml:space="preserve">Subhan Khan </t>
  </si>
  <si>
    <t>DAE(Electrical)</t>
  </si>
  <si>
    <t>Mnaga Mandi Nawan Qila zila Lahore</t>
  </si>
  <si>
    <t>0306-4033363</t>
  </si>
  <si>
    <t>Muhammad Adil</t>
  </si>
  <si>
    <t>Muhammad Suleman</t>
  </si>
  <si>
    <t>House No. H-8, Mohalla PCSIR Laboratory, Ferozepur Road, Lahre</t>
  </si>
  <si>
    <t>0304-7951756</t>
  </si>
  <si>
    <t>Ahsan Shahid Awan</t>
  </si>
  <si>
    <t>Shahid Ali</t>
  </si>
  <si>
    <t>Chah Tanoli No. 2, Dak Khana Khas, Manga Otaar Tehsil Raiwind, District lahore</t>
  </si>
  <si>
    <t>0307-9012468</t>
  </si>
  <si>
    <t>Aman Pur Shariff Multan Road, Lahore</t>
  </si>
  <si>
    <t>0320-0449454</t>
  </si>
  <si>
    <t>Dawood Munir</t>
  </si>
  <si>
    <t>Bara Street, Hanjerwal Multan Road, Lahore</t>
  </si>
  <si>
    <t>0321-2844302</t>
  </si>
  <si>
    <t>Muhammad Habib</t>
  </si>
  <si>
    <t>Muhammad Ishaq</t>
  </si>
  <si>
    <t>Mohalla Bhobtiyan, Thokar Niaz Baig Lahore</t>
  </si>
  <si>
    <t>0309-2012737</t>
  </si>
  <si>
    <t>Muhammad Amin</t>
  </si>
  <si>
    <t>Dak Khana Khas, Bhowa Asal, Tehsil Pattoki, District Kasur</t>
  </si>
  <si>
    <t>0328-0193788
0300-4102354</t>
  </si>
  <si>
    <t xml:space="preserve">Muhammad Mehboob  </t>
  </si>
  <si>
    <t>Chah Mounday Wali Tehsil &amp; District Bhakkar</t>
  </si>
  <si>
    <t>0343-8503645</t>
  </si>
  <si>
    <t>Intermediate, Electrical Diploma</t>
  </si>
  <si>
    <t>Chak No: 12/BC, Bahawalpur.</t>
  </si>
  <si>
    <t>0308-7682032</t>
  </si>
  <si>
    <t>Umar Draz</t>
  </si>
  <si>
    <t>Intermediate &amp; Electrical Diploma</t>
  </si>
  <si>
    <t>ALNOOR COLONY GOJRA ROAD 5TH MILE JHANG</t>
  </si>
  <si>
    <t>0347-7011638</t>
  </si>
  <si>
    <t>Muhammad Azeem Butt</t>
  </si>
  <si>
    <t xml:space="preserve">Muhammad ijaaz butt </t>
  </si>
  <si>
    <t>Matric (Electrical Diploma 1 Year)</t>
  </si>
  <si>
    <t xml:space="preserve">samsaani khuii johar town  </t>
  </si>
  <si>
    <t>0324-4565698</t>
  </si>
  <si>
    <t xml:space="preserve">Nawaz Ahmad </t>
  </si>
  <si>
    <t>Allah Rakha</t>
  </si>
  <si>
    <t>Matric (RAC Diploma 2 Years)</t>
  </si>
  <si>
    <t>Dars Pura Naol P/O Kule Wala Distt Kasur.</t>
  </si>
  <si>
    <t>0321-5105662</t>
  </si>
  <si>
    <t>Riaz ul Hassan</t>
  </si>
  <si>
    <t>Ghulam Hassan Jaffri</t>
  </si>
  <si>
    <t>Gali Khatija tul Qubra, Near Chakki Khizar Wali, Raiwind Lahore</t>
  </si>
  <si>
    <t>0315-4410526</t>
  </si>
  <si>
    <t>Muhammad Ramzan Akbar</t>
  </si>
  <si>
    <t>Matric (Electrical Diploma 2 Years)</t>
  </si>
  <si>
    <t>Cotton Farm P/O khaas chak no 89/9L Teh &amp; Distt Sahiwal.</t>
  </si>
  <si>
    <t>0333-3168786</t>
  </si>
  <si>
    <t>Rana Muhammad Tariq</t>
  </si>
  <si>
    <t>Muhammad Yaseen</t>
  </si>
  <si>
    <t>Manga Road, Mohalla Kot Bau Khan, Raiwind, Tehsil &amp; District Lahore</t>
  </si>
  <si>
    <t>0300-4430652</t>
  </si>
  <si>
    <t>Muhammad Kaif</t>
  </si>
  <si>
    <t>Abdul Latif</t>
  </si>
  <si>
    <t>Record Keeper</t>
  </si>
  <si>
    <t>Dak Khana Raiwind, Maank, Tehsil &amp; District Lahore</t>
  </si>
  <si>
    <t>0328-4001127</t>
  </si>
  <si>
    <t>Muhammad Umair</t>
  </si>
  <si>
    <t>Muhammad Azeem Khan</t>
  </si>
  <si>
    <t>Dak Khana Mull Tehsil Raiwind, District Lahore</t>
  </si>
  <si>
    <t>0325-9930113</t>
  </si>
  <si>
    <t>Katchi Kothi, Mohalla Muhammad Pura, Raiwind Road, Lahore</t>
  </si>
  <si>
    <t>0307-1355921</t>
  </si>
  <si>
    <t>Usman Anwar</t>
  </si>
  <si>
    <t>Muhammad Anwar</t>
  </si>
  <si>
    <t>Baba Mastwala, Dak Khana Shamki Bhatiyan, Bathh Tehsil Raiwind, District Lahore</t>
  </si>
  <si>
    <t>0308-4599548</t>
  </si>
  <si>
    <t>Mohsin Ali</t>
  </si>
  <si>
    <t>Sadiq Ali</t>
  </si>
  <si>
    <t>P.O Ladha key Neveh Tehsil Raiwind, District Lahore</t>
  </si>
  <si>
    <t>0325-6300863</t>
  </si>
  <si>
    <t>Muhammad Huzaifa Gulazar</t>
  </si>
  <si>
    <t>House No. 467/56, Street No. 4 Mohalla Chah Chimni College Road Bhakkar</t>
  </si>
  <si>
    <t>0342-2947945</t>
  </si>
  <si>
    <t>Tayyab Ali Khan</t>
  </si>
  <si>
    <t>H # 10/257 Mohalla Sahanwala, Bhera ,tehsil Bhalwal, District Sargodha</t>
  </si>
  <si>
    <t>0301-6712923</t>
  </si>
  <si>
    <t>Faiqa Shaheen</t>
  </si>
  <si>
    <t>Amanat Ali Faisal</t>
  </si>
  <si>
    <t>Mohalla Tariqabad, Manga Mandi lahore</t>
  </si>
  <si>
    <t>0322-0619712</t>
  </si>
  <si>
    <t>Amir Ali</t>
  </si>
  <si>
    <t>Maqsood Ahmad</t>
  </si>
  <si>
    <t>Chak No. 58/6, Dak Khana Chak No. 60/8, Tehsil &amp; District Nankana Sahib</t>
  </si>
  <si>
    <t>0349-4017958</t>
  </si>
  <si>
    <t>Shaukat Ullah Khan</t>
  </si>
  <si>
    <t>Syed Azam Khan</t>
  </si>
  <si>
    <t>Muhalla Bazo Khel Tajori Dak Khana Khas, Tehsil &amp; district Lacki Mrawat</t>
  </si>
  <si>
    <t>0345-6832509</t>
  </si>
  <si>
    <t>Saeed Ullah Khan</t>
  </si>
  <si>
    <t>House No. 7-A, Stree No.13-A, Mohalla Mushtaq Dholanwal Bund Road Lahore</t>
  </si>
  <si>
    <t>0324-8473936</t>
  </si>
  <si>
    <t>Ali Haider</t>
  </si>
  <si>
    <t>Mazhar Iqbal</t>
  </si>
  <si>
    <t>Filling Assistant</t>
  </si>
  <si>
    <t>Samsani Khoi, Post Office New Campus, Lahore</t>
  </si>
  <si>
    <t>0321-5095610</t>
  </si>
  <si>
    <t>Rafique Ahmad</t>
  </si>
  <si>
    <t>House No. 44, Street No. 5, Mohalla Ramnagar, Hota Singh Road Sanat Nagar, Lahore</t>
  </si>
  <si>
    <t>0306-9760536</t>
  </si>
  <si>
    <t>Babar Ashraf</t>
  </si>
  <si>
    <t>Muhala hanjerwal main bazar multan road lahore</t>
  </si>
  <si>
    <t>0316-0423172</t>
  </si>
  <si>
    <t>Husnain Atif</t>
  </si>
  <si>
    <t>Atif Maqbool</t>
  </si>
  <si>
    <t>Inter Incomplete</t>
  </si>
  <si>
    <t>House No. 16, Street No. 13, Ahmad Shah Street Mohalla Tajpura Shadbagh Lahore</t>
  </si>
  <si>
    <t>0318-4141900</t>
  </si>
  <si>
    <t>Gull Jahan</t>
  </si>
  <si>
    <t>Chak No. 13 ML, Dak Khana Liaqatabad, Tehsil Piplan, Distt. Mianwali</t>
  </si>
  <si>
    <t>0302-6085660</t>
  </si>
  <si>
    <t>POST OFFICE NEW CAMPUS SAMSANY KHOYE JOHAR TOWN LAHORE</t>
  </si>
  <si>
    <t>0302-1610101</t>
  </si>
  <si>
    <t>Naveed Ahmad</t>
  </si>
  <si>
    <t>Abdul Sattar</t>
  </si>
  <si>
    <t>Middle</t>
  </si>
  <si>
    <t>Muhallah Waseem Park Nashtar Colony Llahore Canet Disst Lahore.</t>
  </si>
  <si>
    <t>0307-4418281</t>
  </si>
  <si>
    <t>Saif ur Rehman Baig</t>
  </si>
  <si>
    <t>Arif Baig</t>
  </si>
  <si>
    <t>House No. 8, Street No. 64, Mohalla Chowk Ghoray Shah, Sultan Pura, Lahore</t>
  </si>
  <si>
    <t>0328-8492755</t>
  </si>
  <si>
    <t>Salman Fiaz</t>
  </si>
  <si>
    <t>Muhammad Fiaz</t>
  </si>
  <si>
    <t>Dak khana kHas, Radhan, Tehsil Sahiwal District Sargodha</t>
  </si>
  <si>
    <t>0309-7747818</t>
  </si>
  <si>
    <t>Usman Ali</t>
  </si>
  <si>
    <t>Ali Sher</t>
  </si>
  <si>
    <t>Chah Lakhnan Wala , Dak Khana Pakpattan Jora, Tehsil &amp; District Pakpattan</t>
  </si>
  <si>
    <t>0300-0584294</t>
  </si>
  <si>
    <t>Zaigham Yaseen</t>
  </si>
  <si>
    <t>M. Yaseen Ramzani</t>
  </si>
  <si>
    <t>H # 14, Street # 7-A Block, Al-Faisal Town, Cantt, Lahore</t>
  </si>
  <si>
    <t>0300-4295809</t>
  </si>
  <si>
    <t>Gull Sehar</t>
  </si>
  <si>
    <t>W/O Hafiz Muhammad Adeel</t>
  </si>
  <si>
    <t>House No. 24 Mohalla Krishna Foundry Faiz bagh Lahore</t>
  </si>
  <si>
    <t>0320-4037249</t>
  </si>
  <si>
    <t>Abdul Rehman</t>
  </si>
  <si>
    <t>Muhammad Tanveer</t>
  </si>
  <si>
    <t>Present : Mohalla Samsani Khoi, Johar Town Lahore
Permanent : Lakhan Shareef, Dak Khana Bata Pur, Lahore</t>
  </si>
  <si>
    <t>0301-5550738</t>
  </si>
  <si>
    <t>Alap Arslan</t>
  </si>
  <si>
    <t>Abdul Majeed</t>
  </si>
  <si>
    <t>Mohalla Johar Town, Samsani Khoi, New Campus, Lahore</t>
  </si>
  <si>
    <t>0322-4028292</t>
  </si>
  <si>
    <t>Asad Riaz</t>
  </si>
  <si>
    <t>Present : Muhammad Ali Park, Thokar Niaz Baig, Lahore
Permanent: Chak No. 31 Hanjarwal, Mohalla Post Office Khas, Changa Manga Pattoki, Kasur</t>
  </si>
  <si>
    <t>0340-0795251</t>
  </si>
  <si>
    <t xml:space="preserve">Ehsan Ellahi </t>
  </si>
  <si>
    <t>Abdul Gani</t>
  </si>
  <si>
    <t>Muhallah Androon Kot Haleem Khan, Kasur</t>
  </si>
  <si>
    <t>0333-4949733</t>
  </si>
  <si>
    <t>Muhammad Adnan</t>
  </si>
  <si>
    <t xml:space="preserve">Muhammad Nawaz  </t>
  </si>
  <si>
    <t>Dak Khana Chak No. 111 ML, Chak No. 90A/TDA, Tehsil Karoor Laal, District Layyah</t>
  </si>
  <si>
    <t>0326-6180562</t>
  </si>
  <si>
    <t>Ahsan Mahmood</t>
  </si>
  <si>
    <t>Riffat Mahmood</t>
  </si>
  <si>
    <t>Qilla Nawan, Manga Mandi Lahore</t>
  </si>
  <si>
    <t>0306-9675531</t>
  </si>
  <si>
    <t>Mohalla Gulshala House No. J-173, Tehsil &amp; District Mianwali</t>
  </si>
  <si>
    <t>0318-1678014</t>
  </si>
  <si>
    <t>Ahmar Raza</t>
  </si>
  <si>
    <t>Basti Amin Pura, Raiwind</t>
  </si>
  <si>
    <t>0334-6721641</t>
  </si>
  <si>
    <t>Jismal Khan</t>
  </si>
  <si>
    <t>Pind Giya Baga, Near Police Chowki, Raiwind Lahore</t>
  </si>
  <si>
    <t>0302-4714665</t>
  </si>
  <si>
    <t>Kamas, Dak Khana Khas, Lahore</t>
  </si>
  <si>
    <t>0300-4698359</t>
  </si>
  <si>
    <t>Rafaqat Ali</t>
  </si>
  <si>
    <t>Abdul Khaliq</t>
  </si>
  <si>
    <t>Bhai Koat, Dak Khana Raiwind, Tehsil Raiwind, District Lahore</t>
  </si>
  <si>
    <t>0300-4706036</t>
  </si>
  <si>
    <t>Bhachoki Mahja, Dak Khana Khas, Raiwind Lahore</t>
  </si>
  <si>
    <t>0300-4211188</t>
  </si>
  <si>
    <t>Khawaja Jawad Ahmad</t>
  </si>
  <si>
    <t>Street No. Khawaja Raiwind, Tehsil &amp; District Lahore</t>
  </si>
  <si>
    <t>0302-1193793</t>
  </si>
  <si>
    <t>Syed Fakhar Abbas Sherazi</t>
  </si>
  <si>
    <t>Syed Sabir Hussain</t>
  </si>
  <si>
    <t>Dak Khana Chak Number 58 GD, Dobala Bala, Tehsil &amp; District Sahiwal</t>
  </si>
  <si>
    <t>0300-7831572</t>
  </si>
  <si>
    <t>Mirza Muhammad Aleem Baig</t>
  </si>
  <si>
    <t>Sarwar Baig</t>
  </si>
  <si>
    <t>Mohalla Panjgrain, Dak Khana Khas, Chung, Tehsil Raiwind, District Lahore</t>
  </si>
  <si>
    <t>0327-9410103</t>
  </si>
  <si>
    <t>Noor ul Hassan</t>
  </si>
  <si>
    <t>Mohalla Kot Hayat, Manowal, Chung Multan Road, Lahore</t>
  </si>
  <si>
    <t>0329-0515105</t>
  </si>
  <si>
    <t>Moeez Ahmad</t>
  </si>
  <si>
    <t>Zahid Imtiaz</t>
  </si>
  <si>
    <t>Shahdarah (Sahulat on the GO)</t>
  </si>
  <si>
    <t>Kachi Abadi, Mohalla Usman Block Begum Koat Shahdara Lahore</t>
  </si>
  <si>
    <t>0370-1429480</t>
  </si>
  <si>
    <t>Mohalla Dubai Town, Lahore.</t>
  </si>
  <si>
    <t>0306-4372413</t>
  </si>
  <si>
    <t>Muhammad Sufiyan</t>
  </si>
  <si>
    <t>Manowal, Dak Khana Chung, Lahore</t>
  </si>
  <si>
    <t>0300-4383639</t>
  </si>
  <si>
    <t>Danish Adeeb</t>
  </si>
  <si>
    <t>Khalid Mahmood</t>
  </si>
  <si>
    <t>Nawan Qila Manga Mandi, Lahore</t>
  </si>
  <si>
    <t>0306-1840472</t>
  </si>
  <si>
    <t>Syed Shah Hussain Gillani</t>
  </si>
  <si>
    <t>Syed Muhammad Faiz Shah</t>
  </si>
  <si>
    <t>Chak No. 62, Dak Khana Thokar Niaz Baig, Chamru Pur tehsil &amp; District Lahore</t>
  </si>
  <si>
    <t>0336-7323465</t>
  </si>
  <si>
    <t>Rana Sheharyar</t>
  </si>
  <si>
    <t>Rana Muhammad Boota</t>
  </si>
  <si>
    <t>Dak Khana Khas, Bhai Koat, Tehsil Raiwind District Lahore</t>
  </si>
  <si>
    <t>0324-9171109</t>
  </si>
  <si>
    <t xml:space="preserve">Zain   </t>
  </si>
  <si>
    <t>Sharafat Ali</t>
  </si>
  <si>
    <t>Mohalla Kot Nehal Khan, Raiwind, District Lahore</t>
  </si>
  <si>
    <t>0308-4019597</t>
  </si>
  <si>
    <t>Zulfiqar Ali</t>
  </si>
  <si>
    <t>Present : Mohalla Samsani Khoi, Johar Town Lahore
Permanent : Dak Khana Khas, Chak No. 126NB, Tehsil salanwi, District sargodha</t>
  </si>
  <si>
    <t>0345-7000561</t>
  </si>
  <si>
    <t>Khurram Iqbal</t>
  </si>
  <si>
    <t>Driver</t>
  </si>
  <si>
    <t>House No. 370, Block-E, Canal Garden Lahore</t>
  </si>
  <si>
    <t>0321-4514324</t>
  </si>
  <si>
    <t>Mashkoor Hussain</t>
  </si>
  <si>
    <t>Mian Sarfdar Hussain</t>
  </si>
  <si>
    <t>Dak Khana Mehmood Koat Shehr, Tehsil Koat Addu District Muzaffargarh</t>
  </si>
  <si>
    <t>0300-2571110</t>
  </si>
  <si>
    <t xml:space="preserve">Haroon  </t>
  </si>
  <si>
    <t>Muhammad Ashfaq</t>
  </si>
  <si>
    <t>Office Attendant</t>
  </si>
  <si>
    <t>House No. 38, Steer/Mohalla 16, Gunj Baksh Park, Band Road Lahore</t>
  </si>
  <si>
    <t>0322-1012969</t>
  </si>
  <si>
    <t>Muzamil</t>
  </si>
  <si>
    <t>Sheikh Maqsood Ahmad</t>
  </si>
  <si>
    <t>Middel</t>
  </si>
  <si>
    <t>House # D-59, Muhalla gama kocha ilahi baksh inside akbari gate lahore</t>
  </si>
  <si>
    <t>0306-5562426</t>
  </si>
  <si>
    <t>Shab e Qadar</t>
  </si>
  <si>
    <t>Qadir Bakhash</t>
  </si>
  <si>
    <t>House no 36-D, Street no. 141-E, Muhalla Ferdous Park, Kotlakhpat Lahore</t>
  </si>
  <si>
    <t>0323-5713859</t>
  </si>
  <si>
    <t>Waseem Khalil</t>
  </si>
  <si>
    <t>Ahata Dalian wala, Mureed wal, Thokar Niaz baig, House No. Lahore</t>
  </si>
  <si>
    <t>0323-4395399</t>
  </si>
  <si>
    <t>Pervaiz Masih</t>
  </si>
  <si>
    <t>Ghani Masih</t>
  </si>
  <si>
    <t>Sanitation Attendant</t>
  </si>
  <si>
    <t>House No. 440/36 Chak 43 Shumali Guniyanwala Sargodha</t>
  </si>
  <si>
    <t>0318-4286290</t>
  </si>
  <si>
    <t>Petter Labbah</t>
  </si>
  <si>
    <t>Labha Masih</t>
  </si>
  <si>
    <t>Ghafor park H # 181, muhala kot kambo bakar mandi band road lahore</t>
  </si>
  <si>
    <t>0316-4010108</t>
  </si>
  <si>
    <t>Qasim Bhatti</t>
  </si>
  <si>
    <t>Ashiq Bhatti</t>
  </si>
  <si>
    <t>House No. 218 Sector D-1 Gareen Town, Lahore</t>
  </si>
  <si>
    <t>0308-4812499</t>
  </si>
  <si>
    <t>Security &amp; Parking Attendant</t>
  </si>
  <si>
    <t>Ajodhiya Pur, Beer House no. 191, Johar Town, Block D, Lahore</t>
  </si>
  <si>
    <t>0300-8816761</t>
  </si>
  <si>
    <t>Azam Hussain</t>
  </si>
  <si>
    <t>Mumtaz Hussain</t>
  </si>
  <si>
    <t>H # 208, Mohalla Imran Block, Allama Iqbal Town Lahore</t>
  </si>
  <si>
    <t>0314-4514329</t>
  </si>
  <si>
    <t>Muhammad Islam</t>
  </si>
  <si>
    <t>House no 3, sector 594/F, Mohalla Railway Colony, Gari Shaho Washing Line Farooq Azam Road, Lahore</t>
  </si>
  <si>
    <t>0305-6318407</t>
  </si>
  <si>
    <t>Imran Ali</t>
  </si>
  <si>
    <t>House No.03, Street No.5, Muhalla Jehlum Street Kharak, lahore</t>
  </si>
  <si>
    <t>0322-8419858</t>
  </si>
  <si>
    <t>Deen Muhammad</t>
  </si>
  <si>
    <t>P/O Raja Jhang Village Jhoneky Tehsil Kot Radha Kishan Distt Kasur</t>
  </si>
  <si>
    <t>0304-2295995</t>
  </si>
  <si>
    <t xml:space="preserve">Sher Muhammad </t>
  </si>
  <si>
    <t>Makan No.3, street 3, Muslim Road Smanabad Lahore</t>
  </si>
  <si>
    <t>0303-9838313</t>
  </si>
  <si>
    <t>Muhammad Asif Saddiqi</t>
  </si>
  <si>
    <t>Muhammad Naqi Saddiqi</t>
  </si>
  <si>
    <t>House No. 14, Street No. 19, Rattan Street Mustafabad Lahore</t>
  </si>
  <si>
    <t>0326-4828357</t>
  </si>
  <si>
    <t>Muhammad Nadeem Anwar</t>
  </si>
  <si>
    <t>Muhammad Anwer Hussain</t>
  </si>
  <si>
    <t>Dole wala P/O Kasur, Kasur</t>
  </si>
  <si>
    <t>0308-4164753</t>
  </si>
  <si>
    <t>Talib hussain</t>
  </si>
  <si>
    <t>samsani khuiii johar town lahore</t>
  </si>
  <si>
    <t>0305-4691161</t>
  </si>
  <si>
    <t>Muhammad Shoaib</t>
  </si>
  <si>
    <t>Zahoor Ahmed</t>
  </si>
  <si>
    <t>kawa chowk hanjarwal multaan road lahore</t>
  </si>
  <si>
    <t>0324-4505152</t>
  </si>
  <si>
    <t>Usman Shahzad</t>
  </si>
  <si>
    <t>Ghullam Rasool</t>
  </si>
  <si>
    <t xml:space="preserve">Primary </t>
  </si>
  <si>
    <t>House No.88,Mohallah Servent Quarter, Mayo Hospital Lahore.</t>
  </si>
  <si>
    <t>0309-0600836</t>
  </si>
  <si>
    <t>Dildar Ahmad</t>
  </si>
  <si>
    <t>Ismail</t>
  </si>
  <si>
    <t>Manga Mandi Talab Saraye, Dak Khana Khas, Tehsil &amp; District Lahore</t>
  </si>
  <si>
    <t>0325-5007725</t>
  </si>
  <si>
    <t>Muhammad Nadeem</t>
  </si>
  <si>
    <t>Pajiyan Dak Khana Khas, Lahore</t>
  </si>
  <si>
    <t>0316-4147052</t>
  </si>
  <si>
    <t>Usama Ejaz</t>
  </si>
  <si>
    <t>Ejaz Ahmad</t>
  </si>
  <si>
    <t>House No. 8/1 M. Steet No. 59/A, Mohalla Johari Park, Sant Nagar Lahore</t>
  </si>
  <si>
    <t>0313-0458639</t>
  </si>
  <si>
    <t>Fida Hussain</t>
  </si>
  <si>
    <t>Faiz Bakhash</t>
  </si>
  <si>
    <t>Gardener</t>
  </si>
  <si>
    <t>Basti Lughran, Himaitian, Bahawalpur.</t>
  </si>
  <si>
    <t>0303-6481905</t>
  </si>
  <si>
    <t>Muhammad Dilshad</t>
  </si>
  <si>
    <t>Chak No. 10/BC, Dak Khana Bagdad Station, Tehsil &amp; Distt. Bahawalpur</t>
  </si>
  <si>
    <t>0302-3742737</t>
  </si>
  <si>
    <t>Asif Masih</t>
  </si>
  <si>
    <t>Mukhtiar Masih</t>
  </si>
  <si>
    <t>House No: 185, Street No: 06, Islami Colony, Bahawalpur.</t>
  </si>
  <si>
    <t>0302-6847267</t>
  </si>
  <si>
    <t>Babar Ali</t>
  </si>
  <si>
    <t>Muhammad Din</t>
  </si>
  <si>
    <t>Goud-o-Mal Siraye, Muhallah Mori Gate, Bahawalpur.</t>
  </si>
  <si>
    <t>0308-8762219</t>
  </si>
  <si>
    <t>Liaqat Masih</t>
  </si>
  <si>
    <t>Karamat Masih</t>
  </si>
  <si>
    <t>Chak No: 12-BC Janobi, Bahawalpur.</t>
  </si>
  <si>
    <t>0347-4817457</t>
  </si>
  <si>
    <t>Sumiol  Nadeem</t>
  </si>
  <si>
    <t>Yousaf Masih</t>
  </si>
  <si>
    <t>Islami Colony Yazman Road, Bahawalpur</t>
  </si>
  <si>
    <t>0305-3391591</t>
  </si>
  <si>
    <t xml:space="preserve"> Muhammad Javed </t>
  </si>
  <si>
    <t> Ghulam Mustafa</t>
  </si>
  <si>
    <t xml:space="preserve">Dak Khana Lodhran Dargahpur Tehsil o Distt. Lodhran </t>
  </si>
  <si>
    <t>0303-0461810</t>
  </si>
  <si>
    <t>Jaffir Ali Khan</t>
  </si>
  <si>
    <t>Mohalla Kanda Qasab P.O Uch Shareef Tehsil  Ahmad Pur East District Bahawalpur</t>
  </si>
  <si>
    <t>0300-6855170
0300-6887241</t>
  </si>
  <si>
    <t>Kashif Mukhtiar</t>
  </si>
  <si>
    <t>Yazman Road, Muhalla Islami Colony, Block 6, Bahawalpur</t>
  </si>
  <si>
    <t>0304-7567304</t>
  </si>
  <si>
    <t>Muhammad Khizar Hayat</t>
  </si>
  <si>
    <t>Peeran Ditta</t>
  </si>
  <si>
    <t>House No. Dak- Khana Jhang Wala, Bhinda Ghulam Hussain Bahawalpur.</t>
  </si>
  <si>
    <t>0304-2018617</t>
  </si>
  <si>
    <t>Muhammad Mujahid</t>
  </si>
  <si>
    <t>Muhammad Siddique</t>
  </si>
  <si>
    <t>Dak Khana Qureshi Walah, Paglwari Tehsil &amp; District Lodhran</t>
  </si>
  <si>
    <t>0321-5044948</t>
  </si>
  <si>
    <t>Muhamamd Ashiq</t>
  </si>
  <si>
    <t>Basti Miani Mouza Bhinda Ghulam Hussain P/O Jangi Wali Bahawalpur.</t>
  </si>
  <si>
    <t>03036529531</t>
  </si>
  <si>
    <t>Muhammad Saddique</t>
  </si>
  <si>
    <t>Malik Allah Dewoaya</t>
  </si>
  <si>
    <t>Basti Sheikh wali, Moze Pagwari, Dak Khana Qureshi Wala, Tehsil o District Lodhran</t>
  </si>
  <si>
    <t>0307-2631648</t>
  </si>
  <si>
    <t>Muhammad Sarfraz</t>
  </si>
  <si>
    <t>Mohammad yousaf</t>
  </si>
  <si>
    <t>Chak NO. 231, WB Sak Khana, Adda Zekhera, Tehsil DuniaPur Distt. Lodharan.</t>
  </si>
  <si>
    <t>0323-6824238</t>
  </si>
  <si>
    <t>Muhammad Usman Jamil</t>
  </si>
  <si>
    <t>Jamil Ahmad</t>
  </si>
  <si>
    <t>Saeedabad Colony Near Grid Station, Street No. 3, Bahawalpur</t>
  </si>
  <si>
    <t>0329-8633870</t>
  </si>
  <si>
    <t>Saad Saeed</t>
  </si>
  <si>
    <t>Dak Khana Lodhran, Kondi, Tehsil o District Lodhran</t>
  </si>
  <si>
    <t>0303-8621597</t>
  </si>
  <si>
    <t>Umar Farooq</t>
  </si>
  <si>
    <t>Near Chungi # 12,Mohalla Tibba Janobi,Bhakkar</t>
  </si>
  <si>
    <t>0341-7790025</t>
  </si>
  <si>
    <t>Ameer Hamza</t>
  </si>
  <si>
    <t>0344-0712580</t>
  </si>
  <si>
    <t>Ghazanfar Hussnain</t>
  </si>
  <si>
    <t>Jevanabad, DarbolaP.O Hyderabad,Thall,tehsil Mankera, District Bhakkar</t>
  </si>
  <si>
    <t>0346-4868901</t>
  </si>
  <si>
    <t>Muhammad Asad</t>
  </si>
  <si>
    <t>Malik Atta Muhammad</t>
  </si>
  <si>
    <t>0336-1683527</t>
  </si>
  <si>
    <t>Zafar Iqbal</t>
  </si>
  <si>
    <t>Allah Ditta</t>
  </si>
  <si>
    <t>Dak Khana Khas Kachi Kalan, Tehsil &amp; District Bhakkar</t>
  </si>
  <si>
    <t>0343-1931668</t>
  </si>
  <si>
    <t>Hassan Raza</t>
  </si>
  <si>
    <t>Stree Qaiser Ali, Asghar Wali, H # 218,Mohalla Kumharanwala, Bhakkar</t>
  </si>
  <si>
    <t>0332-7123166</t>
  </si>
  <si>
    <t>Hussain Raza</t>
  </si>
  <si>
    <t>Saeed Akhtar</t>
  </si>
  <si>
    <t>Street Professor Academy, H # 355, Mohalla Chah Chimni Bhakkar</t>
  </si>
  <si>
    <t>0332-7780520</t>
  </si>
  <si>
    <t>Mudassar Hassan</t>
  </si>
  <si>
    <t>Muhammad Youqob</t>
  </si>
  <si>
    <t>Mohalla Siddiqui Akbar,Kotla Jam Dagar, P.O Khas, Tehsil o District Bhakkar</t>
  </si>
  <si>
    <t>0304-6603231</t>
  </si>
  <si>
    <t>Abdul Haleem</t>
  </si>
  <si>
    <t>P.O Tibba Naina, Shah Alam Dagar, Tehsil Kalorkot, Distt Bhakkar</t>
  </si>
  <si>
    <t>0348-1871422
0308-6038684</t>
  </si>
  <si>
    <t>Ghulama #1 Post office Khas Tehsil Kalur Kot  District Bhakkar</t>
  </si>
  <si>
    <t>0302-7129560</t>
  </si>
  <si>
    <t>Muhammad Arif</t>
  </si>
  <si>
    <t>Allah Bakhsh</t>
  </si>
  <si>
    <t>Chahniyan SharqiP.O Dayan Murad Digar Oolakh # 1 Tehsil o District Bhakkar</t>
  </si>
  <si>
    <t>0344-6582587</t>
  </si>
  <si>
    <t>Waseem Abbas</t>
  </si>
  <si>
    <t>Khadim Hussain</t>
  </si>
  <si>
    <t>Tibba Janobi Mohalla Dhandla, Bhakkar</t>
  </si>
  <si>
    <t>0340-7108200</t>
  </si>
  <si>
    <t>Ahmad Khan</t>
  </si>
  <si>
    <t>Post Office Khas, Tehsil Koat Momin, District Sargodha</t>
  </si>
  <si>
    <t>0347-8736912</t>
  </si>
  <si>
    <t>Muhammad Usman Mumtaz</t>
  </si>
  <si>
    <t>Mumtaz Elahi</t>
  </si>
  <si>
    <t>Muhallah Saithiyan Wala, Tehsil Bhera Distt. Sargodha</t>
  </si>
  <si>
    <t>0303-4300443</t>
  </si>
  <si>
    <t>Ziada Khan</t>
  </si>
  <si>
    <t xml:space="preserve">Chaoni Khawaja Salah Tehsil Bhera </t>
  </si>
  <si>
    <t>0300-4342521</t>
  </si>
  <si>
    <t>Mohallah Chitti Pulli Near Peeli kothi Bhera District Sargodha</t>
  </si>
  <si>
    <t>0342-7094944</t>
  </si>
  <si>
    <t>Fareeda Kousar</t>
  </si>
  <si>
    <t>wife of Muhammad Arshad Hanif</t>
  </si>
  <si>
    <t>Usman Ghani, House No. 3/95, Bhera District Gujrat</t>
  </si>
  <si>
    <t>0301-5083241</t>
  </si>
  <si>
    <t>Muhammad Bashir</t>
  </si>
  <si>
    <t>Muhallah Naseerabad Colony Bhera, Distt. Sargodha</t>
  </si>
  <si>
    <t>0302-7670523</t>
  </si>
  <si>
    <t>Chak No. 69 NB, Post Office Khas, Tehsil &amp; District Sargodha</t>
  </si>
  <si>
    <t>0307-0683823</t>
  </si>
  <si>
    <t>Abdul Rauf</t>
  </si>
  <si>
    <t>Mohallah Bugviah Masjid Bhera District Sargodha</t>
  </si>
  <si>
    <t>0306-8968900</t>
  </si>
  <si>
    <t xml:space="preserve">Adnan Haider </t>
  </si>
  <si>
    <t>Muhammad Mumtaz</t>
  </si>
  <si>
    <t>Moh. Attaranwala, Bhera, District Sargodha</t>
  </si>
  <si>
    <t>0303-0079400</t>
  </si>
  <si>
    <t xml:space="preserve">Ali Azhar </t>
  </si>
  <si>
    <t>Azhar Mehmood</t>
  </si>
  <si>
    <t>P.O Bhera,, Fateh Garh Tehsil Bhera, District Sargodha</t>
  </si>
  <si>
    <t>0309-5106907</t>
  </si>
  <si>
    <t>Muhammad Nazeer</t>
  </si>
  <si>
    <t>Tahli wala UC fateh garh Bhera District Sargodha</t>
  </si>
  <si>
    <t>0307-4564391</t>
  </si>
  <si>
    <t>Malik Sajjad Umar</t>
  </si>
  <si>
    <t>Mohallah Hidayat Shah Bhera District Sargodha</t>
  </si>
  <si>
    <t>0304-6614484</t>
  </si>
  <si>
    <t>Muhammad Haseeb Amin</t>
  </si>
  <si>
    <t>Village Awani Bhera District Sargodha</t>
  </si>
  <si>
    <t>0342-4550421</t>
  </si>
  <si>
    <t>Muhammad Kamran</t>
  </si>
  <si>
    <t>Village Dera sheyan wala Bhera District Sargodha</t>
  </si>
  <si>
    <t>0302-6791146</t>
  </si>
  <si>
    <t xml:space="preserve">Muhammad Yasir </t>
  </si>
  <si>
    <t>Muhallah Sheesh Mehal, Bhera</t>
  </si>
  <si>
    <t>0315-6064445</t>
  </si>
  <si>
    <t>Rana Qadir Nawaz</t>
  </si>
  <si>
    <t>Ali Nawaz</t>
  </si>
  <si>
    <t>Village Khan Muhammad Wala Tehsil Bhera District Sargodha</t>
  </si>
  <si>
    <t>0340-7216165</t>
  </si>
  <si>
    <t>Zeeshan Ali</t>
  </si>
  <si>
    <t>Muhammad Yaqob</t>
  </si>
  <si>
    <t xml:space="preserve">Middle </t>
  </si>
  <si>
    <t>Near Masjid Muhajreen, Bhera</t>
  </si>
  <si>
    <t>0303-6025530</t>
  </si>
  <si>
    <t>Yousaf Kamal</t>
  </si>
  <si>
    <t>Abdul Jabbar Khan</t>
  </si>
  <si>
    <t>House no. 9/263, Muhalla Gandhiyan Wala Bhera, Distt. Sargodha</t>
  </si>
  <si>
    <t>0306-0969539</t>
  </si>
  <si>
    <t>Azhar Abbas</t>
  </si>
  <si>
    <t>Muhammad Latif</t>
  </si>
  <si>
    <t>Chak Norang, Dak Khana Khas,Tehsil o District Chakwal</t>
  </si>
  <si>
    <t>0335-5397168</t>
  </si>
  <si>
    <t>Mirza Ghulam Qammar</t>
  </si>
  <si>
    <t>House No. MCB-4/664, Mohalla Dhok Moman, Chakwal</t>
  </si>
  <si>
    <t>0306-4841576</t>
  </si>
  <si>
    <t>Suleman Yousaf</t>
  </si>
  <si>
    <t>Pindi Road MOH: Usman abad, Tehsil &amp; Distt. Chakwal</t>
  </si>
  <si>
    <t>Muhammad Shabbir</t>
  </si>
  <si>
    <t>Mohalla Wadrah, Cho Asidan Shah, District Chakwal</t>
  </si>
  <si>
    <t>0349-5313492</t>
  </si>
  <si>
    <t>Ishrat Fatima</t>
  </si>
  <si>
    <t>Niaz Ali</t>
  </si>
  <si>
    <t>House No. MCB-4/822, Mohalla Dhook Feroze, Chakwal</t>
  </si>
  <si>
    <t>0340-1967485</t>
  </si>
  <si>
    <t>Mehboob Ahmad</t>
  </si>
  <si>
    <t>Nazar Muhammad</t>
  </si>
  <si>
    <t>Ghulab Ali, Dak Khana Khas, Tehsil &amp; District Bahawalnagar</t>
  </si>
  <si>
    <t>0300-7533895</t>
  </si>
  <si>
    <t>Muhammad Rizwan</t>
  </si>
  <si>
    <t>VPO chak Narang Tehsil o Distt. Chakwal</t>
  </si>
  <si>
    <t>0303-5044279</t>
  </si>
  <si>
    <t xml:space="preserve">Muhammad Tahir </t>
  </si>
  <si>
    <t>Mochiwala, Dak Khana Khas, Chak No. 214 JB, Tehsil &amp; District Jhang</t>
  </si>
  <si>
    <t>0341-7476935</t>
  </si>
  <si>
    <t>Expired</t>
  </si>
  <si>
    <t>Sabir Masih</t>
  </si>
  <si>
    <t xml:space="preserve">Waris Masih </t>
  </si>
  <si>
    <t xml:space="preserve">Attoky Awan Dak Khana Bata Pur Tehsil Lahore Cant </t>
  </si>
  <si>
    <t>0301-4590178</t>
  </si>
  <si>
    <t xml:space="preserve">Awais  </t>
  </si>
  <si>
    <t>Khuram Masih</t>
  </si>
  <si>
    <t>Mohalla Kachi Abadi, Pracha Colony Shahdra Lahore</t>
  </si>
  <si>
    <t>0343-0143653</t>
  </si>
  <si>
    <t>Mian Aftab Sindhu</t>
  </si>
  <si>
    <t xml:space="preserve">Mian Inayat Masih </t>
  </si>
  <si>
    <t xml:space="preserve">Nazd Taj Company House No 124 Muhallah Pathi Ground Dil Muhammad Road Lahore </t>
  </si>
  <si>
    <t>0307-4904003</t>
  </si>
  <si>
    <t>Naveed Masih</t>
  </si>
  <si>
    <t>Makhan Masih</t>
  </si>
  <si>
    <t>Present: Jhugiyan Dars, Dak Khana Batapur Lahore
Permanent: Nayi Abadi Nehr Wali Dak Khana Batapur Lahore</t>
  </si>
  <si>
    <t>0320-0515758</t>
  </si>
  <si>
    <t>Zahid Mahmood</t>
  </si>
  <si>
    <t>Miraj ud Din Mehr</t>
  </si>
  <si>
    <t>Lakho Dheer, Dak Khana Bata Pur, Lahore</t>
  </si>
  <si>
    <t>0322-4488305</t>
  </si>
  <si>
    <t>street # 5-A, Muhalla Nai Abadi, Lajpat Nagar Shahdaraha, Lahore</t>
  </si>
  <si>
    <t>0348-0750786</t>
  </si>
  <si>
    <t>Arslan Aslam</t>
  </si>
  <si>
    <t xml:space="preserve">Mirza Aslam Baig </t>
  </si>
  <si>
    <t xml:space="preserve">House No 7 Street No 2 Buland Street Muhallah Awian Qila Gujjar Singh Lahore </t>
  </si>
  <si>
    <t>0323-4673335</t>
  </si>
  <si>
    <t>Kamran</t>
  </si>
  <si>
    <t xml:space="preserve">Muhammad Ikram </t>
  </si>
  <si>
    <t xml:space="preserve">House No 37 Street No 1 Ameen Street Muhallah Sher Shah Road Rafique Park Shadbagh Lahore </t>
  </si>
  <si>
    <t>0324-4212486</t>
  </si>
  <si>
    <t>Muhammad Ramzan S/O  Khair Din</t>
  </si>
  <si>
    <t xml:space="preserve">Kher Deen </t>
  </si>
  <si>
    <t xml:space="preserve">House No 60 Street No 24 C Muhallah Kachi Abadi Band Road China Scheme Lahore Cant </t>
  </si>
  <si>
    <t>0300-8086856</t>
  </si>
  <si>
    <t>Muhammaz Shahbaz</t>
  </si>
  <si>
    <t>H # 23, Str # 11 , kot Khawaja Syed Bagbanpura LHR</t>
  </si>
  <si>
    <t>0323-8400927</t>
  </si>
  <si>
    <t>Mujeeb Razzaq</t>
  </si>
  <si>
    <t>Abdul Razzaq</t>
  </si>
  <si>
    <t>House No. 1, Street No. 1, Mohalla Habib park Gulshan Park, Mughalpura Lahore</t>
  </si>
  <si>
    <t>0326-4069220</t>
  </si>
  <si>
    <t>Qasim Ali</t>
  </si>
  <si>
    <t xml:space="preserve">Sadiq Hussain </t>
  </si>
  <si>
    <t xml:space="preserve">House No 14 Street No 1 Ahata malik Bassu Sultanpura Lahore </t>
  </si>
  <si>
    <t>0320-04669200</t>
  </si>
  <si>
    <t>Robina Anwar</t>
  </si>
  <si>
    <t>House no. Muhalla Afzal Town, Bhagatpura Shadbagh, Lahore</t>
  </si>
  <si>
    <t>0300-4433152</t>
  </si>
  <si>
    <t>Muhammad Rafiq</t>
  </si>
  <si>
    <t>House No. 8, Street No. 4, Mohalla Nizamabad, Lahore</t>
  </si>
  <si>
    <t>0323-8041970</t>
  </si>
  <si>
    <t>Muhammad Amir</t>
  </si>
  <si>
    <t>Chiniot</t>
  </si>
  <si>
    <t>Mohallah Gazi Road, Dogaich Town, Lahore</t>
  </si>
  <si>
    <t>0309-6342652</t>
  </si>
  <si>
    <t>Khurram Masih</t>
  </si>
  <si>
    <t>Bashir Masih</t>
  </si>
  <si>
    <t>House No. 2, Advant Pura Street No. 4, France Town Thokar Niaz Baig Lahore</t>
  </si>
  <si>
    <t>0303-4075228</t>
  </si>
  <si>
    <t>Ramzan Masih Khan</t>
  </si>
  <si>
    <t>Ghaman Masih Khan</t>
  </si>
  <si>
    <t>Mohalla Sheikhanwala, Chuniyan, District Kasur</t>
  </si>
  <si>
    <t>0300-4596000</t>
  </si>
  <si>
    <t xml:space="preserve">Abbas Ali   </t>
  </si>
  <si>
    <t>Niaz ali</t>
  </si>
  <si>
    <t xml:space="preserve">near high school  chung daak khaana </t>
  </si>
  <si>
    <t>0300-4064970</t>
  </si>
  <si>
    <t>Ali Ahmed</t>
  </si>
  <si>
    <t>0321-4678768</t>
  </si>
  <si>
    <t>Nadeem Hussain</t>
  </si>
  <si>
    <t>wilayat ali</t>
  </si>
  <si>
    <t xml:space="preserve">panjgraiin muhalla chung daak khaan khaas </t>
  </si>
  <si>
    <t>0309-4115471</t>
  </si>
  <si>
    <t>Shahbaz Ali</t>
  </si>
  <si>
    <t>Muhalla Panjgrayin Chung, Multan Road Lahore</t>
  </si>
  <si>
    <t>0325-9731542</t>
  </si>
  <si>
    <t>Near Baba Rohri Peer, Multan Road Chung, Lahore</t>
  </si>
  <si>
    <t>0307-0430103</t>
  </si>
  <si>
    <t>Syed Shafaqat Ali Shah</t>
  </si>
  <si>
    <t>Sharafat Ali Shah</t>
  </si>
  <si>
    <t>Shadab Colony Adalat Ali Shah Road, Dak Khana Khas, Chung, Tehsil Raiwind, District Lahore.</t>
  </si>
  <si>
    <t>0302-9387281</t>
  </si>
  <si>
    <t xml:space="preserve">Tariq Ali </t>
  </si>
  <si>
    <t>Umer Hayat</t>
  </si>
  <si>
    <t>Manowal Multan Road, Dak Khana Khas, Chung, Tehsil Raiwind, District Lahore</t>
  </si>
  <si>
    <t>0321-9395175</t>
  </si>
  <si>
    <t>Imtiaz Khalid</t>
  </si>
  <si>
    <t>Malik Muhammad Khalid</t>
  </si>
  <si>
    <t>Chunian</t>
  </si>
  <si>
    <t>Hanjarwal Ch # 31, Chunian District Kasur</t>
  </si>
  <si>
    <t>0300-6548168</t>
  </si>
  <si>
    <t xml:space="preserve">Abdul Majeed </t>
  </si>
  <si>
    <t>Manjha Khan</t>
  </si>
  <si>
    <t>Siddiq abad colony, St#1, D.G.Khan</t>
  </si>
  <si>
    <t>03368094390</t>
  </si>
  <si>
    <t>Farhat Abbas</t>
  </si>
  <si>
    <t>Syed Fida Hussain</t>
  </si>
  <si>
    <t>City Town, St 1, D.G.Khan</t>
  </si>
  <si>
    <t>03337391349</t>
  </si>
  <si>
    <t>Manjha</t>
  </si>
  <si>
    <t>H # 48, Block 9, D.G Khan</t>
  </si>
  <si>
    <t>0342-0702098</t>
  </si>
  <si>
    <t>Mushtaq Hussain</t>
  </si>
  <si>
    <t>House no 45, Muhallah Norangabad, Dera Ghazi Khan</t>
  </si>
  <si>
    <t>0336-4645110</t>
  </si>
  <si>
    <t>Allah Yar</t>
  </si>
  <si>
    <t>Din Muhammad Sheikh</t>
  </si>
  <si>
    <t>Ishaq Colony, Dak Khana Khas, Payega No. 1, Tehsil &amp; District DG Khan</t>
  </si>
  <si>
    <t>0331-6007523</t>
  </si>
  <si>
    <t>Mansoor Ahmad</t>
  </si>
  <si>
    <t>Allah Dad</t>
  </si>
  <si>
    <t>Siddiq abad colony, D.G.Khan</t>
  </si>
  <si>
    <t>Chah Lohar wala, Paigah, D.G.Khan</t>
  </si>
  <si>
    <t>03367735559</t>
  </si>
  <si>
    <t>Muhammad Kosar</t>
  </si>
  <si>
    <t>Rahim Baksh</t>
  </si>
  <si>
    <t>Mohalla Shumali Dar Khan wala Taunsa Sharif District DG Khan</t>
  </si>
  <si>
    <t>0335-8044615</t>
  </si>
  <si>
    <t>Qadir Bukhsh</t>
  </si>
  <si>
    <t>0336-6649596</t>
  </si>
  <si>
    <t>Qadir Bakhsh</t>
  </si>
  <si>
    <t>Faiz Muhammad</t>
  </si>
  <si>
    <t>H # 37 , Y Block, D.G Khan</t>
  </si>
  <si>
    <t>0336-3283322</t>
  </si>
  <si>
    <t xml:space="preserve">Abdul Latif </t>
  </si>
  <si>
    <t>Khursheed Ahmed</t>
  </si>
  <si>
    <t>Matric(Electric Diploma 1 Year)</t>
  </si>
  <si>
    <t>Gago P/O Khakhi,Tehsil/District D.G.Khan</t>
  </si>
  <si>
    <t>03477282507</t>
  </si>
  <si>
    <t>Abdul Rasheed</t>
  </si>
  <si>
    <t xml:space="preserve">Muhallah Muhajreen Gadai, Dak Khana Khas, Tehsil o Distt. Dera Ghazi Khan </t>
  </si>
  <si>
    <t>03366241615</t>
  </si>
  <si>
    <t>Ghulam Muhammad</t>
  </si>
  <si>
    <t xml:space="preserve">Dak Khana Hussainabad Kot Chutta no 1, Tehsil Kot Chutta Distt. Dera Ghazi Khan </t>
  </si>
  <si>
    <t>03344769321</t>
  </si>
  <si>
    <t>Mazhar Hassan</t>
  </si>
  <si>
    <t>Raheem Bux</t>
  </si>
  <si>
    <t xml:space="preserve">House no. 85, Block 44, Dera Ghazi Khan </t>
  </si>
  <si>
    <t>03338537475</t>
  </si>
  <si>
    <t>Muhammad Naseem</t>
  </si>
  <si>
    <t xml:space="preserve">Din Muhammad </t>
  </si>
  <si>
    <t>P.O Fort Munro, Gagan Thal, Tehsil G.G Khan Qabaili Illaqa, District D.G Khan</t>
  </si>
  <si>
    <t>0334-0862203</t>
  </si>
  <si>
    <t>Naimat ullah</t>
  </si>
  <si>
    <t>Abdul Kareem</t>
  </si>
  <si>
    <t>03464952433</t>
  </si>
  <si>
    <t>Nasir Dilshad</t>
  </si>
  <si>
    <t>Present : House No. 9, Street No. 2, Qasim Manzil, Mohalla Kacha Rasheed Road, Lahore
Permanent: Mohalla Sadiqabad Colony, Dera Ghazi Khan</t>
  </si>
  <si>
    <t>0300-7512781</t>
  </si>
  <si>
    <t>Taimoor Tahir</t>
  </si>
  <si>
    <t>Muhammad Tahir</t>
  </si>
  <si>
    <t xml:space="preserve">House no. 8, Block 6, DG Khan </t>
  </si>
  <si>
    <t>03356317102</t>
  </si>
  <si>
    <t>Tasleem Kosar</t>
  </si>
  <si>
    <t>Husband: Fiaz Hussain Qureshi</t>
  </si>
  <si>
    <t xml:space="preserve">Matric </t>
  </si>
  <si>
    <t>House No. J-17, Mohalla Canal Colony, Dera Ghazi Khan</t>
  </si>
  <si>
    <t xml:space="preserve">Qaisar Nadeem </t>
  </si>
  <si>
    <t>Dera Nigha Farooqabad, Tehsil o Distt. Sheikhupura</t>
  </si>
  <si>
    <t>0307-4535592</t>
  </si>
  <si>
    <t xml:space="preserve">Nadeem Nazeer </t>
  </si>
  <si>
    <t>Nazeer Masih</t>
  </si>
  <si>
    <t>Masih Basti Mureedke Dak Khana Farooqabad, Tehsil o Distt. Sheikhupura</t>
  </si>
  <si>
    <t>0302-4339038</t>
  </si>
  <si>
    <t>Shahzaib</t>
  </si>
  <si>
    <t>Muridkee Dak khana, Farooqabad, District Sheikhupura</t>
  </si>
  <si>
    <t>0302-6813643</t>
  </si>
  <si>
    <t>Waris Masih</t>
  </si>
  <si>
    <t>Arif Masih</t>
  </si>
  <si>
    <t>Kad Lathi Dak Khana Khas, Tehsil &amp; District Sheikhupua</t>
  </si>
  <si>
    <t>0307-7160140</t>
  </si>
  <si>
    <t>Allah Diita</t>
  </si>
  <si>
    <t>Dak Khana Khas, Battar, Tehsil Sheikhupura, District Sheikhupura</t>
  </si>
  <si>
    <t>0308-4506150</t>
  </si>
  <si>
    <t>Bushra Bibi</t>
  </si>
  <si>
    <t>Riasat Ali</t>
  </si>
  <si>
    <t>Hussain Town, Dak Khana Khas, Kala Shah Kaku, Tehsil Feroze Wala, District Sheikhupura</t>
  </si>
  <si>
    <t>0345-6929545</t>
  </si>
  <si>
    <t>Farah Saeed Butt</t>
  </si>
  <si>
    <t>Muhammad Saeed Butt</t>
  </si>
  <si>
    <t>Butt Street, Mohalla Rasool Pura, Khalid Road, Sheikhupura</t>
  </si>
  <si>
    <t>0318-7921870</t>
  </si>
  <si>
    <t>Muhammad Hamza</t>
  </si>
  <si>
    <t>Muhammad Bota</t>
  </si>
  <si>
    <t>Butter, Dak Khana Farooqabad, Tehsil &amp; Distt. Sheikhupura</t>
  </si>
  <si>
    <t>0308-4752803</t>
  </si>
  <si>
    <t>Muhammad Imtiaz Shareef</t>
  </si>
  <si>
    <t>Muhammad Shareef</t>
  </si>
  <si>
    <t>Dera Karnalian Wala, P/o Khas Kalokay, Tehsil o Distt. Sheikhupura</t>
  </si>
  <si>
    <t>0302-4504157</t>
  </si>
  <si>
    <t>Muhammad Nadeem Ashraf</t>
  </si>
  <si>
    <t>Sakna, Makki 460, Tehsil o Distt. Shaikhupura</t>
  </si>
  <si>
    <t>0342-7557357</t>
  </si>
  <si>
    <t>Muhammad Ilyas</t>
  </si>
  <si>
    <t>Battar, PO Khas, Tehsil &amp; District Sheikhupura</t>
  </si>
  <si>
    <t>0310-8100837</t>
  </si>
  <si>
    <t>Dak Khana Khas, Butter Tehsil o Distt. Sheikhupura</t>
  </si>
  <si>
    <t>0304-2236507</t>
  </si>
  <si>
    <t>Nabeel Ahmed</t>
  </si>
  <si>
    <t>Muhammad Raysat</t>
  </si>
  <si>
    <t>Buttar, Dak Khana Farooqabad, Tehsil o District Sheikhupura</t>
  </si>
  <si>
    <t>0307-3326034</t>
  </si>
  <si>
    <t xml:space="preserve">Yousaf Ali </t>
  </si>
  <si>
    <t xml:space="preserve">Muhalla Daras wala Aproch road, Farooqabad </t>
  </si>
  <si>
    <t>0308-4388949</t>
  </si>
  <si>
    <t>Muhammad Bilal</t>
  </si>
  <si>
    <t>Muhammad Aslam Nadeem</t>
  </si>
  <si>
    <t xml:space="preserve">Jabokay P.O Jaboki, Tehsil Kamoki Distt. Gujranwala </t>
  </si>
  <si>
    <t>0342-6057872</t>
  </si>
  <si>
    <t>Adnan Rafique</t>
  </si>
  <si>
    <t>Rafique Masih</t>
  </si>
  <si>
    <t>Chak no. 49NB, Dak Khana Khas, Sargodha</t>
  </si>
  <si>
    <t>0348-1462859</t>
  </si>
  <si>
    <t>Amjad Masih</t>
  </si>
  <si>
    <t>Barkat Masih</t>
  </si>
  <si>
    <t>Ratta Road, Fareed Town , Street # 2, Mohalla Saleem Colony Gujranwala</t>
  </si>
  <si>
    <t>0344-1434629</t>
  </si>
  <si>
    <t>Anjum Masih</t>
  </si>
  <si>
    <t>Chachar wali road street no 19, muhalla seraj colony gujranwala</t>
  </si>
  <si>
    <t>0302-1619028</t>
  </si>
  <si>
    <t>Ashfaq Masih</t>
  </si>
  <si>
    <t>Qasim Masih</t>
  </si>
  <si>
    <t>Kekranwali, Ferozwala Road, P.O Gujranwala</t>
  </si>
  <si>
    <t>0324-6179542</t>
  </si>
  <si>
    <t xml:space="preserve">Ashraf Masih </t>
  </si>
  <si>
    <t>David Masih</t>
  </si>
  <si>
    <t>P/O Gakhar, Sango Wali, Tehsil Wazirabad, Distt. Gujranwala</t>
  </si>
  <si>
    <t>0331-4808323</t>
  </si>
  <si>
    <t>Labin Masih</t>
  </si>
  <si>
    <t>0326-6485571</t>
  </si>
  <si>
    <t>Sadiq</t>
  </si>
  <si>
    <t>Chak # 23 A/SB ,P.O , Bhagtanwala, Tehsil o District Sargodha</t>
  </si>
  <si>
    <t>0340-4517335</t>
  </si>
  <si>
    <t>Muhammad Waqas</t>
  </si>
  <si>
    <t>0329-7284969</t>
  </si>
  <si>
    <t>Nouman Masih</t>
  </si>
  <si>
    <t>Ilyas Masih</t>
  </si>
  <si>
    <t>Dak Khana Mandiayala Teega, Chak Joiya, Tehsil o District Gujranwala</t>
  </si>
  <si>
    <t>Welsin Masih</t>
  </si>
  <si>
    <t>Riaz Masih</t>
  </si>
  <si>
    <t>Dak Khana Jhandiyan wala, Baghwala Distt. Gujranwala</t>
  </si>
  <si>
    <t>0347-4724420</t>
  </si>
  <si>
    <t>Zubair Masih</t>
  </si>
  <si>
    <t>Chah Manday Muhalla Eid Gah Gujrat</t>
  </si>
  <si>
    <t>0309-4724088</t>
  </si>
  <si>
    <t>Abdul Waheed</t>
  </si>
  <si>
    <t>House no 3, street no 2, Gala Sui Gas Pump Wala, Ali Pura,  Gujranwala</t>
  </si>
  <si>
    <t>0322-5550511</t>
  </si>
  <si>
    <t>Al Syed Jalal Haider Naqvi</t>
  </si>
  <si>
    <t>Syed Abid Ali</t>
  </si>
  <si>
    <t>Dak Khana Koludala, Doburji, Tehsil Noshera Darkan, district Gujranwala</t>
  </si>
  <si>
    <t>0301-4342494</t>
  </si>
  <si>
    <t>Asad Ali Shah</t>
  </si>
  <si>
    <t>Mangoki Dak Khana Khas, Tehsil Noshehran Virkan Distt. Gujranwala</t>
  </si>
  <si>
    <t>0302-7527767</t>
  </si>
  <si>
    <t>Ashfaq Hussain</t>
  </si>
  <si>
    <t>Muhalla Tanki wala, Dak Khana Khas, Talondi Musa Khan, Tehsil &amp; Distt, Gujranwala</t>
  </si>
  <si>
    <t>0343-6070054</t>
  </si>
  <si>
    <t xml:space="preserve">Babar Sohail </t>
  </si>
  <si>
    <t>Madina Bazar Ghoure dor Street no 1, Abdullah Colony, Gujranwala</t>
  </si>
  <si>
    <t>0347-6008509</t>
  </si>
  <si>
    <t xml:space="preserve">Muhammad Adnan  </t>
  </si>
  <si>
    <t>Muhammad Yamin Ali</t>
  </si>
  <si>
    <t>House No. 1145/6-M, Out Side Dehli Gate, Mohalla Peer Gohar, Multan</t>
  </si>
  <si>
    <t>0316-5889493</t>
  </si>
  <si>
    <t>Madina Colony Madherian wala Road Hafizabad</t>
  </si>
  <si>
    <t>0348-9051824</t>
  </si>
  <si>
    <t xml:space="preserve">Muhammad Amjad </t>
  </si>
  <si>
    <t>Gali Buttan Wali Masjid Noor Madina, Muhalla Syed Pak Dhallay, Gujranwala</t>
  </si>
  <si>
    <t>0308-8329412</t>
  </si>
  <si>
    <t>Street no. 4, Muhalla Alaabad, Sargodha Road, Jhang Saddar</t>
  </si>
  <si>
    <t>0310-04159053</t>
  </si>
  <si>
    <t>Muhammad Asif(Latif)</t>
  </si>
  <si>
    <t>Zahid Colony Kashmir Road, Gujranwala</t>
  </si>
  <si>
    <t>0301-6672443</t>
  </si>
  <si>
    <t>Muhammad Asif(Suelman)</t>
  </si>
  <si>
    <t>Mohallah Barkat Park ,Taj Pura,Mughalpora,Cant Lahore</t>
  </si>
  <si>
    <t>0344-1603311</t>
  </si>
  <si>
    <t>Rukan Deen</t>
  </si>
  <si>
    <t>Dak Khan Khas, Mari Bhandran, Tehsil Nowshera Virkan, Distt. Gujranwala</t>
  </si>
  <si>
    <t>0300-4877082</t>
  </si>
  <si>
    <t>Rahat Ali</t>
  </si>
  <si>
    <t>Zafar Hussain</t>
  </si>
  <si>
    <t>Bashir Colony, PO Khas , Kikraan Wali , Dist Gujranwala</t>
  </si>
  <si>
    <t>0303-6650843</t>
  </si>
  <si>
    <t>Sabir Hussain</t>
  </si>
  <si>
    <t>Munawar Hussain</t>
  </si>
  <si>
    <t>Dak Khana, Botala, Jhanda Singh, Their Kalan, Tehsil Boshera warkan, District Gujranwala</t>
  </si>
  <si>
    <t>0300-7436479
0345-7661512</t>
  </si>
  <si>
    <t>Zarina Bibi</t>
  </si>
  <si>
    <t>Husband/Muhammad Shakeel</t>
  </si>
  <si>
    <t>Ghor Doar Road, Street No. 4, Mohalla Abdullah Colony, Gujranwala</t>
  </si>
  <si>
    <t xml:space="preserve">Dawood  </t>
  </si>
  <si>
    <t>Irfan Masih</t>
  </si>
  <si>
    <t>Badshahi Road, Mohalla Christian Colony, Gujrat</t>
  </si>
  <si>
    <t>0327-6316685</t>
  </si>
  <si>
    <t>Qadeer Haider Shah</t>
  </si>
  <si>
    <t>Syed Zameer Hussain Shah</t>
  </si>
  <si>
    <t>PO Khas, Mueenuddinpur, District Gujrat</t>
  </si>
  <si>
    <t>0320-2930800</t>
  </si>
  <si>
    <t>Rafaqat Masih</t>
  </si>
  <si>
    <t>Jalal Masih</t>
  </si>
  <si>
    <t>House NO. 167/12, Mohalla Sattar pura, Tehsul Khariyan , Distt. Gujrat</t>
  </si>
  <si>
    <t>0341-1264558</t>
  </si>
  <si>
    <t>Rishe Abbas</t>
  </si>
  <si>
    <t>Abbas Masih</t>
  </si>
  <si>
    <t>Street No. 20, Mohalla Hussain Colony, Gujrat</t>
  </si>
  <si>
    <t>0343-4106393</t>
  </si>
  <si>
    <t>Shahbaz Masih</t>
  </si>
  <si>
    <t>Sadiq Masih</t>
  </si>
  <si>
    <t>Hussain Colony, Kalu Pura, Gujrat</t>
  </si>
  <si>
    <t>0325-8071975</t>
  </si>
  <si>
    <t>Ali Abbas</t>
  </si>
  <si>
    <t>Dak Khana Mian Channu, Chak No. 44/15L Tehsil Mian Channu District Khanewal</t>
  </si>
  <si>
    <t>0306-4149832</t>
  </si>
  <si>
    <t>Thilli Malhian, Dak Khana Baddomalhi, Tehsil &amp; District Narowal</t>
  </si>
  <si>
    <t>0315-0776928</t>
  </si>
  <si>
    <t>Shah Jahanio Dak Khana, Tanda, Tehsil &amp;n Distt. Gujrat</t>
  </si>
  <si>
    <t>0301-6471424</t>
  </si>
  <si>
    <t>Muhammad Haroon Sarwar</t>
  </si>
  <si>
    <t>Muhammad sarwar</t>
  </si>
  <si>
    <t>Ooncha Jajja Post Office, Qilla Collar Wala, Pasrora, Dist Sialkot</t>
  </si>
  <si>
    <t>0304-4139619</t>
  </si>
  <si>
    <t>Present : House No. 19 Street No. 19 Mohalla GOR 2 Mozang Chungi Lahore
Permanent : Dak Khana Chak Ganda Singh, Tehsil Dipalpur, District Okara</t>
  </si>
  <si>
    <t>0340-4539431</t>
  </si>
  <si>
    <t>Muhammad Sharjeel</t>
  </si>
  <si>
    <t>Muhammad Shakeel Awan</t>
  </si>
  <si>
    <t>Present: General Ensari Road, House No. E-192 Gulshan Ali Colony, Lahore
Dedal Nikka, Dak Khana Dalwla, Abbottabad</t>
  </si>
  <si>
    <t>0302-1431138</t>
  </si>
  <si>
    <t>Rafiq Masih</t>
  </si>
  <si>
    <t>Hidaiyat Colony Chak Chatta, Dak khana Khas, Tehsil &amp; Distt. Hafizabad</t>
  </si>
  <si>
    <t>0300-3926597</t>
  </si>
  <si>
    <t>Faisal Abbas</t>
  </si>
  <si>
    <t>Jhariyan Wala Dak Khana Khas, Tehsil &amp; Distt. Hafizabad</t>
  </si>
  <si>
    <t>0341-9323605</t>
  </si>
  <si>
    <t>Qaiser-ul-fanoos</t>
  </si>
  <si>
    <t>Al Fanoos Masih</t>
  </si>
  <si>
    <t>West Chistian Colony Hafizabad</t>
  </si>
  <si>
    <t>0305-9889924</t>
  </si>
  <si>
    <t>Saqib Masih</t>
  </si>
  <si>
    <t>Gulzar Masih</t>
  </si>
  <si>
    <t>Hadayat Colony Street No. 1 Dak Khana Khas, Chak Chatha, Tehsil &amp; District Hafizabad</t>
  </si>
  <si>
    <t>0345-1582609</t>
  </si>
  <si>
    <t>Shafqat Hussain</t>
  </si>
  <si>
    <t xml:space="preserve">Ghulam Hussain  </t>
  </si>
  <si>
    <t>Present: Sargodha Road, Mohalla Ameenabad, Gujrat
Permanent : Dak Khana Khas Tehsil &amp; District Hafizabad</t>
  </si>
  <si>
    <t>0302-0009510</t>
  </si>
  <si>
    <t xml:space="preserve">Iftikhar Ahmad </t>
  </si>
  <si>
    <t>Muhammad Hayat</t>
  </si>
  <si>
    <t>Mangat oncha, Dak Khana Khas, Tehsil &amp; Distt. Hafizabad</t>
  </si>
  <si>
    <t>0348-1826606</t>
  </si>
  <si>
    <t>Sheikhanwala, Chak Mubarik Dak Khana Khas, Tehsil Bhera District Sargodha</t>
  </si>
  <si>
    <t>0318-7658553</t>
  </si>
  <si>
    <t>Dr. Maqbool wali, Kolo Trar, Tehsil &amp; Distt. Hafiz</t>
  </si>
  <si>
    <t>0322-6519674</t>
  </si>
  <si>
    <t>Zaheer Abbas</t>
  </si>
  <si>
    <t>Sardar Muhammad</t>
  </si>
  <si>
    <t>Kolo Tarar, Dak Khana Khas, Tehsil &amp; Distt. Hafizabad</t>
  </si>
  <si>
    <t>0343-0413796</t>
  </si>
  <si>
    <t>Zaheer Ahmad</t>
  </si>
  <si>
    <t>0346-9226018</t>
  </si>
  <si>
    <t>Zaka Ullah</t>
  </si>
  <si>
    <t>0346-6355578</t>
  </si>
  <si>
    <t>Ghafoor Hussain</t>
  </si>
  <si>
    <t>Bambi Chak, Zaheera Kashkori, Distric Okara</t>
  </si>
  <si>
    <t>0332-6516177</t>
  </si>
  <si>
    <t>Amir Masih</t>
  </si>
  <si>
    <t>P.O Bata Pur, Itwake Aawan, Tehsil Lahore Cantt, District Lahore</t>
  </si>
  <si>
    <t>0305-4722177</t>
  </si>
  <si>
    <t>FGA Church, Attukay Awan, BataPur, Lahore</t>
  </si>
  <si>
    <t>0320-6897883</t>
  </si>
  <si>
    <t>Muhammad Safdar</t>
  </si>
  <si>
    <t>Muhammad Asghar</t>
  </si>
  <si>
    <t>Mohalla Dogage Town, Zarar Shaheed Road, Harbanspura, Lahore Cantt, Doistrict Lahore</t>
  </si>
  <si>
    <t>0320-4148645</t>
  </si>
  <si>
    <t>Saloom Masih</t>
  </si>
  <si>
    <t xml:space="preserve">Ilyas Masih </t>
  </si>
  <si>
    <t xml:space="preserve">FGA Church Attoky Awan Cant Lahore </t>
  </si>
  <si>
    <t>0320-4354107</t>
  </si>
  <si>
    <t>Sohail Haroon</t>
  </si>
  <si>
    <t>Basheer patras</t>
  </si>
  <si>
    <t>Shah Shaheed Attukay Awan, Bata Pur, Lahore</t>
  </si>
  <si>
    <t>0323-4094037</t>
  </si>
  <si>
    <t>Sumaira Rukkas</t>
  </si>
  <si>
    <t xml:space="preserve">w/o  Rukhas Gill </t>
  </si>
  <si>
    <t>Harbanspura Labour Camp 1, Masiha Abad Lahore</t>
  </si>
  <si>
    <t>0305-4721837</t>
  </si>
  <si>
    <t>Bashir</t>
  </si>
  <si>
    <t>Shah Zaman</t>
  </si>
  <si>
    <t>Flat No. E-374, Street No. 14, Mohalla Mian Meer Colony, Lahore Cantt</t>
  </si>
  <si>
    <t>0311-6656677</t>
  </si>
  <si>
    <t>Muhammad Huzaifa</t>
  </si>
  <si>
    <t>House No. 12, Street No. 50, Mohalla Hussain Pura, Ghazi Abad Lahore</t>
  </si>
  <si>
    <t>0329-8479539</t>
  </si>
  <si>
    <t>Muhammad Sulman</t>
  </si>
  <si>
    <t>Barkat Park, Tjpura Road, Mughalpura Lahore</t>
  </si>
  <si>
    <t>0344-1603310</t>
  </si>
  <si>
    <t>yousaf ali</t>
  </si>
  <si>
    <t>Mohallah Dogaich, Harbanspura,Lahore</t>
  </si>
  <si>
    <t>0323-4921936</t>
  </si>
  <si>
    <t>Muhammad Rizwan Butt</t>
  </si>
  <si>
    <t>Muhammad Yousaf Butt</t>
  </si>
  <si>
    <t>Ward # 2 Dogray Kalan Jallo Mor P.O Bata Pur Lahore Cantt</t>
  </si>
  <si>
    <t>0303-0602874</t>
  </si>
  <si>
    <t>Sumaira Urf Nasira Poerveen</t>
  </si>
  <si>
    <t>Muhammad Ibrahim Sajid</t>
  </si>
  <si>
    <t>Present :Khokhar H # Street Qari Aslam Wali,Saddar Thana Road,Mohalla Shahid Nagar,Pakpattan
permanent : P.O Kulyana Warseen,Tehsil o District,Pakpattan</t>
  </si>
  <si>
    <t>0301-4012033</t>
  </si>
  <si>
    <t xml:space="preserve">Ali Sher </t>
  </si>
  <si>
    <t>Adil</t>
  </si>
  <si>
    <t>Chak lakhana Wala dak Khana Pakpattan Jora Tehsil &amp; Dictrict Pakputtan</t>
  </si>
  <si>
    <t>0301-6089349</t>
  </si>
  <si>
    <t>Shady wal,p/o majah, township, lahore</t>
  </si>
  <si>
    <t>0322-4703370</t>
  </si>
  <si>
    <t>Muhammad Irfan Abbas</t>
  </si>
  <si>
    <t xml:space="preserve">Saleh Muhammad </t>
  </si>
  <si>
    <t>Dak Khana Panjgrain, Tehhsil &amp; District Jhang</t>
  </si>
  <si>
    <t>0348-4991440</t>
  </si>
  <si>
    <t>House no. 42, Muhalla Feroze Park, Bageriyan Road Lahore.</t>
  </si>
  <si>
    <t>0300-2109973</t>
  </si>
  <si>
    <t xml:space="preserve">Muhammad Khurram </t>
  </si>
  <si>
    <t>Muhalla Jogen Pura,New Campus Lahore</t>
  </si>
  <si>
    <t>0320-4501511</t>
  </si>
  <si>
    <t xml:space="preserve">Muhammad Ilyas </t>
  </si>
  <si>
    <t xml:space="preserve">House No G-1147 Muhallah Kocha Haji Peer Androon Yaki Gate Lahore </t>
  </si>
  <si>
    <t>0321-4374415</t>
  </si>
  <si>
    <t>House No. 36/D, Street No. 141-E, Mohalla Firdous Park, Kot Lakhpat, Lahore</t>
  </si>
  <si>
    <t>0322-8418267</t>
  </si>
  <si>
    <t>Zahid Ali</t>
  </si>
  <si>
    <t>Samsani Khoi, johar town. Lahore</t>
  </si>
  <si>
    <t>0321-4993591</t>
  </si>
  <si>
    <t>Aslam Masih</t>
  </si>
  <si>
    <t>Siraj Masih</t>
  </si>
  <si>
    <t xml:space="preserve">Maan Dak Khana Kasur, </t>
  </si>
  <si>
    <t>0320-4745515</t>
  </si>
  <si>
    <t>Farooq Masih</t>
  </si>
  <si>
    <t>ANYAT MASIH</t>
  </si>
  <si>
    <t>MUHAL ALI RAZA BAD RAIWIND ROAD LAHORE</t>
  </si>
  <si>
    <t>0306-4597616</t>
  </si>
  <si>
    <t>Meeraj BiBi</t>
  </si>
  <si>
    <t>W/O Muhammad Hanif</t>
  </si>
  <si>
    <t>Mohallah Hameedpura Depalpur, District Okara</t>
  </si>
  <si>
    <t>0348-0455789</t>
  </si>
  <si>
    <t>Nadeem Masih</t>
  </si>
  <si>
    <t>Younas Masih</t>
  </si>
  <si>
    <t>Mohalla Asif Town No. 2, Ferozepur Road Lahore</t>
  </si>
  <si>
    <t>0319-5486931</t>
  </si>
  <si>
    <t xml:space="preserve">Nazim </t>
  </si>
  <si>
    <t>House#218 Block 5 Sector D-1  Green Town Lahore</t>
  </si>
  <si>
    <t>0332-8388580</t>
  </si>
  <si>
    <t>Qaiser Masih</t>
  </si>
  <si>
    <t>Mohalla Nagra Town, Bagria Green Town Lahore</t>
  </si>
  <si>
    <t>0322-4935917</t>
  </si>
  <si>
    <t>Shamoon</t>
  </si>
  <si>
    <t>Yousaf</t>
  </si>
  <si>
    <t>House No. 285, Mohalla Packages Factory Chungi Amar Sadhu Lahore</t>
  </si>
  <si>
    <t>0320-6232844</t>
  </si>
  <si>
    <t>Ayaz Ali</t>
  </si>
  <si>
    <t>Jat Street, House No. 02, Muhalla Kot Muhammady, Multan Road LHR</t>
  </si>
  <si>
    <t>0324-4494236</t>
  </si>
  <si>
    <t>Hafiz Ghazanfar Shahzad</t>
  </si>
  <si>
    <t>NOOR MUHAMMED</t>
  </si>
  <si>
    <t xml:space="preserve">MUHALLA M BLOCK SAMSANI KHOI JOHAR TOWN LAHORE </t>
  </si>
  <si>
    <t>0308-9059712</t>
  </si>
  <si>
    <t>Babar Iqbal</t>
  </si>
  <si>
    <t>Panjgrain, Dak Khana Khas Chung, Raiwind Lahore</t>
  </si>
  <si>
    <t>0307-0462271</t>
  </si>
  <si>
    <t>Malik Ashir Jahangir</t>
  </si>
  <si>
    <t>Malik Jahangir Ahmad</t>
  </si>
  <si>
    <t>House No. 1, Street No. 1-B, Mohalla Karam Din Park, Said Pur Multan Road Lahore
Permanent : House # 912, Street No 27, Sector I 10-4, Islamabad</t>
  </si>
  <si>
    <t>0306-4675194</t>
  </si>
  <si>
    <t>Muhammad Ahsraf</t>
  </si>
  <si>
    <t>Muhammad Siddiqui</t>
  </si>
  <si>
    <t>Mohalla Jalyana, Post Office Chung, Lahore</t>
  </si>
  <si>
    <t>0307-4783129</t>
  </si>
  <si>
    <t>Muhammad Imran</t>
  </si>
  <si>
    <t xml:space="preserve">Abdul Rehman </t>
  </si>
  <si>
    <t xml:space="preserve">Muhallah Dogaish Ghazi Road Lahore Tehsil Lahore Cant </t>
  </si>
  <si>
    <t>0323-4632924</t>
  </si>
  <si>
    <t>Nazir Ahmad</t>
  </si>
  <si>
    <t>House # 33 Muhallah 2 Sector C-2 Township, Lahore</t>
  </si>
  <si>
    <t>House no. 49, street no 4, Sharifpura Lakho DhairBhanee Road, Lahore</t>
  </si>
  <si>
    <t>0324-4261158</t>
  </si>
  <si>
    <t>Shah Muhammad</t>
  </si>
  <si>
    <t>House No. 8-Q, Mohalla Wafaqi Colony, Johar Town Lahore</t>
  </si>
  <si>
    <t>0301-4775945</t>
  </si>
  <si>
    <t xml:space="preserve">Barkat Ali </t>
  </si>
  <si>
    <t>Abu Al Khair Dak Khana, Kot Abdul Malik Ferozewala, Sheikhupura</t>
  </si>
  <si>
    <t>0323-4076285</t>
  </si>
  <si>
    <t>Saif ul Malook</t>
  </si>
  <si>
    <t>Dak Khana Mandi Ahmadabad, Lakho MalkanaTehsil Depalpur, Distt. Okara</t>
  </si>
  <si>
    <t>0308-8278864</t>
  </si>
  <si>
    <t>abdul rehman</t>
  </si>
  <si>
    <t>house no,18, street no 7 ghazi road dogaich town lahore</t>
  </si>
  <si>
    <t>0321-5729301</t>
  </si>
  <si>
    <t>Wajahat Hussain</t>
  </si>
  <si>
    <t>Kalb Ali</t>
  </si>
  <si>
    <t>Post Office, Chillat Paen, Tehsil Sikandarabad Nagar, District Nagar, Gilgit Baltistan</t>
  </si>
  <si>
    <t>0312-4278432</t>
  </si>
  <si>
    <t>Muhammad Alamgir</t>
  </si>
  <si>
    <t>Present : Near Rest House,Mohalla Saadat ,Jampur
Permanent : P.O Yakh Baghwala,Patni, Tehsil Jampur, District Rajanpur</t>
  </si>
  <si>
    <t>0337-7256191</t>
  </si>
  <si>
    <t>Naeem Abbas</t>
  </si>
  <si>
    <t>Mohalla Ali pur Jampur Ditt, Rajanpur</t>
  </si>
  <si>
    <t>0331-7324280</t>
  </si>
  <si>
    <t>Siraj Ahmad</t>
  </si>
  <si>
    <t>Post Office Dajil,Basti Hanbhi, Tehsil Jampur, District Rajanpur</t>
  </si>
  <si>
    <t>0333-0712545</t>
  </si>
  <si>
    <t>Azhar Hussain</t>
  </si>
  <si>
    <t>Ghulam Shabbir Khan</t>
  </si>
  <si>
    <t>Shah Jamal Colony, Sheru Road Dak Khana Jampur, Basti Guddan, Tehsil Jampur, District Rajanpur</t>
  </si>
  <si>
    <t>0335-1769098</t>
  </si>
  <si>
    <t>Fazal Hussain</t>
  </si>
  <si>
    <t>Circuler Road Jampur Tehsil Jampur Distt, Rajanpur</t>
  </si>
  <si>
    <t>0336-6432908</t>
  </si>
  <si>
    <t>Jammal Khan</t>
  </si>
  <si>
    <t>Mehar Khan</t>
  </si>
  <si>
    <t>Basti Barmani, Dak Khana Jampur Sahowala, Tehsil Jampur Distt. Rajanpur</t>
  </si>
  <si>
    <t>0323-6366663</t>
  </si>
  <si>
    <t>Muhammad Nazar</t>
  </si>
  <si>
    <t>Gang Bakhsh Shah Jampur Tehsil Jampur Distt, Rajanpur</t>
  </si>
  <si>
    <t>0331-7357561</t>
  </si>
  <si>
    <t>Ameer Bux</t>
  </si>
  <si>
    <t>Ward no. 14, House no.2479/130, Muhalla Noor Shah Jaampur</t>
  </si>
  <si>
    <t>0333-9097271</t>
  </si>
  <si>
    <t>Dak Khana Khas, Sahowala Tehsil Jampur, District Rajanpur</t>
  </si>
  <si>
    <t>0335-8781653</t>
  </si>
  <si>
    <t>Nadeem Iqbal</t>
  </si>
  <si>
    <t>Hout Khan</t>
  </si>
  <si>
    <t>Chao Dhol wala, Basti Randan, Post office Jampur</t>
  </si>
  <si>
    <t>0344-2535614</t>
  </si>
  <si>
    <t>Sadaqat Ali</t>
  </si>
  <si>
    <t>Elahi Buksh</t>
  </si>
  <si>
    <t xml:space="preserve">Chah Jasoo wala Nawan Begraj p/o Tehsil Jampur Distt, Rajanpur </t>
  </si>
  <si>
    <t>0337-7318074</t>
  </si>
  <si>
    <t>Tariq Mustafa</t>
  </si>
  <si>
    <t>Chatool p/o Tibbi Solgee The, Jampur Distt, Rajanpur</t>
  </si>
  <si>
    <t>0334-7211505</t>
  </si>
  <si>
    <t>Allah Wasaya</t>
  </si>
  <si>
    <t>Master(Urdu)</t>
  </si>
  <si>
    <t>Chah Gagan Wala Mouza Kot janoo Tehsil Jampur Distt, Rajanpur</t>
  </si>
  <si>
    <t>0333-0729536</t>
  </si>
  <si>
    <t>Zeeshan Haider</t>
  </si>
  <si>
    <t>Shahid Saleem</t>
  </si>
  <si>
    <t>ward no.14, muhalla Awami Colony, Jampur, Distt. Jampur</t>
  </si>
  <si>
    <t>0335-6606996</t>
  </si>
  <si>
    <t>Rehmat Ullah</t>
  </si>
  <si>
    <t>Chaudhry Abdul Hameed</t>
  </si>
  <si>
    <t>Ponch House Flate No # 01  Chaburji  Multan Road Lahore</t>
  </si>
  <si>
    <t>0301-4033742</t>
  </si>
  <si>
    <t>Haroon Masih</t>
  </si>
  <si>
    <t>TALAB COMMETTEE MOHALLA CHRISTN COLONY JHANG</t>
  </si>
  <si>
    <t>0315-8897571</t>
  </si>
  <si>
    <t>Nauman Tahir</t>
  </si>
  <si>
    <t>Tahir Masih</t>
  </si>
  <si>
    <t>Purana Chinot Road, Muhalla Esaiyan Wali, Jhang</t>
  </si>
  <si>
    <t>0346-3437011</t>
  </si>
  <si>
    <t>Rahul Faryad</t>
  </si>
  <si>
    <t>Faryad Masih</t>
  </si>
  <si>
    <t>Near Talab Committee, Basti Aisaiyonwali, Jhang</t>
  </si>
  <si>
    <t>0316-7907440</t>
  </si>
  <si>
    <t>Shawan</t>
  </si>
  <si>
    <t>Mushtaq Masih</t>
  </si>
  <si>
    <t>Purana Chiniot Road,Mohalla New Christian Colony, Jhang</t>
  </si>
  <si>
    <t>0312-8354540</t>
  </si>
  <si>
    <t>Vishal Illyas</t>
  </si>
  <si>
    <t>0316-7482040</t>
  </si>
  <si>
    <t>Murad Khan</t>
  </si>
  <si>
    <t>Chah Ahmed Wala Post Office Bagh Lakbadhar Jhang</t>
  </si>
  <si>
    <t>0343-7911185</t>
  </si>
  <si>
    <t>Basharat Aslam</t>
  </si>
  <si>
    <t>Sargodha Road, Street # 4 Mohalla Alabad, Jhang</t>
  </si>
  <si>
    <t>0311-6500646</t>
  </si>
  <si>
    <t>Bilal Nawaz</t>
  </si>
  <si>
    <t>Rab Nawaz</t>
  </si>
  <si>
    <t>BILAL STREET NEAR CHONGI 5 MOHALLA HASNANA JHANG</t>
  </si>
  <si>
    <t>0346-2172079</t>
  </si>
  <si>
    <t>Imtiaz Hussain</t>
  </si>
  <si>
    <t>PURANA CHINIOT ROAD MOHALLA BASTI DEWAN WALI JHANG</t>
  </si>
  <si>
    <t>0341-3435146</t>
  </si>
  <si>
    <t>Muhammad Pehlwan</t>
  </si>
  <si>
    <t>DAR UL SAKEENA ROAD NEAR PEER PATHAN SOLANG ISLAM NAGAR JHANG</t>
  </si>
  <si>
    <t>0344-7905503</t>
  </si>
  <si>
    <t>Mohammad sajjad</t>
  </si>
  <si>
    <t>Shams ul Haq</t>
  </si>
  <si>
    <t>Bloshahabil P.O Shabeer Abad,Tehsil o District Jhang</t>
  </si>
  <si>
    <t>0330-7187044</t>
  </si>
  <si>
    <t>Muhammad Abdullah</t>
  </si>
  <si>
    <t>Basti Bhagra, P.O 18 Hazari, Munday Siyad Tehsil 18 Hazari,District Jhang</t>
  </si>
  <si>
    <t>0343-0358200</t>
  </si>
  <si>
    <t>Muhammad Saddam Hussain</t>
  </si>
  <si>
    <t>Anwar Ali</t>
  </si>
  <si>
    <t>Mohalla Islamabad, Ward # 7, Chahtootan wala Jhang City</t>
  </si>
  <si>
    <t>0317-6863437</t>
  </si>
  <si>
    <t>Sargodha Road, Street no. 4, Muhalla Alaabad, Jhang</t>
  </si>
  <si>
    <t>0312-6339790</t>
  </si>
  <si>
    <t>Shahid Iqbal</t>
  </si>
  <si>
    <t>Allah Bachaya</t>
  </si>
  <si>
    <t>Dak Khana Khas, Tehsil Koat Chatta, District Dera Ghazi Khan,</t>
  </si>
  <si>
    <t>0332-6788698
0344-5222334</t>
  </si>
  <si>
    <t xml:space="preserve">Amjad Ali </t>
  </si>
  <si>
    <t>Chak No.295 RB Bahkpura Mohalla Ghaffabad Faisalabad</t>
  </si>
  <si>
    <t>0311-6607200</t>
  </si>
  <si>
    <t xml:space="preserve">Asghar Ali </t>
  </si>
  <si>
    <t>Akbar Ali</t>
  </si>
  <si>
    <t>Chak.No232/RB Chak.No.295/RB Ghaffabad Faisalabad.</t>
  </si>
  <si>
    <t>0344-1691133</t>
  </si>
  <si>
    <t>Awais Masih</t>
  </si>
  <si>
    <t>Irshad Masih</t>
  </si>
  <si>
    <t>House No.P.784 St.No.11 Mohalla Noorpura Faisalabad.</t>
  </si>
  <si>
    <t>0306-9511710</t>
  </si>
  <si>
    <t xml:space="preserve">Irfan Mehmood </t>
  </si>
  <si>
    <t>Chak.No.221/RB Mohalla Rasala No.15 Faisalabad.</t>
  </si>
  <si>
    <t>0302-6623145</t>
  </si>
  <si>
    <t xml:space="preserve">Adnan Masih </t>
  </si>
  <si>
    <t>Basti Esayan mkan no 178 B-Vii muhallah fareed ganj Sahiwal</t>
  </si>
  <si>
    <t>0306-2800477</t>
  </si>
  <si>
    <t>Muhammad Maqbool</t>
  </si>
  <si>
    <t>Dak Khana Machi Singh, Sohawamil , Tehsil Arif Wala, District Pakpattan</t>
  </si>
  <si>
    <t>0324-7734191</t>
  </si>
  <si>
    <t>Kala Masih</t>
  </si>
  <si>
    <t>Chak No.224 Wazir Khan St.No.1 Mohalla Ghosiabad Faisalabad</t>
  </si>
  <si>
    <t>0301-6676397</t>
  </si>
  <si>
    <t xml:space="preserve">Irfan Masih </t>
  </si>
  <si>
    <t>Khursheed Masih</t>
  </si>
  <si>
    <t>Chak No.219/RB. Kockein Wala St.No.3 Mohalla Bara Shair Singh Wala Fiasalabad.</t>
  </si>
  <si>
    <t>0304-5335202</t>
  </si>
  <si>
    <t xml:space="preserve">Kashif Masih </t>
  </si>
  <si>
    <t xml:space="preserve">St.No.2 Mohalla Ghosiabad Faisalabad. </t>
  </si>
  <si>
    <t>0312-3265396</t>
  </si>
  <si>
    <t xml:space="preserve">Kausar Bibi </t>
  </si>
  <si>
    <t>W/O Amanuel Masih</t>
  </si>
  <si>
    <t>Main Bazar Near Nasrat Colony Mohalla Latif Park Faisalabad</t>
  </si>
  <si>
    <t>0310-7481959</t>
  </si>
  <si>
    <t xml:space="preserve">Muhammad Nadeem </t>
  </si>
  <si>
    <t xml:space="preserve"> Shamas Din</t>
  </si>
  <si>
    <t>House No.A-229,Mohalla Gulbarg Faisalabad.</t>
  </si>
  <si>
    <t>0304-6611331</t>
  </si>
  <si>
    <t xml:space="preserve">Rukhsana Bibi </t>
  </si>
  <si>
    <t>W/O Aslam Masih</t>
  </si>
  <si>
    <t>Chak No.361/JB Tehsil Gojara District Toba Tek Singh</t>
  </si>
  <si>
    <t>0324-7408633</t>
  </si>
  <si>
    <t>Dak Khana Khas, Sohawamil, Tehsil Arif Wala, District Pakpattan</t>
  </si>
  <si>
    <t>0346-0426621</t>
  </si>
  <si>
    <t>Akash Javed</t>
  </si>
  <si>
    <t>House No.186 St.No.9 Mohalla Nazimabad Block No.B Faisalabad</t>
  </si>
  <si>
    <t>0313-7005366</t>
  </si>
  <si>
    <t>Ikram Ullah</t>
  </si>
  <si>
    <t>Gondal Mobiles, Main Market, Chatta Bakhtawar, Park Road Islamabad Chawk, Chak no. 34 NB, Tehsil &amp; District Sargodha.</t>
  </si>
  <si>
    <t>0332-4708364</t>
  </si>
  <si>
    <t xml:space="preserve">Jamshed Ali </t>
  </si>
  <si>
    <t>Chak No.75/JB Sohal Faisalabad</t>
  </si>
  <si>
    <t>0306-7096375</t>
  </si>
  <si>
    <t xml:space="preserve">Muhammad Asif </t>
  </si>
  <si>
    <t>Malik Muhammad Hanif</t>
  </si>
  <si>
    <t>Chak No11/1L District Okara</t>
  </si>
  <si>
    <t>0345-7533422</t>
  </si>
  <si>
    <t>Muhammad Atta UR Rehman</t>
  </si>
  <si>
    <t>Hussain Ahmad</t>
  </si>
  <si>
    <t>Hafiz Cirtificate</t>
  </si>
  <si>
    <t>Street # 4, Mohalla Shadab Colony, Kothi Chowk, Jhang Road, Faisalabad</t>
  </si>
  <si>
    <t>0300-4528672</t>
  </si>
  <si>
    <t>Muhammad Farooq s/o M. Ishaaq</t>
  </si>
  <si>
    <t>House# P.902 St.5Mohalla Islamia Park Faisalabad</t>
  </si>
  <si>
    <t>0300-7980611</t>
  </si>
  <si>
    <t xml:space="preserve">Muhammad Imran </t>
  </si>
  <si>
    <t>Chak No.332/JB Dhoni Dave Tehsil Gojara Dist.Toba Tek Singh</t>
  </si>
  <si>
    <t>0302-7001719</t>
  </si>
  <si>
    <t>0328-7492308</t>
  </si>
  <si>
    <t>Zulfiqar</t>
  </si>
  <si>
    <t>Gali Malik Riaz Wali, Bagh, Dak Khana Khas, Tehsil &amp; Distt. Jhang</t>
  </si>
  <si>
    <t>0342-3533359</t>
  </si>
  <si>
    <t>Qaiser Abbas</t>
  </si>
  <si>
    <t>Post Office Bagh Koriyan, Tehsil &amp; Distt Jhang</t>
  </si>
  <si>
    <t>0302-4995785</t>
  </si>
  <si>
    <t>Nawab Din</t>
  </si>
  <si>
    <t>St.No.7 Mohallad Shaikhawala Faisalabad</t>
  </si>
  <si>
    <t>0323-6026289</t>
  </si>
  <si>
    <t>Fayaz Masih</t>
  </si>
  <si>
    <t>Diyal Masih</t>
  </si>
  <si>
    <t>House # 655, Moh ,Bilal Town ,Raiwind ,Lahore</t>
  </si>
  <si>
    <t>0323-8854463</t>
  </si>
  <si>
    <t>Feryad Masih</t>
  </si>
  <si>
    <t>Dial Masih</t>
  </si>
  <si>
    <t>H#573, St#04, Basti saddin shah, upper mall, Lahore</t>
  </si>
  <si>
    <t>0322-8404790</t>
  </si>
  <si>
    <t>Flat # 285, Mohala Packages Factory Chungi Amarsadhu, Lahore Cantt</t>
  </si>
  <si>
    <t>0308-5667901</t>
  </si>
  <si>
    <t>Ishfaq Masih</t>
  </si>
  <si>
    <t>Iqbal Masih</t>
  </si>
  <si>
    <t>Mohalla SamsaniKhoi Johar Town Lahore</t>
  </si>
  <si>
    <t>0306-4850375</t>
  </si>
  <si>
    <t>P.O Khas, Dhala Wahga, Tehsil Mureedky, District Sheikhupura</t>
  </si>
  <si>
    <t>0307-4371391</t>
  </si>
  <si>
    <t xml:space="preserve">Shahzad </t>
  </si>
  <si>
    <t xml:space="preserve">Asif Mashi Boota </t>
  </si>
  <si>
    <t>H#26, St#03, Allah Khair colony, Shira kott, lahore.</t>
  </si>
  <si>
    <t>0301-4113421</t>
  </si>
  <si>
    <t>Muhammad Boota</t>
  </si>
  <si>
    <t>sandha khanuwan p.o mandi Usman wala Kasur</t>
  </si>
  <si>
    <t>0304-8458312</t>
  </si>
  <si>
    <t>Ajmal Shafi</t>
  </si>
  <si>
    <t>Muhammad Shafi</t>
  </si>
  <si>
    <t>0309-2111166</t>
  </si>
  <si>
    <t>ABDUL AZIZ</t>
  </si>
  <si>
    <t>HOUSE #376 MUHALLA BLOCK 5 SECTOR C 2 GREEN TOWN LAHORE</t>
  </si>
  <si>
    <t>0304-4001752</t>
  </si>
  <si>
    <t xml:space="preserve">Muhammad Mustaq </t>
  </si>
  <si>
    <t>samsani Khoe Johar Town Lahore</t>
  </si>
  <si>
    <t>0300-4929408</t>
  </si>
  <si>
    <t>Mujahid Ali</t>
  </si>
  <si>
    <t>House No. 622, Street No. 3, Mohalla Anwar Shaheed Colony, Renala Khurd, District Okara</t>
  </si>
  <si>
    <t>0325-1296728</t>
  </si>
  <si>
    <t>Faqar Ali</t>
  </si>
  <si>
    <t>Panjgrain, Dak Khana Khas Chung, Lahore</t>
  </si>
  <si>
    <t>0322-5707613</t>
  </si>
  <si>
    <t xml:space="preserve">Salman  </t>
  </si>
  <si>
    <t>Muhammad Yaqoob Khan</t>
  </si>
  <si>
    <t>House No. 6, Block 121, Mohalla Wafaqi Colony, New Campus Lahore</t>
  </si>
  <si>
    <t>0321-8488401</t>
  </si>
  <si>
    <t xml:space="preserve">Sarfraz </t>
  </si>
  <si>
    <t>Muhammad Neyaz</t>
  </si>
  <si>
    <t>Ward No. 4, Mohalla Ahlu Wali Kahna Nu, Lahore</t>
  </si>
  <si>
    <t>0303-5279613</t>
  </si>
  <si>
    <t>Zafaar Ali</t>
  </si>
  <si>
    <t>0323-4917584</t>
  </si>
  <si>
    <t>Usman Ahmad</t>
  </si>
  <si>
    <t>Rahmat Ali</t>
  </si>
  <si>
    <t>0300-4695576</t>
  </si>
  <si>
    <t xml:space="preserve">Muhammad Saleem </t>
  </si>
  <si>
    <t xml:space="preserve">Rehamt Ali </t>
  </si>
  <si>
    <t>New Abadi Muhallah Rasool Pura Kasur</t>
  </si>
  <si>
    <t>0307-6805593</t>
  </si>
  <si>
    <t>Boota Masih</t>
  </si>
  <si>
    <t>Choori wala Rasool Nagar P/O Bazeed Pura Kasur</t>
  </si>
  <si>
    <t>0307-5692956</t>
  </si>
  <si>
    <t>Maria Lal</t>
  </si>
  <si>
    <t>Husband Baaz Masih</t>
  </si>
  <si>
    <t>Mohalla Lateef Pura Kasur</t>
  </si>
  <si>
    <t>0300-7575734</t>
  </si>
  <si>
    <t xml:space="preserve">Sadiq </t>
  </si>
  <si>
    <t>P/O Khas Roshan Bhela Kasur</t>
  </si>
  <si>
    <t>0306-6547358</t>
  </si>
  <si>
    <t xml:space="preserve">Shahzad Masih </t>
  </si>
  <si>
    <t>Parvez Masih</t>
  </si>
  <si>
    <t>Basti Latif Pura Muhallah Kot Ali Ghar Kasur</t>
  </si>
  <si>
    <t>0322-6601004</t>
  </si>
  <si>
    <t>Shanon Masih</t>
  </si>
  <si>
    <t>P.O Khas, Roshan Bhela, Tehsil o District Kasur</t>
  </si>
  <si>
    <t>0305-4479045</t>
  </si>
  <si>
    <t>Habib Ullah</t>
  </si>
  <si>
    <t>Dak khana Khudiyan Khas, Baitu, Tehsil &amp; District Kasur</t>
  </si>
  <si>
    <t>0305-4043124</t>
  </si>
  <si>
    <t>Dak Khana Khas, Chak No. 31 Nanjeero Niaz Baug, Tehsil Pattoki, District Kasur</t>
  </si>
  <si>
    <t>0343-4999228</t>
  </si>
  <si>
    <t>Sanda Khana Wala, Tehsil &amp; Distt. Kasur</t>
  </si>
  <si>
    <t>0303-4752587</t>
  </si>
  <si>
    <t>Basharat Ashiq</t>
  </si>
  <si>
    <t>Near Darbar Baba Mitho Shah, Mustafabad , Tehsil &amp; Distt. Kasur</t>
  </si>
  <si>
    <t>0307-4596218</t>
  </si>
  <si>
    <t>Farman Ali</t>
  </si>
  <si>
    <t>Muhammad Rasheed Khan</t>
  </si>
  <si>
    <t>Roe wal P/O Pedian Kalan Tehsil &amp; Distt Kasur</t>
  </si>
  <si>
    <t>0302-7492209</t>
  </si>
  <si>
    <t>Burjkalan, Gandah sing, District kasur</t>
  </si>
  <si>
    <t>0302-9127525</t>
  </si>
  <si>
    <t>Kosar Bibi</t>
  </si>
  <si>
    <t>Husband (Munir)</t>
  </si>
  <si>
    <t>H # 18, Street # 2, Mohalla Ali Garh Kasur</t>
  </si>
  <si>
    <t>Malaika</t>
  </si>
  <si>
    <t>Husband (Muhammad Arshad)</t>
  </si>
  <si>
    <t>H # 12 S-9, Mohalla Berun Koat Azam Khan, Kasur</t>
  </si>
  <si>
    <t>Muhammad Yaar</t>
  </si>
  <si>
    <t>Muhallah Khursheed Town Near New Lari Adda Khudian Distt Kasur</t>
  </si>
  <si>
    <t>0300-4263681</t>
  </si>
  <si>
    <t>Hassan Ali</t>
  </si>
  <si>
    <t>Present : House No. 1194, Street No. 1, Sector I 10/3 Islamabad
Dak Khana Khas, Chak No. 69 WB Tehsil Melsi, District Vehari</t>
  </si>
  <si>
    <t>0300-3993869</t>
  </si>
  <si>
    <t xml:space="preserve">Muhammad Haris Zaheer </t>
  </si>
  <si>
    <t>Muhammad Zaheer Sarwar Chaudary</t>
  </si>
  <si>
    <t>Rara Gujranwala, Muhallah Beron Kot Usman Khan Kasur</t>
  </si>
  <si>
    <t>0303-4288385</t>
  </si>
  <si>
    <t>Jain Khan</t>
  </si>
  <si>
    <t>Dak Khana Raja Jang Joneeki, Tehsil Koat Radha Kishan, District</t>
  </si>
  <si>
    <t>0300-1738686</t>
  </si>
  <si>
    <t>Muhammad Naeem</t>
  </si>
  <si>
    <t>Sethiyan Wali, Mohalla Androon Lahori Gate, Kasur</t>
  </si>
  <si>
    <t>0321-4813098</t>
  </si>
  <si>
    <t>Muhammad Niamat</t>
  </si>
  <si>
    <t>Jamal Deen</t>
  </si>
  <si>
    <t>Basti Ladheky P/O Bhedian Kalan Tehsil &amp; Distt Kasur</t>
  </si>
  <si>
    <t>0300-4627606</t>
  </si>
  <si>
    <t>Muhammad Sattar</t>
  </si>
  <si>
    <t>Beeto Dak Khana Khadiyan Khas, Tehsil &amp; District Kasur</t>
  </si>
  <si>
    <t>0325-1632032</t>
  </si>
  <si>
    <t>Munir Hussain</t>
  </si>
  <si>
    <t xml:space="preserve">Mukhtar Ahmad </t>
  </si>
  <si>
    <t>Jabomail P/O Kasur, Distt Kasur.</t>
  </si>
  <si>
    <t>0306-4223531</t>
  </si>
  <si>
    <t>Dilawar Hussain</t>
  </si>
  <si>
    <t>Sanda Khaniwal, post office usman wala, tehsil &amp; distt. Kasur
Bhambhky post office sajra tehsil &amp; Distt. Kasur</t>
  </si>
  <si>
    <t>0321-8427322</t>
  </si>
  <si>
    <t>Karim Buksh</t>
  </si>
  <si>
    <t>Basti Mubarakabad, Abdul Hakeem, Thesil Kabeer Wala, District Khane Wal</t>
  </si>
  <si>
    <t>0300-2869761</t>
  </si>
  <si>
    <t>Jammat Ali Shah</t>
  </si>
  <si>
    <t>Barkat Ali Shah</t>
  </si>
  <si>
    <t>Chak # 63 MB Post Office Khushab, 
Tehsil &amp; District Khushab</t>
  </si>
  <si>
    <t>0304-8126848</t>
  </si>
  <si>
    <t>Yousaf Maseh</t>
  </si>
  <si>
    <t>Chiragh Colony Jauharabad, Tehsil &amp; District Khushab</t>
  </si>
  <si>
    <t>0305-9563911</t>
  </si>
  <si>
    <t>Rehmat Maseh</t>
  </si>
  <si>
    <t>Ward # 47, H # 178, St# 1, Moh. Sultan Colony Sargodha</t>
  </si>
  <si>
    <t>0306-7234410</t>
  </si>
  <si>
    <t>Mazhar Hussain</t>
  </si>
  <si>
    <t>Kath Misral, Dak Khana Khas, Tehsil &amp; District Khushab</t>
  </si>
  <si>
    <t>0307-5726673</t>
  </si>
  <si>
    <t>Aamir Shahzad</t>
  </si>
  <si>
    <t>Ghulam Hussain</t>
  </si>
  <si>
    <t>Moh. Zaman Colony Jauharabad, 
Tehsil &amp; District Khushab</t>
  </si>
  <si>
    <t>0301-2894962</t>
  </si>
  <si>
    <t>Khadam Hussain</t>
  </si>
  <si>
    <t>Mudhwal Khokhar Post Office Pail,
Tehsil &amp; District Khushab</t>
  </si>
  <si>
    <t>0315-7064265</t>
  </si>
  <si>
    <t>Amir Sohail</t>
  </si>
  <si>
    <t>Dak Khana Khas Billo, Tehsil Hazari, District Jhang</t>
  </si>
  <si>
    <t>0308-6424363</t>
  </si>
  <si>
    <t>Hafiz Ahsan Iqbal</t>
  </si>
  <si>
    <t>Ward No. 5, Mohalla Sedun Wala, Tehsil Shahpur, District Sargpdha</t>
  </si>
  <si>
    <t>0342-9364346</t>
  </si>
  <si>
    <t>Mubashir Hussain</t>
  </si>
  <si>
    <t>Post office Kurpalka Khushab,
Tehsil &amp; District Khushab</t>
  </si>
  <si>
    <t>0302-3091210</t>
  </si>
  <si>
    <t>Muhammad Atiq</t>
  </si>
  <si>
    <t>Muhammad Shafiq</t>
  </si>
  <si>
    <t>House # 449, Ward # 1 Mohalla Saedanwala, Shahpur City, Tehsil Shahpur, District Sargodha</t>
  </si>
  <si>
    <t>0301-6036660</t>
  </si>
  <si>
    <t>Umar Hayat</t>
  </si>
  <si>
    <t>Ward No. 5, Mohalla Qasaiyon Wala, Tehsil Shahpur, District Sargpdha</t>
  </si>
  <si>
    <t>0328-9180290</t>
  </si>
  <si>
    <t>Muhammad Sharafat</t>
  </si>
  <si>
    <t>Muhammad Shahadat</t>
  </si>
  <si>
    <t>ward no.4, mohalla qasaiyan wala,shahpur city, tehsil shahpur, distt. Sargodha</t>
  </si>
  <si>
    <t>0302-7029315</t>
  </si>
  <si>
    <t>Naseer Abbas</t>
  </si>
  <si>
    <t>Moh. Kachi Abadi Jauharabad, 
Tehsil &amp; District Khushab</t>
  </si>
  <si>
    <t>0306-8489523</t>
  </si>
  <si>
    <t>Muhammad Rasheed</t>
  </si>
  <si>
    <t>H # 106-C, Mohalla New Satellite Town # 2, Joharabad, tehsil o District Khushab</t>
  </si>
  <si>
    <t>0306-5420309</t>
  </si>
  <si>
    <t>Wazir Ahmad</t>
  </si>
  <si>
    <t>Chak No. 310 TDA, DAK Khana Chak No. 306 TDA, Tehsil Chobara District Layyah</t>
  </si>
  <si>
    <t>0345-7767898</t>
  </si>
  <si>
    <t>Awais kamal</t>
  </si>
  <si>
    <t>Kamal Masih</t>
  </si>
  <si>
    <t>Christian Colony Iqbal Town,Mohalla Mubarakabad,Bhakkar</t>
  </si>
  <si>
    <t>0314-6836779</t>
  </si>
  <si>
    <t>Chak No. 148, A/TDA, Dak Khana Layyah</t>
  </si>
  <si>
    <t>0304-2980486</t>
  </si>
  <si>
    <t>Muhammad Shahbaz</t>
  </si>
  <si>
    <t>Peer Bakhsh</t>
  </si>
  <si>
    <t>Chak. No 148A/TDA, Kdak Khana Layyah, Tehsil Layyah</t>
  </si>
  <si>
    <t>03084782687</t>
  </si>
  <si>
    <t>Intazaar Hussain</t>
  </si>
  <si>
    <t>Khuda Bakhash</t>
  </si>
  <si>
    <t>Ward no. 7, Karor Tehsil Karor Distt. Layyah</t>
  </si>
  <si>
    <t>03037080421</t>
  </si>
  <si>
    <t xml:space="preserve">Muhammad Adeel </t>
  </si>
  <si>
    <t>Ghulam Shabbir</t>
  </si>
  <si>
    <t>Chak No. 129 TDA P/O lalazar, tehsil &amp; Distt Layyah</t>
  </si>
  <si>
    <t>03409609820
03061911223</t>
  </si>
  <si>
    <t>Chak No 148/TDA Layyah</t>
  </si>
  <si>
    <t>03057309747
0303-3323600</t>
  </si>
  <si>
    <t xml:space="preserve">Ghulam Hussain </t>
  </si>
  <si>
    <t>Chak No. 148 TDA, P/O Layyah, Tehsil&amp;District Layyah</t>
  </si>
  <si>
    <t>03342127171</t>
  </si>
  <si>
    <t>Tanveer Ahmad</t>
  </si>
  <si>
    <t>Chak no 100 ML, Dak Khana kHas, Karor Lal esan Layyah</t>
  </si>
  <si>
    <t>03024281703</t>
  </si>
  <si>
    <t> Muhammad Alam Sher</t>
  </si>
  <si>
    <t xml:space="preserve"> Sardaar </t>
  </si>
  <si>
    <t>Jamsher Chak no 24, Dak Khana Khas, Tehsil Pattoki Distt. Kasur</t>
  </si>
  <si>
    <t>0306-0082272</t>
  </si>
  <si>
    <t> Bilal Hussain</t>
  </si>
  <si>
    <t> Ghulam Hussain</t>
  </si>
  <si>
    <t>Basti Kotla Ali Dasti Dak Khana Khas Lodhran Tehsil o Distt. Lodhran</t>
  </si>
  <si>
    <t>0300-6893951</t>
  </si>
  <si>
    <t> Irfan Masih</t>
  </si>
  <si>
    <t>Bihari Colony Lodhran</t>
  </si>
  <si>
    <t>0302-9074013</t>
  </si>
  <si>
    <t>Farhan Ali</t>
  </si>
  <si>
    <t>Godo Mal Saran, Mori gate, Bahawalpur</t>
  </si>
  <si>
    <t>0302-6551262</t>
  </si>
  <si>
    <t>Muhammad Raziq</t>
  </si>
  <si>
    <t>Chak # 33, Danwaran, Dak Khana Khas, Tehsil &amp; District Lodhran</t>
  </si>
  <si>
    <t>0303-7586190</t>
  </si>
  <si>
    <t> Abdul Majid Saleem</t>
  </si>
  <si>
    <t> Muhammad Saleem</t>
  </si>
  <si>
    <t xml:space="preserve">Rajpot Colony Ward No. 9, Lodhran, Pakistan </t>
  </si>
  <si>
    <t>0301-6310779</t>
  </si>
  <si>
    <t> Ilyas Hussain Shah</t>
  </si>
  <si>
    <t> Gul Muhammad Shah</t>
  </si>
  <si>
    <t xml:space="preserve">Basti Hasil wala Mauza Pai Waghnin Dak Khana Khas Tehsil Karor Pakka Distt. Lodhran </t>
  </si>
  <si>
    <t>0301-3541361</t>
  </si>
  <si>
    <t> Muhammad Kashif</t>
  </si>
  <si>
    <t>Mehmood Ali </t>
  </si>
  <si>
    <t>Chah Botay wala chak Himta, Dak Khana Khas, Tehsil o Distt. Lodhran</t>
  </si>
  <si>
    <t>0343-7048700</t>
  </si>
  <si>
    <t>Khizar Nawaz</t>
  </si>
  <si>
    <t>Haq Nawaz</t>
  </si>
  <si>
    <t>Chah Nale wala, Dhanoot, Dak Khana Khas Tehsil Kehroor Pakka, Distt. Lodhran</t>
  </si>
  <si>
    <t>0306-1553432</t>
  </si>
  <si>
    <t>Mohsin Majeed</t>
  </si>
  <si>
    <t>Jhook Jindoda, Dak Khana Kehroor Pakka, Jamrani Wah, Tehsil Kehror Pakka, Distt. Lodhran</t>
  </si>
  <si>
    <t>0312-6250809</t>
  </si>
  <si>
    <t>Muhammad Ayub</t>
  </si>
  <si>
    <t>Dildar Urf Dillo</t>
  </si>
  <si>
    <t>Chak No. 33-M, Danwran, Dak Khana Khas, Tehsil &amp; Distt. Lodhran</t>
  </si>
  <si>
    <t>0304-8514706</t>
  </si>
  <si>
    <t>Madina Colony Lodhran</t>
  </si>
  <si>
    <t>0308-9017877</t>
  </si>
  <si>
    <t>Chah Nalay Wala, Dak Khana Khas Lodhran</t>
  </si>
  <si>
    <t>0325-6339983</t>
  </si>
  <si>
    <t>Muhammad Zaheer Abbas</t>
  </si>
  <si>
    <t>Ghulam Nazir</t>
  </si>
  <si>
    <t>Present : Wandhi Arainyanwali ,P.O Mianwali,Yarokhail pakka, Tehsil o District Mianwali
Permanent : P.O Khas, Turg Sharqi,Tehsil Eisa Khail, District Mianwali</t>
  </si>
  <si>
    <t>0309-2674593</t>
  </si>
  <si>
    <t>Gul Hameed</t>
  </si>
  <si>
    <t>Muhammad Ameer</t>
  </si>
  <si>
    <t>Dak Khana Mianwali, Head Pakka, Tehsil o District Mianwali</t>
  </si>
  <si>
    <t>0308-6355350</t>
  </si>
  <si>
    <t>Muhammad Shahid Ali</t>
  </si>
  <si>
    <t>P.O,Chak # 4 D.B  Sunbal,Tehsil Paplan,District Mianwali</t>
  </si>
  <si>
    <t>0316-7348622</t>
  </si>
  <si>
    <t>Sana Ullah</t>
  </si>
  <si>
    <t>Amir Abdullah</t>
  </si>
  <si>
    <t>Dak Khana Mianwali Head Pakka, Tehsil &amp; Distrct Mianwali</t>
  </si>
  <si>
    <t>0326-9087138
0308-3282212</t>
  </si>
  <si>
    <t>Ahmad</t>
  </si>
  <si>
    <t>P.O,Chak # 4 D.B Baan Sunbal,Tehsil Paplan,District Mianwali</t>
  </si>
  <si>
    <t>0304-6797734</t>
  </si>
  <si>
    <t>Asmat Ullah</t>
  </si>
  <si>
    <t>Chak no. 13ML Dak Khana Liaqatabad Tehsil piplan, District Mianwali</t>
  </si>
  <si>
    <t>0303-2122588</t>
  </si>
  <si>
    <t>Azad Mubarik Khan</t>
  </si>
  <si>
    <t>Present: Dera Khud Chah Bahadur Khan Wala, Dak Khana Khas, Gulmeri, Tehsil &amp; District Mianwali
Permanent: Hayatabad, Guddi Khelanwala, Dak Khana Mianwali</t>
  </si>
  <si>
    <t>0305-2157874</t>
  </si>
  <si>
    <t>Ghulam Abbas Shah</t>
  </si>
  <si>
    <t>Syed Ghulam Qazim Shah</t>
  </si>
  <si>
    <t>Mohalla Syedanwala Kala Bagh, Tehsil Eisa Khel, District Mianwali</t>
  </si>
  <si>
    <t>0314-5120512</t>
  </si>
  <si>
    <t>Muhammad Amjid</t>
  </si>
  <si>
    <t>Gul Jahan</t>
  </si>
  <si>
    <t>P.O Liaqatabad, Chak No. 13 ML, Tehsil Papliyan, District Mianwali</t>
  </si>
  <si>
    <t>0317-6083484
0326-1056746</t>
  </si>
  <si>
    <t>Muhammad Fiyyaz</t>
  </si>
  <si>
    <t>Malik Mehr Muhammad</t>
  </si>
  <si>
    <t>Head Paka, P.O Mianwali, Tehsil &amp; District Mianwali</t>
  </si>
  <si>
    <t>0300-6099844</t>
  </si>
  <si>
    <t>Muhammad Nawaz Khan</t>
  </si>
  <si>
    <t>Ghulam Murtaza Khan</t>
  </si>
  <si>
    <t>Dera Murtaza Khanwala Kabir Khail Dak Khana Khas, Mooch Pakka Tehsil &amp; District Mianwali</t>
  </si>
  <si>
    <t>0309-5458247</t>
  </si>
  <si>
    <t>Muhammad Zubair</t>
  </si>
  <si>
    <t>Shah Jahan</t>
  </si>
  <si>
    <t>Chak 13 ML, Dak Khana Piplan, Tehsil Piplan, Distt. Mianwali</t>
  </si>
  <si>
    <t>0305-2324585</t>
  </si>
  <si>
    <t xml:space="preserve">Noor Muhammad </t>
  </si>
  <si>
    <t>Mehr Muhammad</t>
  </si>
  <si>
    <t>Head Pakka,P.O Khas Tehsil &amp; District Mianwali</t>
  </si>
  <si>
    <t>0305-1017212</t>
  </si>
  <si>
    <t>Syed Qamar Raza Shah</t>
  </si>
  <si>
    <t>Syed Ghulam raza Shah</t>
  </si>
  <si>
    <t>H # K/ 444 Mohalla Syedan wala,Tang Bazar Kalabagh,Tehsil Eisa Khail, District Mianwali</t>
  </si>
  <si>
    <t>0334-7668923
0302-4734723</t>
  </si>
  <si>
    <t>Zia Ullah Khan</t>
  </si>
  <si>
    <t>Lateef Ullah Khan</t>
  </si>
  <si>
    <t>Mohalla Mokarwal, P.O Manda Khel,Khudazai,Tehsil Aisa Khel,District Mianwali</t>
  </si>
  <si>
    <t>0342-7448346</t>
  </si>
  <si>
    <t xml:space="preserve">BANIET </t>
  </si>
  <si>
    <t xml:space="preserve">CHAK NO.219 RB, MUHALLAH SHER SINGH WALA,TEHSIL &amp; DISTRICT, FAISALABAD </t>
  </si>
  <si>
    <t>0311-7989659</t>
  </si>
  <si>
    <t>Jamal Maseeh</t>
  </si>
  <si>
    <t>Riaz Maseeh</t>
  </si>
  <si>
    <t>Dak Khana Khas, Chak No. 152 TDA Tehsil &amp; District Layyah</t>
  </si>
  <si>
    <t>0348-7468493</t>
  </si>
  <si>
    <t>Inayat Masih</t>
  </si>
  <si>
    <t>Chah Khair Mandwala, Patti Khar, Tehsil &amp; District Koat Addu</t>
  </si>
  <si>
    <t>0318-6394504</t>
  </si>
  <si>
    <t>Faisal Masih</t>
  </si>
  <si>
    <t>Yaqoob Masih</t>
  </si>
  <si>
    <t>Nishtar Town</t>
  </si>
  <si>
    <t>H # 5, Street #1, Mohalla Feroz Park, Yohanabad, Lahore</t>
  </si>
  <si>
    <t>0300-4347517</t>
  </si>
  <si>
    <t>Youhana Arif</t>
  </si>
  <si>
    <t>Piran Ditta Masih</t>
  </si>
  <si>
    <t>Noshera Virkan</t>
  </si>
  <si>
    <t>Post Office Kaulo Wala, Doburji, Tehsil Nowshera Virkan, District Gujranwala</t>
  </si>
  <si>
    <t>0343-7261271
0304-6219368</t>
  </si>
  <si>
    <t>Adnan Siddiqui</t>
  </si>
  <si>
    <t>H # 247,Mohalla Khalid Town,Main Road Near Chungi # 7,Okara</t>
  </si>
  <si>
    <t>0307-7852731</t>
  </si>
  <si>
    <t>Shoukat Ali</t>
  </si>
  <si>
    <t>Chiragh Din</t>
  </si>
  <si>
    <t>Dak Khana Khas, Chak No. 35/2 L, Tehsil &amp; District Okara</t>
  </si>
  <si>
    <t>0348-6509126</t>
  </si>
  <si>
    <t>Abid Masih</t>
  </si>
  <si>
    <t>Jogendar masih</t>
  </si>
  <si>
    <t>H # 89,Gol Street Mohalla Samadhanwala,Pakpattan</t>
  </si>
  <si>
    <t>0308-5910676</t>
  </si>
  <si>
    <t>Akash Nazir Jutt</t>
  </si>
  <si>
    <t>Nazir Masih</t>
  </si>
  <si>
    <t>Circullar Road,H # 424,Mohalla Samadhan wala,Pakpattan</t>
  </si>
  <si>
    <t>0303-6318346</t>
  </si>
  <si>
    <t>Jora P.O, Tehsil o District Pakpattan</t>
  </si>
  <si>
    <t>0308-4773057</t>
  </si>
  <si>
    <t>Life Time</t>
  </si>
  <si>
    <t>Muhammad Amir Ilyas</t>
  </si>
  <si>
    <t>Ratti Ram Pura, Dak Khana Gulab Ali, Tehsil &amp; District Bahawalnagar</t>
  </si>
  <si>
    <t>0316-6105656</t>
  </si>
  <si>
    <t>P.O Ghulab Ali , Ratti Rampura, Tehsil o District Bahawalnagar</t>
  </si>
  <si>
    <t>0302-2708101</t>
  </si>
  <si>
    <t>P.O Paka Sudhaar,Opana,Tehsi o District Pakpattan</t>
  </si>
  <si>
    <t>0302-4191367</t>
  </si>
  <si>
    <t>Syed Zaheer Abbas Shah</t>
  </si>
  <si>
    <t>Syed Mehdi Hassan Shah</t>
  </si>
  <si>
    <t>0345-1661254</t>
  </si>
  <si>
    <t>Anser Ali</t>
  </si>
  <si>
    <t>Mandi Dholaan, Post Office Khas , Tehsil &amp; Distt Kasur</t>
  </si>
  <si>
    <t>0307-6473397</t>
  </si>
  <si>
    <t>Dak Khana Raiwind, Jalal Pura, Raiwind Lahore</t>
  </si>
  <si>
    <t>0321-1046092</t>
  </si>
  <si>
    <t>Mohalla Muslim Colony, Raiwind Town Committee, Tehsil Raiwind, District Lahore</t>
  </si>
  <si>
    <t>0346-4437929</t>
  </si>
  <si>
    <t>Kot Nihal Khan, Mandi Raiwind, Dak Khana Raiwind, Tehsil &amp; District Lahore</t>
  </si>
  <si>
    <t>Bhachoki Mahja, Dak Khana Raiwind Lahore</t>
  </si>
  <si>
    <t>0305-4192907</t>
  </si>
  <si>
    <t>Talab Saraye Manga Autar, Dak Khana, Manga Mandi, Tesil &amp; District Lahore</t>
  </si>
  <si>
    <t>0314-4025940</t>
  </si>
  <si>
    <t>Rani Bibi</t>
  </si>
  <si>
    <t>Ashraf Masih</t>
  </si>
  <si>
    <t>Ganda Sing Wala, Dak Khana Kot Mahtab Khan, Kot Radha Kishan, Kasoor</t>
  </si>
  <si>
    <t>0309-0414824</t>
  </si>
  <si>
    <t>Robin Masih</t>
  </si>
  <si>
    <t>Raiwind Rural part, Dak Khana Mission Colony, Tehsil &amp; District Lahore</t>
  </si>
  <si>
    <t>0304-7639491</t>
  </si>
  <si>
    <t>Saghir Masih</t>
  </si>
  <si>
    <t>Hidayat Masih</t>
  </si>
  <si>
    <t>Pajian, Dak Khana Khas, Raiwind Road, Lahore</t>
  </si>
  <si>
    <t>0324-7595604</t>
  </si>
  <si>
    <t>Salamat Masih</t>
  </si>
  <si>
    <t>Miraaj Masih</t>
  </si>
  <si>
    <t>Muhalla Christian Colony Raiwind, Tehsil Lahore City Lahore</t>
  </si>
  <si>
    <t>0303-4497736</t>
  </si>
  <si>
    <t>Sharafat Masih</t>
  </si>
  <si>
    <t>Miraj Masih</t>
  </si>
  <si>
    <t>Muhala Mission Colony, Raiwind Lahore</t>
  </si>
  <si>
    <t>0309-4690961</t>
  </si>
  <si>
    <t>Haroon ur Resheed</t>
  </si>
  <si>
    <t>Mohalla Kot Bahaal Singh, Raiwind, Tehsil &amp; District Lahore</t>
  </si>
  <si>
    <t>0327-8181950</t>
  </si>
  <si>
    <t xml:space="preserve">Farooq Azam </t>
  </si>
  <si>
    <t xml:space="preserve">Khushi Muhammad </t>
  </si>
  <si>
    <t>Allama Iqbal Town, Haveli Baba Ameer Din Wali, Raiwind, Lahore</t>
  </si>
  <si>
    <t>0300-4987829</t>
  </si>
  <si>
    <t>Gulam Shabir</t>
  </si>
  <si>
    <t>Aashiq Ali</t>
  </si>
  <si>
    <t>Haweli Ghattanawali, Ahmed Wala Dak Khana, Raja Jung, Kasoor</t>
  </si>
  <si>
    <t>0305-4342177</t>
  </si>
  <si>
    <t xml:space="preserve">Luqman </t>
  </si>
  <si>
    <t>0306-4031975</t>
  </si>
  <si>
    <t>Nawab Deen</t>
  </si>
  <si>
    <t>MUHALA KOT KHAZA SING WALA, RAIWIND LAHORE</t>
  </si>
  <si>
    <t>0308-4701753</t>
  </si>
  <si>
    <t>Dara</t>
  </si>
  <si>
    <t>Ward No.06, Muhala Barban Pura, Raiwind Lahore</t>
  </si>
  <si>
    <t>0302-4099508</t>
  </si>
  <si>
    <t>Muhammad Asim Khan</t>
  </si>
  <si>
    <t>Altaf Ali Khan</t>
  </si>
  <si>
    <t>Near Ali Public High School Mohalla Koat Khazan Singh, Raiwind, Tehsil &amp; District Lahore</t>
  </si>
  <si>
    <t>0300-4700738</t>
  </si>
  <si>
    <t>Sunder adda pind rangelpur sunder lahore.</t>
  </si>
  <si>
    <t>0336-4462078</t>
  </si>
  <si>
    <t>Muhammad Sufyan</t>
  </si>
  <si>
    <t>Mohalla Kot Khazan Singh, Lahore</t>
  </si>
  <si>
    <t>0303-4948261</t>
  </si>
  <si>
    <t>Tibba Colony, BhoyAsal, Dak Khana Khas, Tehsil Pattoki, Distt.Kasur</t>
  </si>
  <si>
    <t>0300-4102354</t>
  </si>
  <si>
    <t>Nouman Jan Muhammad</t>
  </si>
  <si>
    <t>Jan Muhammad</t>
  </si>
  <si>
    <t>Railway Street Shaheedan, Post office Khas, Raiwind, District Lahore</t>
  </si>
  <si>
    <t>0302-7209010</t>
  </si>
  <si>
    <t>0303-8180214</t>
  </si>
  <si>
    <t xml:space="preserve">Multan Road, Dak Khana Khas, Sshamky Bhatti Tehsil Raiwind, District Lahore
</t>
  </si>
  <si>
    <t>0303-8422318</t>
  </si>
  <si>
    <t>Javed Masih</t>
  </si>
  <si>
    <t xml:space="preserve">Bashir Masih </t>
  </si>
  <si>
    <t xml:space="preserve">House No 64-A Street No 64 Muhallah Esa Nagri Chah Miran Lahore </t>
  </si>
  <si>
    <t>0324-4210870</t>
  </si>
  <si>
    <t xml:space="preserve">Qaiser </t>
  </si>
  <si>
    <t xml:space="preserve">Amanuil Masih </t>
  </si>
  <si>
    <t xml:space="preserve">mohallah Naseerabad Cristian colony kohinor mill rawalpindi cantt Dist Rawalpindi </t>
  </si>
  <si>
    <t>0310-9141546</t>
  </si>
  <si>
    <t>Lal Gull</t>
  </si>
  <si>
    <t>Tarbela Diam Sobda City, House no. 18-D, HariPur, Tehsil Ghazi, Distt. Haripur</t>
  </si>
  <si>
    <t>0312-5258616</t>
  </si>
  <si>
    <t>Muhammad Sadiq Bhatti</t>
  </si>
  <si>
    <t>Muhallah Rasool Pura Sambriyal Diustrict Sialkot</t>
  </si>
  <si>
    <t>0331-5061835</t>
  </si>
  <si>
    <t>House no. SD-327, Street no 2, Falcon complex, Rawalpindi</t>
  </si>
  <si>
    <t>0316-5228293</t>
  </si>
  <si>
    <t>Umer Zareen</t>
  </si>
  <si>
    <t>Fazal room shah</t>
  </si>
  <si>
    <t xml:space="preserve">House no,1 street no, mian park taj pura scheme Lahore </t>
  </si>
  <si>
    <t>0300-5894274</t>
  </si>
  <si>
    <t>Irfan Bhutta</t>
  </si>
  <si>
    <t>Arshad Iqbal</t>
  </si>
  <si>
    <t>House # 32, street # 43, Muhala karamabad pakithati lahore</t>
  </si>
  <si>
    <t>0311-4216540</t>
  </si>
  <si>
    <t>Moon</t>
  </si>
  <si>
    <t>Ishaq Masih</t>
  </si>
  <si>
    <t>Nadeem Park, Manowal, Multan Road, Dak Khana Khas, Chung, Tehsil Raiwind, District Lahore</t>
  </si>
  <si>
    <t>0302-5262826</t>
  </si>
  <si>
    <t xml:space="preserve">Patres </t>
  </si>
  <si>
    <t xml:space="preserve">Anayat Masih </t>
  </si>
  <si>
    <t>Haveli Thekaidaar Mohala chae jane wala hussain abad paki thathi Lahore</t>
  </si>
  <si>
    <t>0308-8546045</t>
  </si>
  <si>
    <t>Waqas Masih</t>
  </si>
  <si>
    <t>Hadit Mashi</t>
  </si>
  <si>
    <t>Muhla Ali Raza Abad,Thoker Niaz Baeg Lahore.</t>
  </si>
  <si>
    <t>0308-4134839</t>
  </si>
  <si>
    <t>House no 59, sanibhali, street no 19/B, Bhagbanpura, Lahore</t>
  </si>
  <si>
    <t>0302-6546615</t>
  </si>
  <si>
    <t>Amjad Ali Shuakat</t>
  </si>
  <si>
    <t>House no. 4, Nadir street no 2, Islamia park ponch road, chhubarji lahore</t>
  </si>
  <si>
    <t>0322-4572917</t>
  </si>
  <si>
    <t>Ehtisham</t>
  </si>
  <si>
    <t xml:space="preserve">Piran Dita </t>
  </si>
  <si>
    <t>Hnjarwaal Multan Road Lahore</t>
  </si>
  <si>
    <t>0308-4232579</t>
  </si>
  <si>
    <t>Arif Husssain</t>
  </si>
  <si>
    <t>Sunsani khoi, joher town, near minar wali masjid lahore</t>
  </si>
  <si>
    <t>0322-4945054</t>
  </si>
  <si>
    <t>Muhammad Ahsan Rafi</t>
  </si>
  <si>
    <t>Muhammad Rafi</t>
  </si>
  <si>
    <t xml:space="preserve">H # 19 ST # 46 Mohallah Bait Al Raza Colony Pakki thathi lahore </t>
  </si>
  <si>
    <t>0321-4434558</t>
  </si>
  <si>
    <t xml:space="preserve">Nazd Masjid Madina Muhallah Bota Park Shahdara Lahore </t>
  </si>
  <si>
    <t>0309-4528110</t>
  </si>
  <si>
    <t>Nadeem Khan</t>
  </si>
  <si>
    <t>Jehanzeb Khan</t>
  </si>
  <si>
    <t>Dak Khana Oogi, Tagram Tehsil &amp; District Torghar</t>
  </si>
  <si>
    <t>0345-1922594</t>
  </si>
  <si>
    <t>Nauman Ashfaq</t>
  </si>
  <si>
    <t>Muhammad ashfaq</t>
  </si>
  <si>
    <t xml:space="preserve">H # 7 St # 6 ,Chah Bimilla ,Dholanwal Lahore </t>
  </si>
  <si>
    <t>0307-4306209</t>
  </si>
  <si>
    <t>Tahir Mehmood</t>
  </si>
  <si>
    <t>Dak Khana Khas, Kalu Khurd, Tehsil Hazru, District Attock</t>
  </si>
  <si>
    <t>0307-5161480</t>
  </si>
  <si>
    <t>Tariq Manzoor</t>
  </si>
  <si>
    <t>Chak No 86/9L P/O khaas Teh &amp; Distt Sahiwal.</t>
  </si>
  <si>
    <t>0303-9435289</t>
  </si>
  <si>
    <t>Gama Masih</t>
  </si>
  <si>
    <t>Essa Nagri, Chungi No. 2, Street no, 4 Sahiwal</t>
  </si>
  <si>
    <t>0302-6042474</t>
  </si>
  <si>
    <t>Saleem Shahzad</t>
  </si>
  <si>
    <t>Anwar Masih</t>
  </si>
  <si>
    <t>H # 117, Street # 3, Christian Colony Karbala Road, Sahiwal</t>
  </si>
  <si>
    <t>0302-2563650</t>
  </si>
  <si>
    <t>Shahbaz</t>
  </si>
  <si>
    <t>Faqir Masih</t>
  </si>
  <si>
    <t>Christian Colony Karbala road house no 88/45D Sahiwal.</t>
  </si>
  <si>
    <t>0307-0418380</t>
  </si>
  <si>
    <t>Tabish Masih</t>
  </si>
  <si>
    <t>Khalid Masih</t>
  </si>
  <si>
    <t>Shami Shaheed Road Bastiyan Esaaiyan,Sahiwal</t>
  </si>
  <si>
    <t>0318-8493230</t>
  </si>
  <si>
    <t>Haseeb Raza</t>
  </si>
  <si>
    <t>Gannu Dak  Khana Khas, Chak No. 58/5 L, Tehsil &amp; District Sahiwal</t>
  </si>
  <si>
    <t>0327-6253858</t>
  </si>
  <si>
    <t>Jammal Raza</t>
  </si>
  <si>
    <t>Chak No 58/5L   P/O khaas Teh &amp; Distt Sahiwal.</t>
  </si>
  <si>
    <t>0309-6535158</t>
  </si>
  <si>
    <t>Chak no 58/4R P/O Khaas Teh &amp; Distt Sahiwal.</t>
  </si>
  <si>
    <t>0344-6771571</t>
  </si>
  <si>
    <t>Shaheer Ashfaq</t>
  </si>
  <si>
    <t>Muhalla Rajpootan Wala, Dak Khana Khas, Harrapa, Tehsil e Distt. Sahiwal</t>
  </si>
  <si>
    <t>0323-9061859</t>
  </si>
  <si>
    <t>Syed Tafseer Mehdi</t>
  </si>
  <si>
    <t>Syed Muhammad Ali Raza Shah</t>
  </si>
  <si>
    <t>H # 309/BV Fareed Ganj, Sahiwal</t>
  </si>
  <si>
    <t>0307-2578978</t>
  </si>
  <si>
    <t>Talha Arshad</t>
  </si>
  <si>
    <t>Dak Khana Khas, Chak No.153/9L, Teshil &amp; District Sahiwal
Street no 1, mohalla Hajiabad, Kumair Sharif, Tehsil &amp; Distric Sahiwal</t>
  </si>
  <si>
    <t>0309-0639120 &amp; 0304-7054920</t>
  </si>
  <si>
    <t>Usama Tahir</t>
  </si>
  <si>
    <t>Tahir Hussain</t>
  </si>
  <si>
    <t>Rajpotan Wala Dak Khana Harrapa, Tehsil &amp; Distt. Sahiwal</t>
  </si>
  <si>
    <t>0320-7843908</t>
  </si>
  <si>
    <t>Fish Farm, Chak # 89/9 L P.O Khas, Tehsil o District Sahiwal</t>
  </si>
  <si>
    <t>0308-6202889</t>
  </si>
  <si>
    <t xml:space="preserve">Aasia </t>
  </si>
  <si>
    <t>Husband (Khurram Masih)</t>
  </si>
  <si>
    <t>Nahal Dak-Khana Khas, Tehsil o District sargodha</t>
  </si>
  <si>
    <t>0306-1154883</t>
  </si>
  <si>
    <t>Javid Masih</t>
  </si>
  <si>
    <t>Anayat Masih</t>
  </si>
  <si>
    <t>Chak #74- SB, Post office Khas Tehsil and District Sargodha</t>
  </si>
  <si>
    <t>0305-7268631</t>
  </si>
  <si>
    <t xml:space="preserve">Safia </t>
  </si>
  <si>
    <t>Chak No. 72-A/SB, Dak Khana Khas, Tehsil &amp; Distt. Sargodha</t>
  </si>
  <si>
    <t>0306-1768443</t>
  </si>
  <si>
    <t>Shahzad Masih</t>
  </si>
  <si>
    <t>Munir</t>
  </si>
  <si>
    <t>House # 190 Street #1 Mohallah Sultan Colony Sargodha</t>
  </si>
  <si>
    <t>0308-1621817</t>
  </si>
  <si>
    <t>Sohail Masih</t>
  </si>
  <si>
    <t>House #7 Street #1 Mohallah Jinnah Colony Sargodha.</t>
  </si>
  <si>
    <t>0342-5409987</t>
  </si>
  <si>
    <t>Adnan Afzal</t>
  </si>
  <si>
    <t>Dak Khana Miani Pakhowal, Tehsil Bhera, District Sargodha</t>
  </si>
  <si>
    <t>0341-8353351</t>
  </si>
  <si>
    <t>Anser Masih</t>
  </si>
  <si>
    <t>49 Tail Meryam Town Mohallah Dawood Nager , Sargodha</t>
  </si>
  <si>
    <t>0345-8662645</t>
  </si>
  <si>
    <t>Aryan Ahmad Qureshi</t>
  </si>
  <si>
    <t>Naseem Ahmad Tahir</t>
  </si>
  <si>
    <t>House No. 5, Street No. 1, Mohalla Nazir Colony, Sargodha</t>
  </si>
  <si>
    <t>0328-7520496</t>
  </si>
  <si>
    <t>Faisal Riaz</t>
  </si>
  <si>
    <t>Muhalla Chungi No. 2, Muth Tiwana,Tehsil &amp; Distt. Khushab</t>
  </si>
  <si>
    <t>0344-7944994</t>
  </si>
  <si>
    <t>Hafiz Muhammad Tahir</t>
  </si>
  <si>
    <t>Street #8 Mohallah Mojid Colony Sargodha</t>
  </si>
  <si>
    <t>0306-6716941</t>
  </si>
  <si>
    <t>Hamza Ishtiaq</t>
  </si>
  <si>
    <t>Muhammad Ishtiaq Ahmad</t>
  </si>
  <si>
    <t>Chak no. 34 NB, Sargodha</t>
  </si>
  <si>
    <t>0341-1734564</t>
  </si>
  <si>
    <t>Hamza Pervaiz</t>
  </si>
  <si>
    <t>Muhammad Pervaiz</t>
  </si>
  <si>
    <t>House No. 16, Street No. 1, Mohalla Islampura, Sargodha</t>
  </si>
  <si>
    <t>0309-0575407</t>
  </si>
  <si>
    <t>Hashim Ali</t>
  </si>
  <si>
    <t>Dak Khana Asgharabad, Megh Aaara, Tehsil Sahiwal, District Sahiwal</t>
  </si>
  <si>
    <t>0302-3721639</t>
  </si>
  <si>
    <t>Khawar Mehmood Khan</t>
  </si>
  <si>
    <t>Sultan Khan</t>
  </si>
  <si>
    <t>Dak Khana Mattha Lak Chak Number 30 NB Tehsil o District Sargodha</t>
  </si>
  <si>
    <t>0346-6670848</t>
  </si>
  <si>
    <t>P.O Ahmadpur, Dhara Tehsil Sahiwal District Sargodha</t>
  </si>
  <si>
    <t>0309-6715071</t>
  </si>
  <si>
    <t>Near Darbar Ghalib Shah, House no. 1216/132, Muhallah Rehmanpura no.2, Sargodha</t>
  </si>
  <si>
    <t>0322-6002289</t>
  </si>
  <si>
    <t>Muhammad Ibrar</t>
  </si>
  <si>
    <t>Muhammad Zulfiqar</t>
  </si>
  <si>
    <t>Muhallah Fazal Imam Bheera, District Sargodha</t>
  </si>
  <si>
    <t>0306-1172590
0346-1172590</t>
  </si>
  <si>
    <t>Muhammad Waris</t>
  </si>
  <si>
    <t>Moj Khan</t>
  </si>
  <si>
    <t>Chah Seel Bandwala, Sikandarabad Khas, Tehsil Shajahbaad, District Multan</t>
  </si>
  <si>
    <t>0303-4065909</t>
  </si>
  <si>
    <t>Razia Bibi</t>
  </si>
  <si>
    <t>Allah Bukash</t>
  </si>
  <si>
    <t>Chak no. 56SB Dak khana Khas, Tehsil o Distt. Sargodha</t>
  </si>
  <si>
    <t>0344-2160524</t>
  </si>
  <si>
    <t>Ahmad Hayat</t>
  </si>
  <si>
    <t>House no. 159, street no 9, Muhallah Nawab Colony Sargodha</t>
  </si>
  <si>
    <t>0344-6220084</t>
  </si>
  <si>
    <t>Muhammad Shar</t>
  </si>
  <si>
    <t>House #CB/410, Street #2 Mohallah Liquat Colony Sargodha</t>
  </si>
  <si>
    <t>0306-7210070</t>
  </si>
  <si>
    <t xml:space="preserve">Muhammad Babu </t>
  </si>
  <si>
    <t>H# 22, Street 7 Mohala kot kambooh band road Lahore</t>
  </si>
  <si>
    <t>0306-4494881</t>
  </si>
  <si>
    <t>Bashir Ahmed</t>
  </si>
  <si>
    <t>Mohallah Zafer Colony, Gujrat.</t>
  </si>
  <si>
    <t>0315-1093132</t>
  </si>
  <si>
    <t>near sardar scholl muhalla abu alkhair kot abdulmalik town committee tehsil feroz walal distt. Sheikhupura</t>
  </si>
  <si>
    <t>0324-4083061</t>
  </si>
  <si>
    <t xml:space="preserve">Nazir Masih </t>
  </si>
  <si>
    <t>New Abadi Kot kambooh band road Lahore</t>
  </si>
  <si>
    <t>0323-0147326</t>
  </si>
  <si>
    <t>Kharat Ali</t>
  </si>
  <si>
    <t>Village Samsani khoi Johar Town, Lahore</t>
  </si>
  <si>
    <t>0307-8011314</t>
  </si>
  <si>
    <t>Dak Khana Khas, Paji, Tehsil raiwind, District Lahore</t>
  </si>
  <si>
    <t>0324-5237036</t>
  </si>
  <si>
    <t>kashif Masih</t>
  </si>
  <si>
    <t>Hadiyat Masih</t>
  </si>
  <si>
    <t>Raiwind Road, Pajjian P/O Khas Tehsil Raiwind  District Lahore</t>
  </si>
  <si>
    <t>0304-9821090</t>
  </si>
  <si>
    <t>Talib Masih</t>
  </si>
  <si>
    <t>Ali Razaabad, Illaqa Nawab Sahib, Dak Khana Thokar Niaz Baig, Lahore</t>
  </si>
  <si>
    <t>0324-4124744</t>
  </si>
  <si>
    <t>Najma Bibi</t>
  </si>
  <si>
    <t>SALEEM MASIH</t>
  </si>
  <si>
    <t>ARAYEA RAIWIND ROAD LAHORE</t>
  </si>
  <si>
    <t>0323-4459061</t>
  </si>
  <si>
    <t>House No. 753, Mohalla Bilal Town, Dubai Town, Lahore</t>
  </si>
  <si>
    <t>0323-4719788</t>
  </si>
  <si>
    <t>Rauf</t>
  </si>
  <si>
    <t>House No. E-23, Mohalla FGA Church Sultan Park, Lahore</t>
  </si>
  <si>
    <t>0305-4021915</t>
  </si>
  <si>
    <t>Muhammad Rashid</t>
  </si>
  <si>
    <t>0307-0458112</t>
  </si>
  <si>
    <t>Ali Haider Abbas</t>
  </si>
  <si>
    <t>Muhammad Abbas</t>
  </si>
  <si>
    <t>Present : Atichison Society, House No. 133, Mohalla Saif Solar Homes, Near Ibn-Aad Masjid, Lahore
Permanent : Dak Khana Khas, 1 SP Wasawewala, Tehsil Dipalpur, District Okara</t>
  </si>
  <si>
    <t>0324-9453534</t>
  </si>
  <si>
    <t>Malik Zahid Hussain</t>
  </si>
  <si>
    <t>Manzoor Ahmed</t>
  </si>
  <si>
    <t>Kot Fazalabad, Babalyana Autar, Dak Khana Khas, Tehsil Raiwind, Lahore</t>
  </si>
  <si>
    <t>0300-8124387</t>
  </si>
  <si>
    <t>Muhammad Shahid Riaz</t>
  </si>
  <si>
    <t>Fateh Rehan, Dak Khana Khas, Chak 339 GB Mahalam Tehsil Samanduri, District Faisalabad</t>
  </si>
  <si>
    <t>0300-2227327</t>
  </si>
  <si>
    <t>Rehmat Masih</t>
  </si>
  <si>
    <t>Post Office Khas, Sundar, Tehsil &amp; District Lahore</t>
  </si>
  <si>
    <t>0322-4106338</t>
  </si>
  <si>
    <t>Shan Ali</t>
  </si>
  <si>
    <t xml:space="preserve">Abdul Hameed  </t>
  </si>
  <si>
    <t>Dak Khana Raiwind, Jalalpura, Tehsil Raiwind, District Lahore</t>
  </si>
  <si>
    <t>0307-8758130</t>
  </si>
  <si>
    <t>Shugufta Begam</t>
  </si>
  <si>
    <t>House no. 1212/52, Ravi Muhalla, Sumandri, Distt. Faisalabad</t>
  </si>
  <si>
    <t>0309-4360091</t>
  </si>
  <si>
    <t>Syed Waheed Abbas Naqvi</t>
  </si>
  <si>
    <t>Syed Iftikhare Hussain Naqvi</t>
  </si>
  <si>
    <t>H# 10-C Jaffria colony Rizwan Park Band Road Lahore</t>
  </si>
  <si>
    <t>0308-8544116</t>
  </si>
  <si>
    <t xml:space="preserve">Zaheer Asgher </t>
  </si>
  <si>
    <t>ASGHAR ALI</t>
  </si>
  <si>
    <t>HOUSE # 245 BLOCK C SHER SHAH COLONY RAIWIND ROAD LAHORE</t>
  </si>
  <si>
    <t>0321-5731301</t>
  </si>
  <si>
    <t xml:space="preserve">Zahoor Rehman </t>
  </si>
  <si>
    <t>ABDUL REHMAN</t>
  </si>
  <si>
    <t>RAIWIND ROAD LAHORE DUBAI TOWN SHER SHAH COLONY HOUSE #532 D LAHORE</t>
  </si>
  <si>
    <t>0300-4919524</t>
  </si>
  <si>
    <t>Majeed Masih</t>
  </si>
  <si>
    <t>Badshahi Road, Mohallah Cristian Colony , Gujrat.</t>
  </si>
  <si>
    <t>0343-6375049</t>
  </si>
  <si>
    <t>Tanveer</t>
  </si>
  <si>
    <t>Dakkhana Kotli loharan Magharbi, Bholan Wala, Sialkot</t>
  </si>
  <si>
    <t>0322-5941170</t>
  </si>
  <si>
    <t xml:space="preserve">Muhammad saleem </t>
  </si>
  <si>
    <t>Sidrah Khurd, Dakhkhana Chaprar, Sialkot</t>
  </si>
  <si>
    <t>0343-7250365</t>
  </si>
  <si>
    <t>Chowk Data Zaid k Dak Khana, Qilla Color Wala, District Sialkot</t>
  </si>
  <si>
    <t>0333-4098691</t>
  </si>
  <si>
    <t>Ghulam Abbas</t>
  </si>
  <si>
    <t>Jind Wadda</t>
  </si>
  <si>
    <t>Ward # 8 , Mohalla Chichanwala, Taunsa, District DG Khan</t>
  </si>
  <si>
    <t>0336-8243858</t>
  </si>
  <si>
    <t>Mohalla Nazimabad, Taunsa, District Dera Ghazi Khan</t>
  </si>
  <si>
    <t>0331-7757398</t>
  </si>
  <si>
    <t>Muzamil Saeed</t>
  </si>
  <si>
    <t>Mohalla Shamali Taunsa , District Dera Ghazi Khan</t>
  </si>
  <si>
    <t>0331-8127477</t>
  </si>
  <si>
    <t>Altaf Hussain</t>
  </si>
  <si>
    <t xml:space="preserve">Syed Muhammad  </t>
  </si>
  <si>
    <t>Gadi Janoobi, Dak Khana Sogar, Tehsil Taunsa, District DG Khan</t>
  </si>
  <si>
    <t>0333-8113007</t>
  </si>
  <si>
    <t>Shafique Ahmad</t>
  </si>
  <si>
    <t>P.O Khar, Fort Munro, Gagan Thal, Tehsil Koh Suleman, District D.G Khan</t>
  </si>
  <si>
    <t>0330-6266279</t>
  </si>
  <si>
    <t>House # 1119/122, Mohalla Khwajgan, Taunsa, District Dera Ghazi Khan</t>
  </si>
  <si>
    <t>0333-6022325</t>
  </si>
  <si>
    <t>Mohalla Jattan Wala Taunsa Dera Ghazi Khan</t>
  </si>
  <si>
    <t>0336-6486415</t>
  </si>
  <si>
    <t>Ghulam Siddique</t>
  </si>
  <si>
    <t>Sardar Garh, Tehsil &amp; District Rahim Yar Khan</t>
  </si>
  <si>
    <t>0305-3966246</t>
  </si>
  <si>
    <t>Yaqoob Ali</t>
  </si>
  <si>
    <t>0334-6699970</t>
  </si>
  <si>
    <t>Irfan Ishaq</t>
  </si>
  <si>
    <t>House No. 4, Street No. 14 B, Mohalla Gulbahar Colony, College Road, Baghbanpura, Lahore Cantt</t>
  </si>
  <si>
    <t>0309-8636092</t>
  </si>
  <si>
    <t xml:space="preserve">Ghisha Masih </t>
  </si>
  <si>
    <t>H#47 Street # 19, Kot kambooh Bkar Mandi Lahore</t>
  </si>
  <si>
    <t>0301-8020357</t>
  </si>
  <si>
    <t>Shoukat Masih</t>
  </si>
  <si>
    <t>Billo Masih</t>
  </si>
  <si>
    <t>Girja Ghar, Chung, Dak Khana Khas Tehsil o District Lahore</t>
  </si>
  <si>
    <t>0308-4543357</t>
  </si>
  <si>
    <t>Abdul Haq</t>
  </si>
  <si>
    <t xml:space="preserve"> Rana abdul ghuffar </t>
  </si>
  <si>
    <t>ghumman kay daak khaana  baghyana  klaan</t>
  </si>
  <si>
    <t>0300-8007748</t>
  </si>
  <si>
    <t>Abid Shahzad</t>
  </si>
  <si>
    <t>Allah Baksh</t>
  </si>
  <si>
    <t>Punjab University,Mohalla Fateh Singh,Shah Di Khoi,Islamic Centre Lahore</t>
  </si>
  <si>
    <t>0348-4851802</t>
  </si>
  <si>
    <t xml:space="preserve">Bawar Khan </t>
  </si>
  <si>
    <t>Muzarab Shah</t>
  </si>
  <si>
    <t>Thokhar Niaz Baig Mureedwal Lahore</t>
  </si>
  <si>
    <t>0302-4165705</t>
  </si>
  <si>
    <t>Tahir Colony, Seetal Mari, Dak Khana Mumtazabad, Tehsil &amp; District Multan</t>
  </si>
  <si>
    <t>0309-8977918</t>
  </si>
  <si>
    <t>Muhammad Farooq</t>
  </si>
  <si>
    <t>House No. 31, Muhalla Main Bazaar Jhugiyan Nagra Band Raod Lahore</t>
  </si>
  <si>
    <t>0321-4445869</t>
  </si>
  <si>
    <t>IFTIKHAR HUSSAIN</t>
  </si>
  <si>
    <t>THOKAR NIAZ BAIG BHATIA WALA CHOK NEAR MUHAMMADI MASJID THOKAR NIAZ BAIG LAHORE</t>
  </si>
  <si>
    <t>0322-4696372</t>
  </si>
  <si>
    <t>Nadeem Bhatti</t>
  </si>
  <si>
    <t>Muhammad Bashir Bhatti</t>
  </si>
  <si>
    <t>House no 9 street no 12, Mehtab street muhalla Chuhan road, Tehsil Lahore city Distt. Lahore</t>
  </si>
  <si>
    <t>0324-8458012</t>
  </si>
  <si>
    <t>Muazzam Riaz</t>
  </si>
  <si>
    <t xml:space="preserve">RIAZ AHMED </t>
  </si>
  <si>
    <t>STREET NO, 3 MOHALLAH GOBIND PURA, TOBA TEK SINGH</t>
  </si>
  <si>
    <t>0307-7639866</t>
  </si>
  <si>
    <t>Chak 330 JB, Nawabpur, Dak Khana Khas, Tehsil &amp; Distt. Toba Tek Singh</t>
  </si>
  <si>
    <t>0340-1339641</t>
  </si>
  <si>
    <t>Khalida</t>
  </si>
  <si>
    <t>SHAMOON MASIH</t>
  </si>
  <si>
    <t>CHAK NO, 330 JB, TOBA TEK SINGH</t>
  </si>
  <si>
    <t>0300-8796722</t>
  </si>
  <si>
    <t>Saleem Masih</t>
  </si>
  <si>
    <t>YOUSAF MASIH</t>
  </si>
  <si>
    <t>0312-6831330</t>
  </si>
  <si>
    <t>Zeeshan Shamoon</t>
  </si>
  <si>
    <t>Dak Khana Khas, Chak 330 GB Nawab Pur, Tehsil &amp; District Toba Tek Singh</t>
  </si>
  <si>
    <t>0340-0174330</t>
  </si>
  <si>
    <t>Athar Khalil</t>
  </si>
  <si>
    <t>Dak Khana Khas Chak no. 325JB Muhalla Jam, Tehsil o Distt. Toba Tek Singh</t>
  </si>
  <si>
    <t>0306-1569425</t>
  </si>
  <si>
    <t>Manzar Abbas</t>
  </si>
  <si>
    <t>P.O Khas,Chak # 462 ,JB, District Jhang</t>
  </si>
  <si>
    <t>0343-8924462</t>
  </si>
  <si>
    <t>Mazhar Abas</t>
  </si>
  <si>
    <t>Chak no. 761GB Dak Khana Khas Tehsil Kamalia Distt. Toba Tek Singh</t>
  </si>
  <si>
    <t>0302-4291761</t>
  </si>
  <si>
    <t xml:space="preserve">Muhammad Asad </t>
  </si>
  <si>
    <t>Chak # 479 Post Office 481 Tehsil Shor kot Dist Jhang</t>
  </si>
  <si>
    <t>0303-7817826</t>
  </si>
  <si>
    <t>Muhammad Sajjad</t>
  </si>
  <si>
    <t>Street No 12, Khayatabad Colony, Chicha Watni Distt Sahiwal</t>
  </si>
  <si>
    <t>0306-7831565</t>
  </si>
  <si>
    <t>Muzzamil Khalil</t>
  </si>
  <si>
    <t>0344-1443325</t>
  </si>
  <si>
    <t>Nosher Akram</t>
  </si>
  <si>
    <t>Dak Khana Khas, Chak 735 GB, Tehsil Kamaliya, District Toba Tek Singh</t>
  </si>
  <si>
    <t>0308-4667735</t>
  </si>
  <si>
    <t xml:space="preserve">GHULAM MUSTAFA </t>
  </si>
  <si>
    <t>CHAK NO.382, JB TOBA TEK SINGH</t>
  </si>
  <si>
    <t>0341-4654365</t>
  </si>
  <si>
    <t xml:space="preserve">MUHAMMAD ASHRAF </t>
  </si>
  <si>
    <t>Middle (Electrical Diploma 14 Month)</t>
  </si>
  <si>
    <t>STREET NO.7 MOHALLAH BAKSHSI PARK TOBA TEK SINGH</t>
  </si>
  <si>
    <t>0345-0721900</t>
  </si>
  <si>
    <t>Zubaida BIBI</t>
  </si>
  <si>
    <t>BASHARAT MASIH</t>
  </si>
  <si>
    <t>CHAK NO.299 GB, TOBA TEK SINGH</t>
  </si>
  <si>
    <t>0342-3619661</t>
  </si>
  <si>
    <t>Adnan</t>
  </si>
  <si>
    <t>Post Office Arayan Khas, Lahore</t>
  </si>
  <si>
    <t>0320-9467480</t>
  </si>
  <si>
    <t>House#42 Block3 Sector A2 Township Lahore</t>
  </si>
  <si>
    <t>0302-4128168</t>
  </si>
  <si>
    <t>House No. 462, Mohalla Christian Colony,Green Town, Lahore</t>
  </si>
  <si>
    <t>0326-3571427</t>
  </si>
  <si>
    <t>Akram Ashiq</t>
  </si>
  <si>
    <t>Ashiq Masih</t>
  </si>
  <si>
    <t>House No. 467, Mohalla Block No. 3, Sector C, Green Town Lahore</t>
  </si>
  <si>
    <t>0317-3971079</t>
  </si>
  <si>
    <t>Shokat Masih</t>
  </si>
  <si>
    <t>Mohalla Bhatta No 1 New Green Town Lahore</t>
  </si>
  <si>
    <t>0323-4851949</t>
  </si>
  <si>
    <t xml:space="preserve">Amjad  </t>
  </si>
  <si>
    <t>P.O Green Town, Bagaryan Dharam Chand, Tehsil Lahore Cantt, District Lahore</t>
  </si>
  <si>
    <t>0324-4736203</t>
  </si>
  <si>
    <t>Hanif Masih</t>
  </si>
  <si>
    <t>House # 142 Muhala Block 3 Sector D-1 Gareen Town Lahore</t>
  </si>
  <si>
    <t>0302-5271069</t>
  </si>
  <si>
    <t>Faqeer Muhammad</t>
  </si>
  <si>
    <t>Partab Garh, Waa Adhan, Post Office Khas, Tehsil Pattoki District Kasur</t>
  </si>
  <si>
    <t>0326-4543976</t>
  </si>
  <si>
    <t>House No. 35-D, Mohalla Hakim Town Bagriyan, Green Town Lahore</t>
  </si>
  <si>
    <t>0302-4557058</t>
  </si>
  <si>
    <t>Muhammad Faizan</t>
  </si>
  <si>
    <t>House No. 453, Block 3, Mohalla Sector D1, Green Town Lahore</t>
  </si>
  <si>
    <t>0307-4069661</t>
  </si>
  <si>
    <t xml:space="preserve">Muhammad Majeed </t>
  </si>
  <si>
    <t>Muhammad Jabbar</t>
  </si>
  <si>
    <t>House No. 144, Mohalla Block 5, Sector C 2, Green Town Lahore</t>
  </si>
  <si>
    <t>0308-4145140</t>
  </si>
  <si>
    <t>Muhammad Salman</t>
  </si>
  <si>
    <t>House No. 673, Mohalla Block No. 3, Sector C2 Township, Lahore</t>
  </si>
  <si>
    <t>0301-1232665</t>
  </si>
  <si>
    <t>House No. 40, Street No. 3, Mohalla Gojra Town, Green Town, Lahore</t>
  </si>
  <si>
    <t>0304-1492774</t>
  </si>
  <si>
    <t>Mumtaz Bibi</t>
  </si>
  <si>
    <t>Husband (Ali Shair)</t>
  </si>
  <si>
    <t>Chah Lakhnan Wala Jora, P.O Pakpattan</t>
  </si>
  <si>
    <t>0308-4018715
0301-6089349</t>
  </si>
  <si>
    <t>House #  37, Street # 19, Mohalla Ghafoor Park, Koat Kambooh Khurd, Bakrmandi, Lahore</t>
  </si>
  <si>
    <t>0324-4897416</t>
  </si>
  <si>
    <t>ashiq masih</t>
  </si>
  <si>
    <t>ilaaqa nawab sab ali raza abad</t>
  </si>
  <si>
    <t>0303-6077464</t>
  </si>
  <si>
    <t>Sikandar Javed</t>
  </si>
  <si>
    <t>Ashiq Javed</t>
  </si>
  <si>
    <t>House No. 234, Street No. 2, Mohalla Marium Colony Green Town Lahore</t>
  </si>
  <si>
    <t>0323-4788429</t>
  </si>
  <si>
    <t>Madina Colony, Mohalla Loharan Wala Khu, Multan Road Lahore</t>
  </si>
  <si>
    <t>0303-4497508</t>
  </si>
  <si>
    <t>Fazeel Ahmad Khan</t>
  </si>
  <si>
    <t>Shakeel Ahmad</t>
  </si>
  <si>
    <t>Mohalla Koat Bahaal Khan, Raiwind, Tehsil &amp; District Lahore</t>
  </si>
  <si>
    <t>0300-1881819</t>
  </si>
  <si>
    <t>Ghulam Murtaza</t>
  </si>
  <si>
    <t>Post Office Hujra Shah Makeem, Dhol Chohar, Tehsil Depalpur, Dist. Okara</t>
  </si>
  <si>
    <t>0309-8804611</t>
  </si>
  <si>
    <t>Malik Shahid Hussain</t>
  </si>
  <si>
    <t>Satto Katla P/O Ali Raza Abad, Lahore</t>
  </si>
  <si>
    <t>0300-4031896</t>
  </si>
  <si>
    <t>Shujaat Ali</t>
  </si>
  <si>
    <t>House No.134, Muhalla Block 11, Township Sector B1, Lahore</t>
  </si>
  <si>
    <t>0323-7687702</t>
  </si>
  <si>
    <t>Mohallah Samsani Khui Johar Town Lahore</t>
  </si>
  <si>
    <t>0306-4414399</t>
  </si>
  <si>
    <t>Muhammad Asim</t>
  </si>
  <si>
    <t>House#121 Block 11 B-1 Township, Lahore</t>
  </si>
  <si>
    <t>0323-4318464</t>
  </si>
  <si>
    <t>Muhammad Saleem Gull</t>
  </si>
  <si>
    <t>Present: Street No. 8, Mohalla Babar Chowk Chungi Amarsadhu, Lahore
Permanent: Mandi Usmanwala Dak Khana Khas, Kasur</t>
  </si>
  <si>
    <t>0311-7374822</t>
  </si>
  <si>
    <t>Muhammad Hamid Liaqat</t>
  </si>
  <si>
    <t>H # 2640-F, Mohalla Kocha Masoom Shah Androon Masti Gate Lahore</t>
  </si>
  <si>
    <t>0316-4015798</t>
  </si>
  <si>
    <t>Pajian P/O Khas, Raiwind, District Lahore</t>
  </si>
  <si>
    <t>0306-4435527
0303-4268143</t>
  </si>
  <si>
    <t xml:space="preserve">Muhammad Umer </t>
  </si>
  <si>
    <t>Muhammad Mukhtar Ahmad</t>
  </si>
  <si>
    <t>House No.15, Block 11, Muhalla Block 1, Sector A-1, Township Lahore</t>
  </si>
  <si>
    <t>0307-5688980</t>
  </si>
  <si>
    <t>Nadia</t>
  </si>
  <si>
    <t>Father:Faqeer Hussain</t>
  </si>
  <si>
    <t>Taqi Nagar, SherGarh, Dak Khana, Tehsil Depalpur, Distt. Okara</t>
  </si>
  <si>
    <t>0307-5659878</t>
  </si>
  <si>
    <t>Nazim Ali</t>
  </si>
  <si>
    <t>Muhalla Matam, Thokar Niaz baig, Lahore</t>
  </si>
  <si>
    <t>0305-5796938</t>
  </si>
  <si>
    <t>Rizwan Tanveer</t>
  </si>
  <si>
    <t>Tanveer Safdar</t>
  </si>
  <si>
    <t>H # 229,Block 5, Mohalla Sector D 2 Green Town, Lahore</t>
  </si>
  <si>
    <t>0323-0446134</t>
  </si>
  <si>
    <t>Sheharyar</t>
  </si>
  <si>
    <t>Muhammad Hassan Zuberi</t>
  </si>
  <si>
    <t>Block L,  Mohalla Sabzazaar Liaqat Chowk, Lahore</t>
  </si>
  <si>
    <t>0307-4966786</t>
  </si>
  <si>
    <t>Usama Hassan</t>
  </si>
  <si>
    <t>Kotli Raye Abu Bakr, Post Office Raja Jang, District Kasur</t>
  </si>
  <si>
    <t>0319-1516396</t>
  </si>
  <si>
    <t>Waqas Ahmad</t>
  </si>
  <si>
    <t>House No. 79, Mohalla Bahal Singh, Near Railway Station, Raiwind, Tehsil &amp; District Lahore</t>
  </si>
  <si>
    <t>0317-4163004</t>
  </si>
  <si>
    <t>Yasmeen BiBi</t>
  </si>
  <si>
    <t>Muhammad Abbas Alvi</t>
  </si>
  <si>
    <t>Meerkot Dak khana khas, Tehsil Coniyan Disst. Kasur</t>
  </si>
  <si>
    <t>0305-4113986</t>
  </si>
  <si>
    <t>Afaq Ahmad</t>
  </si>
  <si>
    <t>Chak # 77 SB, Dak Khana Bhagatan Wala, Tehsil &amp; District Sargodha</t>
  </si>
  <si>
    <t>0321-8303077</t>
  </si>
  <si>
    <t>Sagheer Iqbal</t>
  </si>
  <si>
    <t>Vehari</t>
  </si>
  <si>
    <t>Present: House No.315, Street No. 2,Mohalla Muslim Colony, Haroonabad, District Bahawalnagar
Permanent : Dak Khana Khas, Chak No. 025/3 R Tehsil Haroonabad, District Bahawalnagar</t>
  </si>
  <si>
    <t>0333-1878152</t>
  </si>
  <si>
    <t>Adil Cical</t>
  </si>
  <si>
    <t>Cical Gill</t>
  </si>
  <si>
    <t>Club road Muhallah Chirtian Colony D-Block Vehari</t>
  </si>
  <si>
    <t>0301-3003013</t>
  </si>
  <si>
    <t>Fazal-ur-Rehman</t>
  </si>
  <si>
    <t>Hafiz Muhammad Shahbaz</t>
  </si>
  <si>
    <t>Gulhari Dak Khana Ashraf Shah, Tehsil Melsi, District Vehari</t>
  </si>
  <si>
    <t>0300-3548422</t>
  </si>
  <si>
    <t>MUHAMMAD ANWER</t>
  </si>
  <si>
    <t>NEAR FISH FORUM, HOUSE NO. 3, ST No. 3, MUHALLA ANWRABAD, VEHARI.</t>
  </si>
  <si>
    <t>0305-8714048</t>
  </si>
  <si>
    <t>Khursheed Imran</t>
  </si>
  <si>
    <t>MUMTAZ IMRAN</t>
  </si>
  <si>
    <t>BASTI HAJI ALI MUHAMMAD CHAK NO 47/WB, VEHARI.</t>
  </si>
  <si>
    <t>0300-6465439</t>
  </si>
  <si>
    <t>Muhammad Aqib</t>
  </si>
  <si>
    <t>Zahoor Ahmad</t>
  </si>
  <si>
    <t>Chak no. 65WB Dak Khana Khas Tehsil &amp; District Vehari</t>
  </si>
  <si>
    <t>0305-6163719</t>
  </si>
  <si>
    <t>Muhammad Naeem Tariq</t>
  </si>
  <si>
    <t>Muhammad Tariq Mujahid</t>
  </si>
  <si>
    <t>Chak No. 65/WB, Tehsil &amp; District Vehari</t>
  </si>
  <si>
    <t>0305-4196044</t>
  </si>
  <si>
    <t>Saqlain Ghaffar</t>
  </si>
  <si>
    <t>Abdul Ghaffar Khan</t>
  </si>
  <si>
    <t>Street No. 1, Muhammad Pura Jattan, Baghbanpura Lahore</t>
  </si>
  <si>
    <t>0302-4604149</t>
  </si>
  <si>
    <t>Muhammad Parveez</t>
  </si>
  <si>
    <t>House No. 410-LDA, Street no 2, Muhalla Gopal Nagar, Gulberg 3, Lahore</t>
  </si>
  <si>
    <t>0302-5386485</t>
  </si>
  <si>
    <t>Band road ghurb dakkhana babu sabu lahore</t>
  </si>
  <si>
    <t>0347-2416405</t>
  </si>
  <si>
    <t>Mubarik Masih</t>
  </si>
  <si>
    <t>Chak 43 Shamali,  Ganyanwala, Dak Khana Khas, Tehsil o District Sargodha</t>
  </si>
  <si>
    <t>0322-0846290</t>
  </si>
  <si>
    <t>Saif Masih</t>
  </si>
  <si>
    <t>Shahzad Bashir</t>
  </si>
  <si>
    <t>Present: Mohalla Kachi Abadi Sodiwal band Road, Lahore
Chak No. 39, Awan Dak Khana Khas, Pattoki, District Kasur</t>
  </si>
  <si>
    <t>0322-4208390</t>
  </si>
  <si>
    <t>Sajjad Masih</t>
  </si>
  <si>
    <t>Gani Masih</t>
  </si>
  <si>
    <t>Noor Colony, Ganiyan Wala, Chak 43 shumali, Dak Khana Block D, Settelite Town, Sargodha</t>
  </si>
  <si>
    <t>0303-7162909</t>
  </si>
  <si>
    <t>Hafiz Muhammad Adnan</t>
  </si>
  <si>
    <t>Gulnar Colony , Shah Fareed Park, House No 10, Lahore</t>
  </si>
  <si>
    <t>0302-4465525</t>
  </si>
  <si>
    <t>Imtiaz Ahmad</t>
  </si>
  <si>
    <t>Noor Ahmad</t>
  </si>
  <si>
    <t>House No. 71-B, Mohalla Gulgasht Colony Rustam Park, Multan Road Lahore</t>
  </si>
  <si>
    <t>0322-4242447</t>
  </si>
  <si>
    <t>Mansab Ali</t>
  </si>
  <si>
    <t>Present : House No. 5-C, Mohalla Shadman Market GR 3,  Lahore
Permanent : Dak Khana Pakpattan, Chak No. 32 SP Tehsil &amp; District Pakpattan</t>
  </si>
  <si>
    <t>0340-6197935</t>
  </si>
  <si>
    <t>Muhammad Sadique</t>
  </si>
  <si>
    <t>House # 30, street # 5, muhala baba shah kamal mirza chowk ashiq abad lahore</t>
  </si>
  <si>
    <t>0324-1049483</t>
  </si>
  <si>
    <t>Muhammad Hamid</t>
  </si>
  <si>
    <t>Naseer Ahmad</t>
  </si>
  <si>
    <t>House no 34/12, Muhalla Garden Block, new garden town lahore</t>
  </si>
  <si>
    <t>0323-1436571</t>
  </si>
  <si>
    <t>Muhammad Hamza Butt</t>
  </si>
  <si>
    <t>Muhammad Ramzan Butt</t>
  </si>
  <si>
    <t>Dak Khan Bata Pur, Dograe Kalan, Tehsil Shalimar, District Lahore</t>
  </si>
  <si>
    <t>0303-2222398</t>
  </si>
  <si>
    <t>Shahid Hussain</t>
  </si>
  <si>
    <t>Firdous Ali</t>
  </si>
  <si>
    <t>Nil Edcuation</t>
  </si>
  <si>
    <t>Present : H-20, Mohalla Govt Central Colony, Wahdat Road Lahore</t>
  </si>
  <si>
    <t>0345-2851849</t>
  </si>
  <si>
    <t>0312-8540666</t>
  </si>
  <si>
    <t>Muhammad Abdulmateen Subhani</t>
  </si>
  <si>
    <t>Syed Muhammad Abbas Shah</t>
  </si>
  <si>
    <t>House No. 103, Mohalla Nawazish Ali road, Link Flamming Road, Lahore</t>
  </si>
  <si>
    <t>0324-9899036</t>
  </si>
  <si>
    <t xml:space="preserve">Muhammad Ahmad  </t>
  </si>
  <si>
    <t>0302-4898875</t>
  </si>
  <si>
    <t>Muhammad Kaleem</t>
  </si>
  <si>
    <t xml:space="preserve">Muhammad Saleem  </t>
  </si>
  <si>
    <t>Arif Wala</t>
  </si>
  <si>
    <t>Chak N0. 59, EB Dak Khana Khas, Tehsil Arif Wala, District Pakpattan</t>
  </si>
  <si>
    <t>0305-6315207</t>
  </si>
  <si>
    <t>Ali Ahmad</t>
  </si>
  <si>
    <t>Muhammad Jamil</t>
  </si>
  <si>
    <t>Daily Wages/Stopgap</t>
  </si>
  <si>
    <t>Inter</t>
  </si>
  <si>
    <t>Chak No. 93, EB, Dak Khana Khas, Tehsil Arifwala, District Pakpattan</t>
  </si>
  <si>
    <t>0306-1231193</t>
  </si>
  <si>
    <t>Muhammad Ahsan</t>
  </si>
  <si>
    <t>Hamid Mukhtar</t>
  </si>
  <si>
    <t>Chak No. 153 EB, Dak Khana Khas, Tehsil Arifwala, District Pakpattan</t>
  </si>
  <si>
    <t>0329-7231853</t>
  </si>
  <si>
    <t>Muhammad Rashid Javaid</t>
  </si>
  <si>
    <t>Amanat Ali</t>
  </si>
  <si>
    <t>Dak Khana Khas, Chak No. 59 EB, Tehsil Arifwala, District Pakpattan</t>
  </si>
  <si>
    <t>0332-5959459</t>
  </si>
  <si>
    <t>Rana Ali Hannan</t>
  </si>
  <si>
    <t>Muhammad Raheel</t>
  </si>
  <si>
    <t>Dak Khana Khas, Chak No. 19 EB, Sikandarabad, Tehsil Arifwala, District Pakpattan</t>
  </si>
  <si>
    <t>0307-9861119</t>
  </si>
  <si>
    <t>Nasir Mehmood Babar</t>
  </si>
  <si>
    <t>MSc. Physics</t>
  </si>
  <si>
    <t>Dak Khana Jamleera, Chak No. 36 KB, Tehsil Burewala, District Vehari</t>
  </si>
  <si>
    <t>0303-9465963</t>
  </si>
  <si>
    <t>Mureed Hussain</t>
  </si>
  <si>
    <t>Lal Muhammad</t>
  </si>
  <si>
    <t>House No. 3576, Street No. 5, Mohalla Barkatpura, Faisalabad</t>
  </si>
  <si>
    <t>0313-7209673</t>
  </si>
  <si>
    <t>Ijaz Hussain</t>
  </si>
  <si>
    <t>Niaz Muhammad Khan</t>
  </si>
  <si>
    <t>Dak Khana Khas, Arifwala, Chak No. 59, EB, Tehsil Arifwala, District Pakpattan</t>
  </si>
  <si>
    <t>0302-3586100</t>
  </si>
  <si>
    <t>0306-5305670</t>
  </si>
  <si>
    <t>Chak No. 147 EB, Dak Khana Khas, Tehsil Arifwala, District Pakpattan</t>
  </si>
  <si>
    <t>0300-4966147</t>
  </si>
  <si>
    <t>Muhammad Waqas Khalid</t>
  </si>
  <si>
    <t>Khalid Mehmood Saqi</t>
  </si>
  <si>
    <t>Mohalla Eid Gah, Bahoota Road, Arifwala, District Pakpattan</t>
  </si>
  <si>
    <t>0305-1800079</t>
  </si>
  <si>
    <t>Rana Moeez Ahmad</t>
  </si>
  <si>
    <t>Muhammad Adeeb</t>
  </si>
  <si>
    <t>0329-7116593</t>
  </si>
  <si>
    <t xml:space="preserve">Asad Raza </t>
  </si>
  <si>
    <t>Muhammad Suba</t>
  </si>
  <si>
    <t>Near Masjid Qabristan Wali, Manowal Dak Khana, Lahore</t>
  </si>
  <si>
    <t>0322-4151577</t>
  </si>
  <si>
    <t>Mubashir Ali Saeed</t>
  </si>
  <si>
    <t xml:space="preserve">M.Sc  </t>
  </si>
  <si>
    <t>House No. 511, Street No. 7, Muslim Bin Aqeel Colony, Sahiwal</t>
  </si>
  <si>
    <t>0300-9455804</t>
  </si>
  <si>
    <t>Adeel Masih</t>
  </si>
  <si>
    <t>Ghafoor Masih</t>
  </si>
  <si>
    <t>Mohalla Dubai Town, Bilal Town Raiwind Road, Lahore</t>
  </si>
  <si>
    <t>0300-5404947</t>
  </si>
  <si>
    <t>Samsani Khoi, Dak Khana New Campus, Lahore</t>
  </si>
  <si>
    <t>0304-4160028</t>
  </si>
  <si>
    <t>Muhammad Hassnain</t>
  </si>
  <si>
    <t>Babar Hussain</t>
  </si>
  <si>
    <t>Mohalla Malik Shaer, Mohammad Hanjarwal, Multan Road Lahore</t>
  </si>
  <si>
    <t>0300 4602387</t>
  </si>
  <si>
    <t>Mohalla Panjgrain Chung , Dak Khana Khas, Lahore</t>
  </si>
  <si>
    <t>0302-4479153</t>
  </si>
  <si>
    <t>Muhammad Raheem</t>
  </si>
  <si>
    <t xml:space="preserve">Present House No. 187-A, Mohalla New Samnabad College Road, Lahore
Permanent: House No. 34/12, Mohalla Garden Town Block, New garden Town Lahore
</t>
  </si>
  <si>
    <t>0323-6103869</t>
  </si>
  <si>
    <t>Chaudhry Muhammad Sharif</t>
  </si>
  <si>
    <t>Associate Degree in Business Management</t>
  </si>
  <si>
    <t>Mohalla Qilla Taray, Dak Khana Khas, Manga Utar, Tehsil Raiwind, District Lahore</t>
  </si>
  <si>
    <t>0305-2016570</t>
  </si>
  <si>
    <t>Chah Leliyan, Dak Khana Khas, Bhagyana Kalam, Tehsil Pattoki, District Kasur</t>
  </si>
  <si>
    <t>0307-5968791</t>
  </si>
  <si>
    <t>Dawood Habib</t>
  </si>
  <si>
    <t>Habib Masih Chaudhary</t>
  </si>
  <si>
    <t>Mohalla Chah Janewala Pakki Thathi, Samanabad Lahore</t>
  </si>
  <si>
    <t>0323-9942664</t>
  </si>
  <si>
    <t>Muhammad Waseem Azam</t>
  </si>
  <si>
    <t>Azam Saeed</t>
  </si>
  <si>
    <t>Dak Khana Khas, Chak No. 047/3 R, Tehsil Haroonabad, District Bahawalnagar</t>
  </si>
  <si>
    <t>0328-7462268</t>
  </si>
  <si>
    <t>Muhammad Dil Nawaz</t>
  </si>
  <si>
    <t>Shahbaz Khan</t>
  </si>
  <si>
    <t>Basti Bhatta Khu Dak Khana Basti Shadi, Muhammad Nawaz Wassa, Tehsil Sadiqabad, District Rahim Yar Khan</t>
  </si>
  <si>
    <t>0300-1268272</t>
  </si>
  <si>
    <t>Muhammad Tahir Rasheed</t>
  </si>
  <si>
    <t>Chak No. 047/3 R, Tehsil Haroonabad, Dak Khana Chak No. 58/4 R, Tehsil Haroonabad, District Bahawalnagar</t>
  </si>
  <si>
    <t>0325-6997064</t>
  </si>
  <si>
    <t>Saad Ullah</t>
  </si>
  <si>
    <t>Zahid Hussain Arbi</t>
  </si>
  <si>
    <t>Bachelor of Information Technology</t>
  </si>
  <si>
    <t>Chah Saddowala, Dak Khana Jampur, Basti Waja District Rajanpur</t>
  </si>
  <si>
    <t>0314-4355785</t>
  </si>
  <si>
    <t>Nauman Shafiq</t>
  </si>
  <si>
    <t>Shafiq Ahmed</t>
  </si>
  <si>
    <t>House No. 108-A Alkhair Town Near Toyota Royal Sultanpur Rahim Yar Khan</t>
  </si>
  <si>
    <t>0300-3681053</t>
  </si>
  <si>
    <t>Rais Bilal Ahmad</t>
  </si>
  <si>
    <t>Musheer Ahmad</t>
  </si>
  <si>
    <t>0300-1483859</t>
  </si>
  <si>
    <t>Shahid Masih</t>
  </si>
  <si>
    <t>Amanwal Masih</t>
  </si>
  <si>
    <t>Janobi Dak Khana Chak No. 13 BC, Chak No. 12 BC, Tehsil &amp; District Bahawalpur</t>
  </si>
  <si>
    <t>0305-3632878</t>
  </si>
  <si>
    <t>Basti Chah Tibba Wala Muhammad Nawaz Wassa,  Dak Khana Basti Shadi, Tehsil Sadiqabad, District Rahim Yar Khan</t>
  </si>
  <si>
    <t>0327-3567307</t>
  </si>
  <si>
    <t>Site Supervisor</t>
  </si>
  <si>
    <t>Chak Gulab Ali, Dak Khana Khas, Ratti Ram Pura, Tehsil &amp; District Bahawalnagar</t>
  </si>
  <si>
    <t>0302-4860332</t>
  </si>
  <si>
    <t>Umar Akram</t>
  </si>
  <si>
    <t>Inter as per CV</t>
  </si>
  <si>
    <t>Appara Society Raiwind Road Lahore</t>
  </si>
  <si>
    <t>0320-6531884</t>
  </si>
  <si>
    <t>Rehan Ali Shah</t>
  </si>
  <si>
    <t>Imdad Ali Shah</t>
  </si>
  <si>
    <t>House No. 291-E, Street No.9, Mohalla Madina Colony Walton Road Lahore</t>
  </si>
  <si>
    <t>0300-9403865</t>
  </si>
  <si>
    <t>Khuda Bakhsh</t>
  </si>
  <si>
    <t>Dak Khana Dunyapur, Chak No. 18 MtEHSIL Dipalpur, District Lodhran</t>
  </si>
  <si>
    <t>0301-4671486</t>
  </si>
  <si>
    <t>Chak No. 17, M., Dak Khana Dunyapur, District Lodhran</t>
  </si>
  <si>
    <t>0306-1764317</t>
  </si>
  <si>
    <t>Shoaib</t>
  </si>
  <si>
    <t>Habib Masih</t>
  </si>
  <si>
    <t>Street No.4, Mohalla Christian Colony Salamat Pura Lahore</t>
  </si>
  <si>
    <t>0309-4628635</t>
  </si>
  <si>
    <t>Wasim</t>
  </si>
  <si>
    <t xml:space="preserve">Bashir  </t>
  </si>
  <si>
    <t>Near Pahari, Mohalla Baray Mian, Mughalpura Lahore</t>
  </si>
  <si>
    <t>0324-4212760</t>
  </si>
  <si>
    <t>Farhan Aziz</t>
  </si>
  <si>
    <t>Abdul Azir</t>
  </si>
  <si>
    <t>Present: House No. 8, Street No.3, Near Mansha Nambardar, Attari Saroba New Pind Lahore
Permanent: Raye Khurd, Dak Khana Mustafabad, Lkilyani Kasur</t>
  </si>
  <si>
    <t>0300-1315892</t>
  </si>
  <si>
    <t>Junaid Aslam</t>
  </si>
  <si>
    <t xml:space="preserve">Muhammad Aslam  </t>
  </si>
  <si>
    <t>House No. 89, Mohalla Peer Ghazi Road, Chowk Baba Azam, Ichra Lahore</t>
  </si>
  <si>
    <t>0324-4525489</t>
  </si>
  <si>
    <t>Multan Road, Dak Khana Khas, Mohlanwal, Tehsil Raiwind, District Lahore</t>
  </si>
  <si>
    <t>0302-6905316</t>
  </si>
  <si>
    <t>Muhammad Talha Kaleem</t>
  </si>
  <si>
    <t>Muhammad Kaleem Ullah</t>
  </si>
  <si>
    <t>Present: House No. 240/C, Mohalla Guldasht Town Zarar Shaheed Road Lahore
Mohalla Pehlwan Khail, Dak Khana Khas, Tehsil &amp; District Mianwali</t>
  </si>
  <si>
    <t>0313-7770396</t>
  </si>
  <si>
    <t>House No. 132/A Singhpura Mor, Bhagbanpura Mor GT Road Lahore</t>
  </si>
  <si>
    <t>0329-1730064</t>
  </si>
  <si>
    <t xml:space="preserve">Anas </t>
  </si>
  <si>
    <t>Dak Khana Tibba Naina, Shah Alam Digar, Tehsil Kalur Kot, District Bhakkar</t>
  </si>
  <si>
    <t>0316-6032684</t>
  </si>
  <si>
    <t>Zohaib Hassan</t>
  </si>
  <si>
    <t>Mureed Khan</t>
  </si>
  <si>
    <t>Dak Khana Tibba Nina, Shah Alam Digar, Tehsil Kalor Kot, District Bhakkar</t>
  </si>
  <si>
    <t>0341-3442156</t>
  </si>
  <si>
    <t>Tanveer Abbas</t>
  </si>
  <si>
    <t>House No. 43/14 Tibba Janobi, Near Madni Masjid, Dhandlawala Bhakkar</t>
  </si>
  <si>
    <t>0348-7761973</t>
  </si>
  <si>
    <t>Safeer Abbas</t>
  </si>
  <si>
    <t xml:space="preserve">House No. 218, Mohalla Kumharanwala  Bhakkar </t>
  </si>
  <si>
    <t>0346-2347251</t>
  </si>
  <si>
    <t>Mukhaifa Fatima</t>
  </si>
  <si>
    <t>Dak Khana Khas, Dewal, Tehsil Bhalwal, District Sargodha</t>
  </si>
  <si>
    <t>0300-3371968</t>
  </si>
  <si>
    <t>House No. 106, Ward No. 19, Ajnala Road, Alfazal Town Bhalwal</t>
  </si>
  <si>
    <t>0329-4658599</t>
  </si>
  <si>
    <t>Muhammad Faisal</t>
  </si>
  <si>
    <t>Sufi Muhammad Bashir</t>
  </si>
  <si>
    <t>Street No.6, Mohalla Badipura, Bhalwal, District Sargodha</t>
  </si>
  <si>
    <t>0300-7296479</t>
  </si>
  <si>
    <t>Samina Kousar</t>
  </si>
  <si>
    <t xml:space="preserve">Muhammad Ramzan  </t>
  </si>
  <si>
    <t>Rana Town Mohalla Tahli Wala Bhera, district Sargodha</t>
  </si>
  <si>
    <t>0329-0678750</t>
  </si>
  <si>
    <t>Faisal Khan</t>
  </si>
  <si>
    <t>Eid Muhammad</t>
  </si>
  <si>
    <t>House No. 4, Street No. 9, Mukhtar Colony, Bhalwal, District Sargodha</t>
  </si>
  <si>
    <t>0300-6035965</t>
  </si>
  <si>
    <t>Hamza</t>
  </si>
  <si>
    <t>Muhammad Yasin</t>
  </si>
  <si>
    <t>House No. 3, Street No. 7, Mohalla Alwaqar Town, Bhalwal, District Sargodha</t>
  </si>
  <si>
    <t>0346-4838729</t>
  </si>
  <si>
    <t>Muhamamd Rafique</t>
  </si>
  <si>
    <t>Street No. 9, Mohalla Suleman Pura, Bhalwal District Sargodha</t>
  </si>
  <si>
    <t>0323-6105943</t>
  </si>
  <si>
    <t>Muhammad Nouman</t>
  </si>
  <si>
    <t>Muhamamd Ramzan</t>
  </si>
  <si>
    <t>Street No. 7, Mohalla Manzoor Hayat Colony, Bhalwal, District Sargodha</t>
  </si>
  <si>
    <t>0326-9851912</t>
  </si>
  <si>
    <t>Nasir Fiaz</t>
  </si>
  <si>
    <t>Dak Khana Bhalwal, Chak No. 5 SB, Tehsil Bhalwal District Sargodha</t>
  </si>
  <si>
    <t>0300-6536418</t>
  </si>
  <si>
    <t>Wajid Ali</t>
  </si>
  <si>
    <t>Muhammad Ijaz</t>
  </si>
  <si>
    <t>Dera Ashiq Tilla, Dak Khana Khas, Lilyani, tehsil Kot Momin, district Sargodha</t>
  </si>
  <si>
    <t>0307-1900386</t>
  </si>
  <si>
    <t>Waleed Baig</t>
  </si>
  <si>
    <t>Mirza Sajid Baig</t>
  </si>
  <si>
    <t>House No. 751, Street No.1, Mohalla Sulemanpura, Bhalwal District Sargodha</t>
  </si>
  <si>
    <t>0303-4828407</t>
  </si>
  <si>
    <t>Asif Rasool Bhatti</t>
  </si>
  <si>
    <t>Ghulam Rasool Bhatti</t>
  </si>
  <si>
    <t>Chak No. 10 NB, Dak Khana Khas, Tehsil Bhalwal, District Sargodha</t>
  </si>
  <si>
    <t>0348-1404744</t>
  </si>
  <si>
    <t>Dak Khana Khas, Chak No. 75 SB, Tehsil &amp; District Sargodha</t>
  </si>
  <si>
    <t>0304-1033610</t>
  </si>
  <si>
    <t>Nisar Ahmad</t>
  </si>
  <si>
    <t>Present: House No. 430, Block 4, Bhalwal, District Sargodha
Dak Khana Hakim Khan, chak Misran, Tehsil Bhera, District Sargodha</t>
  </si>
  <si>
    <t>0308-7100374</t>
  </si>
  <si>
    <t>Dost Muhammad</t>
  </si>
  <si>
    <t>Dak Khana Bhera, Zain Pur Tehsil Bhera, District Sargodha</t>
  </si>
  <si>
    <t>0301-5582263</t>
  </si>
  <si>
    <t xml:space="preserve">Muhammad Irtaza </t>
  </si>
  <si>
    <t xml:space="preserve">BBA  </t>
  </si>
  <si>
    <t>Basti Nawan Kot, Dak Khana Khas, Tehsil &amp; District Kot Addu</t>
  </si>
  <si>
    <t>0305-5644334</t>
  </si>
  <si>
    <t>Awais Abbas</t>
  </si>
  <si>
    <t>Dak Khana Khas, Jharyanwala, Tehsil &amp; District Hafizabad</t>
  </si>
  <si>
    <t>0305-4482376</t>
  </si>
  <si>
    <t>Hassan Mujatba</t>
  </si>
  <si>
    <t>Hussain Shah</t>
  </si>
  <si>
    <t>0333-6596988</t>
  </si>
  <si>
    <t>Junaid Sarwar</t>
  </si>
  <si>
    <t>Dak Khana Gugu Mandi Chak No. 199-EB, Tehsil Burewala, District Vehari</t>
  </si>
  <si>
    <t>0334-1767780</t>
  </si>
  <si>
    <t>Muhammad Arslan</t>
  </si>
  <si>
    <t>Muhammad Ashraf Babar</t>
  </si>
  <si>
    <t>Inter as Per C.V</t>
  </si>
  <si>
    <t>Dak Khana Khas, Chak No.66 Denanth, Tehsil Pattoki, Distrct Kasur</t>
  </si>
  <si>
    <t>0314-9473995</t>
  </si>
  <si>
    <t>Subhan Ahmad Amin</t>
  </si>
  <si>
    <t>Dak Khana Chak No. 327 EB, Chak No. 463 EB, Tehsil Burewala, District Vehari</t>
  </si>
  <si>
    <t>0318-4880463</t>
  </si>
  <si>
    <t>Dak Khana Khas, Ghafoor Wah Janoobi, Tehsil Burewala, District Vehari</t>
  </si>
  <si>
    <t>0302-6689202</t>
  </si>
  <si>
    <t>Muhammad Zaim</t>
  </si>
  <si>
    <t>Dak Khana Kuku Chak No. 199 EB Tehsil Burewala, district Vehari</t>
  </si>
  <si>
    <t>0370-4632470</t>
  </si>
  <si>
    <t>Muhammad Sheharyar</t>
  </si>
  <si>
    <t>Shamas ud Din</t>
  </si>
  <si>
    <t>Mohalla Haidery Colony Chung Lahore</t>
  </si>
  <si>
    <t>0307-9292945</t>
  </si>
  <si>
    <t>Sardar Masih</t>
  </si>
  <si>
    <t>Mohalla Basti Qabristan, Aisayianwali, Burewala, District Vehari</t>
  </si>
  <si>
    <t>0308-8641962</t>
  </si>
  <si>
    <t xml:space="preserve">Raj </t>
  </si>
  <si>
    <t>Kachi Abadi, Block O, Burewala, District Vehari</t>
  </si>
  <si>
    <t>0300-0732731</t>
  </si>
  <si>
    <t>Government Education College, Street No.11, Mohalla Samnabad, Tehsil &amp; District Faisalabad</t>
  </si>
  <si>
    <t>0327-4853241</t>
  </si>
  <si>
    <t>Tanzeem Masih</t>
  </si>
  <si>
    <t>Chanan Masih</t>
  </si>
  <si>
    <t>Chicha Watni Road, Mohalla Christian Colony, Burewala, District Vehari</t>
  </si>
  <si>
    <t>0305-2006567</t>
  </si>
  <si>
    <t>Sikandar</t>
  </si>
  <si>
    <t>Chak 231 EB, Dak Khana Khas, Tehsil Burewala, District Vehari</t>
  </si>
  <si>
    <t>0346-8410332</t>
  </si>
  <si>
    <t>Dak Khana Chak Abdullah, Chak No. 002, Gujyani, Tehsil Chishtiyan, District Bahawalnagar
Permanent : Chak Sadiq Nagar, Dak Khana Chak Abdullah Chishtiyan, District Bahawalnagar</t>
  </si>
  <si>
    <t>0302-9753418</t>
  </si>
  <si>
    <t>Present: House No. 9, Iqbal Street Mohalla Islamia Park Pounch Road Lahore
Permanent: Dak Khana Sheikh Fazil, Chak No. 98 EB, Tehsil Burewala District Vehari</t>
  </si>
  <si>
    <t>0300-6917376</t>
  </si>
  <si>
    <t>Rehan Akram</t>
  </si>
  <si>
    <t>Akram Baig</t>
  </si>
  <si>
    <t>Dak Khana Khas, Chak No. 507 EB, Tehsil Burewala, District Vehari</t>
  </si>
  <si>
    <t>0304-6999655</t>
  </si>
  <si>
    <t>0321-6172231</t>
  </si>
  <si>
    <t>Bilal Ilyas Gujar</t>
  </si>
  <si>
    <t>Mohallam Samsani Khoi, New Campus Lahore</t>
  </si>
  <si>
    <t>0311-8541224</t>
  </si>
  <si>
    <t>Boiz Kamran</t>
  </si>
  <si>
    <t>Near POL Company, Dak Khana Khas, Balkasar Tehsil &amp; District Chakwal</t>
  </si>
  <si>
    <t>0313-5693881</t>
  </si>
  <si>
    <t>Musa</t>
  </si>
  <si>
    <t>Stephen</t>
  </si>
  <si>
    <t>House No. BT -2493-C, Mohalla Christian Colony Chakwal</t>
  </si>
  <si>
    <t>0318-7965590</t>
  </si>
  <si>
    <t>Muhammad Junaid</t>
  </si>
  <si>
    <t>Dera Pehlwan Khelanwala, Phobran, Dak Khana Khas Mianwali</t>
  </si>
  <si>
    <t>0301-3121129</t>
  </si>
  <si>
    <t>Aqeel Ittefaq</t>
  </si>
  <si>
    <t>Ittefaq Hussain</t>
  </si>
  <si>
    <t>Diploma in Commerce</t>
  </si>
  <si>
    <t>Chak No. 41 WB, House No. 3, Street No. 1, Mohalla Danewal, Vehari</t>
  </si>
  <si>
    <t>0300-7727919</t>
  </si>
  <si>
    <t>Aneel Masih</t>
  </si>
  <si>
    <t>Younas Masih Gill</t>
  </si>
  <si>
    <t>Baghbanpura, Mohalla Koat Khawaja saeed Dhoopsari, Lahore</t>
  </si>
  <si>
    <t>0321-7248086</t>
  </si>
  <si>
    <t>Ahmad Ali Shair</t>
  </si>
  <si>
    <t>Mohalla Fiaz Colony Baghbanpura, Lahore</t>
  </si>
  <si>
    <t>0324-4919822</t>
  </si>
  <si>
    <t>Maroof Razzaq</t>
  </si>
  <si>
    <t>House No. 1, Street No. 1, Habib Park Mughalpura Lahore</t>
  </si>
  <si>
    <t>0313-1325350</t>
  </si>
  <si>
    <t>Dak Khana Barki, Tehsil &amp; District Lahore</t>
  </si>
  <si>
    <t>0300-0061585</t>
  </si>
  <si>
    <t>Alamgir</t>
  </si>
  <si>
    <t>Lal Khan</t>
  </si>
  <si>
    <t>Dak Khana Khas, Jharianwala, Tehsil &amp; District Hafizabad</t>
  </si>
  <si>
    <t>0313-6472817</t>
  </si>
  <si>
    <t xml:space="preserve">Muhammad Hamza Siddique </t>
  </si>
  <si>
    <t>Associate Degree in Mass Communication</t>
  </si>
  <si>
    <t>House No. 74, Street No. 5, Mohalla Almadina Colony, Alvi Park Jaranwala, District Faisalabad</t>
  </si>
  <si>
    <t>0302-3960110</t>
  </si>
  <si>
    <t>Noman Mehndi</t>
  </si>
  <si>
    <t>Mehndi Hassan Shah</t>
  </si>
  <si>
    <t>Associate Degree in Arts</t>
  </si>
  <si>
    <t>Thatha Karam Shah, Dak Khana Chiniot, Tehsil &amp; District Chiniot</t>
  </si>
  <si>
    <t>0348-6369016</t>
  </si>
  <si>
    <t>Saba Fatima Rehman</t>
  </si>
  <si>
    <t>Husband : Ahmad Rehman</t>
  </si>
  <si>
    <t>Present: House No. 230, Block B, Mohalla EME Defence Housing Authority Lahore</t>
  </si>
  <si>
    <t>0310-5437171</t>
  </si>
  <si>
    <t>Kashif Ali</t>
  </si>
  <si>
    <t>Munawar Ahmed</t>
  </si>
  <si>
    <t>Dak Khana Chiniot Harsa Sheikh Tehsil &amp; District Chiniot</t>
  </si>
  <si>
    <t>Qaiser Ijaz</t>
  </si>
  <si>
    <t>Asghar Ali</t>
  </si>
  <si>
    <t>Thatta Karam Shah, Dak Khana Chiniot, Harsa Sheikh, Tehsil &amp; District Chiniot</t>
  </si>
  <si>
    <t>0305-8356729</t>
  </si>
  <si>
    <t xml:space="preserve">Muhammad Hamza  </t>
  </si>
  <si>
    <t>Chak No. 369, Tehsil Gojra Toba Tek Singh</t>
  </si>
  <si>
    <t>0325-5105420</t>
  </si>
  <si>
    <t>Muhammad Sajjad Ali</t>
  </si>
  <si>
    <t>Abdul Ghani</t>
  </si>
  <si>
    <t>Umsanabad, Near Sadar Chungi, Chiniot</t>
  </si>
  <si>
    <t>0336-7072036</t>
  </si>
  <si>
    <t xml:space="preserve">Muhammad Shahzad </t>
  </si>
  <si>
    <t>Chak No. 369, GB Jodha Nagri Dak Khana Khas, Gojra, District Toba Tek Singh</t>
  </si>
  <si>
    <t>0329-1393145</t>
  </si>
  <si>
    <t>Shahbaz Raza</t>
  </si>
  <si>
    <t xml:space="preserve">Amanat Ali  </t>
  </si>
  <si>
    <t>Dak Khana Khas, Maliyan Kalan, Tehsil &amp; District Sheikhupura</t>
  </si>
  <si>
    <t>0325-0996800</t>
  </si>
  <si>
    <t>0328-6833445</t>
  </si>
  <si>
    <t>Taqweem Zahra</t>
  </si>
  <si>
    <t>Sajid Ali</t>
  </si>
  <si>
    <t>House No. 543, Chowk Shaheed, Mohalla Qasaba, Chiniot</t>
  </si>
  <si>
    <t>Zafar Abbas</t>
  </si>
  <si>
    <t>Shair Muhammad</t>
  </si>
  <si>
    <t>Korala Dak Khana Chiniot</t>
  </si>
  <si>
    <t>0344-6594427</t>
  </si>
  <si>
    <t>Ali Aqil</t>
  </si>
  <si>
    <t>Faisalabad Road, Mohalla Bhutto Colony Chiniot</t>
  </si>
  <si>
    <t>0344-8446510</t>
  </si>
  <si>
    <t>Hakim Ali</t>
  </si>
  <si>
    <t>Dak Khana Muhammadi Shareef, Daro Hatha Khuryan, Tehsil Bhawana, District Chiniot</t>
  </si>
  <si>
    <t>0344-7797516</t>
  </si>
  <si>
    <t>Rana Hassan Iqbal</t>
  </si>
  <si>
    <t>Rana Ghulam Akbar Javed</t>
  </si>
  <si>
    <t>DAE In Electrical Technology</t>
  </si>
  <si>
    <t>House No. 338-F,Bilal Street, Mohalla Wakeelan, Mianwali</t>
  </si>
  <si>
    <t>0301-6510303</t>
  </si>
  <si>
    <t>Khizar Abbas</t>
  </si>
  <si>
    <t>Chowk Azam Layyah (Sahulat on the GO)</t>
  </si>
  <si>
    <t>Dak Khana Hassanabad Thal, Chak No. 98 TDA, Tehsil Karor Lal Eason District Layyah</t>
  </si>
  <si>
    <t>0304-7596404</t>
  </si>
  <si>
    <t>Irshad Ahmad</t>
  </si>
  <si>
    <t>Dak Khana Dagat, Chak No. 110, GB Pandoori Neengaran, Tehsil Jaranwala, District Faisalabad</t>
  </si>
  <si>
    <t>Yasir Ali</t>
  </si>
  <si>
    <t>Ward No. 11, Multan Road Chowk Azam, Tehsil &amp; District Layyah</t>
  </si>
  <si>
    <t>0306-1812605</t>
  </si>
  <si>
    <t>Aftab Daniyal</t>
  </si>
  <si>
    <t>Arif Khan</t>
  </si>
  <si>
    <t>Ward No. 10, Mohalla Eisa Nagri, Chowk Azam, Tehsil &amp; District Layyah</t>
  </si>
  <si>
    <t>0329-7981607</t>
  </si>
  <si>
    <t>Shan Ahtisham</t>
  </si>
  <si>
    <t>Joseph Masih</t>
  </si>
  <si>
    <t>0342-1720866</t>
  </si>
  <si>
    <t>Amir Nawaz</t>
  </si>
  <si>
    <t>Ward No. 11, Mohalla Sadiqabad, Chowk Azam, Tehsil &amp; District Layyah</t>
  </si>
  <si>
    <t>0346-4783805</t>
  </si>
  <si>
    <t>Ward No. 06, Chowk Azam, Tehsil &amp; District Layyah</t>
  </si>
  <si>
    <t>0311-7716505</t>
  </si>
  <si>
    <t>Muhammad Iftikhar</t>
  </si>
  <si>
    <t>Ward No. 17, Basti Baba Noor Muhammad, Chowk Azam, Tehsil &amp; District Layyah</t>
  </si>
  <si>
    <t>0306-1197080</t>
  </si>
  <si>
    <t>Mujahid Iqbal</t>
  </si>
  <si>
    <t>Post Office Chubara, Chak No. 489 TDA, Tehsil Chubara District Layyah</t>
  </si>
  <si>
    <t>0307-4582990</t>
  </si>
  <si>
    <t>Irfan Ahmad</t>
  </si>
  <si>
    <t>Talab saraye, Dak Khana Khas, Manga Otar, Tehsil &amp; District Lahore</t>
  </si>
  <si>
    <t>0328-9432512</t>
  </si>
  <si>
    <t>Khalid Anwar</t>
  </si>
  <si>
    <t>Muhammad Anwar Ali</t>
  </si>
  <si>
    <t>Mohalla Chung, Panjgrain, Multan Road, Lahore</t>
  </si>
  <si>
    <t>0305-5655310</t>
  </si>
  <si>
    <t>Amjad</t>
  </si>
  <si>
    <t>Sohan Masih</t>
  </si>
  <si>
    <t>Present: House No. 62, Street No. 17, Islampura, Mohalla Machis Factory Shahdara Lahore
Permanent: House No. 17, Mohalla Islam Pura, Jinnah Road Shahdara Bagh Lahore</t>
  </si>
  <si>
    <t>0322-8079230</t>
  </si>
  <si>
    <t>Michal Masih</t>
  </si>
  <si>
    <t>House No. 74/E-19, Mohalla taj Park Amir Road Shadbagh Lahore</t>
  </si>
  <si>
    <t>0325-8105430</t>
  </si>
  <si>
    <t>Jabar Ali</t>
  </si>
  <si>
    <t>Haideri Colony Chung, Dak Khana Khas, Tehsil Raiwind, District Lahore</t>
  </si>
  <si>
    <t>0324-9472975</t>
  </si>
  <si>
    <t>Qasim</t>
  </si>
  <si>
    <t>Shaukat Masih</t>
  </si>
  <si>
    <t>House No. 14, Mohalla Band Road Dholanwal Lahore</t>
  </si>
  <si>
    <t>0325-7733189</t>
  </si>
  <si>
    <t>Salman</t>
  </si>
  <si>
    <t>Liaqat Mukhtar Masih</t>
  </si>
  <si>
    <t>House No. 72, Street No. 5, Mohalla Qaiser Town Shahdara Lahore</t>
  </si>
  <si>
    <t>0314-1620607</t>
  </si>
  <si>
    <t>Abdul Majid</t>
  </si>
  <si>
    <t>Dak Khana Khadiyan Khas, Jagiyan, Tehsil &amp; District Kasur</t>
  </si>
  <si>
    <t>0305-8777958</t>
  </si>
  <si>
    <t>Maqsood Ahmed</t>
  </si>
  <si>
    <t>Noor Ahmed</t>
  </si>
  <si>
    <t>B.ED</t>
  </si>
  <si>
    <t>House No. 126, Street No. 6, Mohalla Main Bazaar Purani Mandi Pattoki Kasur</t>
  </si>
  <si>
    <t>0304-9714814</t>
  </si>
  <si>
    <t>Mehsham Nazir</t>
  </si>
  <si>
    <t>Nazir Ahmed</t>
  </si>
  <si>
    <t>Boorh Singh Wala, Dak Khana Gajjan Singh Wala, Mojoki Tehsil Chuniyan, District Kasur</t>
  </si>
  <si>
    <t>0326-4264899</t>
  </si>
  <si>
    <t>Rana Sheraz</t>
  </si>
  <si>
    <t>Rana Sajid Ali</t>
  </si>
  <si>
    <t>Changa Manga, Tehsil Chunian, District Kasur</t>
  </si>
  <si>
    <t>0303-4388611</t>
  </si>
  <si>
    <t>M.ED</t>
  </si>
  <si>
    <t>Railway Quarter, Dak Khana Sheed Colony, Changa Manga, Tehsil Chuniyan, District Kasur</t>
  </si>
  <si>
    <t>0301-4684147
0344-6508688</t>
  </si>
  <si>
    <t>Waqas Munam</t>
  </si>
  <si>
    <t>Muhammad Munam Khan</t>
  </si>
  <si>
    <t>MA Political Science</t>
  </si>
  <si>
    <t>Dholan Chak No. 07, Tehsil Pattoki, Kasur</t>
  </si>
  <si>
    <t>0300-0844926</t>
  </si>
  <si>
    <t>Adnan Masih</t>
  </si>
  <si>
    <t>Tomas Masih</t>
  </si>
  <si>
    <t>Present: House No. 3, Mohalla Yaseen Town Muhammadi Street Lahore
Permanent:  Jamal Pur, Mohalla Khas Pur, District Bahawalpur</t>
  </si>
  <si>
    <t>Gulfam Masih</t>
  </si>
  <si>
    <t>Sarwar Masih</t>
  </si>
  <si>
    <t>Mohalla Aisaiyanwala, District Kasur</t>
  </si>
  <si>
    <t>Mohalla Centre Colony, Changa Manga, Tehsil Chunian, District Kasur</t>
  </si>
  <si>
    <t>0305-4624014</t>
  </si>
  <si>
    <t>Husnain Ali</t>
  </si>
  <si>
    <t>Fathe Muhammad Aslam</t>
  </si>
  <si>
    <t>Mohalla Loharan Wala, Ward No. 7, raiwind, Tehsil &amp; District Lahore</t>
  </si>
  <si>
    <t>0305-5007964</t>
  </si>
  <si>
    <t>Imran Alim</t>
  </si>
  <si>
    <t>Muhammad Alim</t>
  </si>
  <si>
    <t>0310-4891384</t>
  </si>
  <si>
    <t>Mohsin Khan</t>
  </si>
  <si>
    <t>Dak Khana Khas, Chak 31, Nanjero Niazbag, Tehsil Pattoki, District Kasur</t>
  </si>
  <si>
    <t>0349-7014657</t>
  </si>
  <si>
    <t>Muhamamd Sharif</t>
  </si>
  <si>
    <t>Dak Khana Mandi Usmanwala Jhanga Singh Wala Tehsion Chunian, District kasur</t>
  </si>
  <si>
    <t>0305-4589131</t>
  </si>
  <si>
    <t>Chak 31, Nanjero Niazbag, Dak Khana Khas, Tehsil Pattoki District Kasur</t>
  </si>
  <si>
    <t>0343-1219224</t>
  </si>
  <si>
    <t>Mohalla Shahmeer, Hujra Shah Muqeem, Tehsil Dipalpur, District Okara</t>
  </si>
  <si>
    <t>0327-4167345</t>
  </si>
  <si>
    <t>Muhamamd Nazir</t>
  </si>
  <si>
    <t>0344-6508688
0301-4684147</t>
  </si>
  <si>
    <t>Adil Masih</t>
  </si>
  <si>
    <t>Christian Colony, Dak Khana Gugu Chak No. 187 EB, Tehsil Burewala, District Vehari</t>
  </si>
  <si>
    <t>0309-4911969</t>
  </si>
  <si>
    <t>Ghulam Sarwar</t>
  </si>
  <si>
    <t>Basti Pandhi, Dak Khana Choti Zeere, Tehsil Kot Chatta, District DG Khan</t>
  </si>
  <si>
    <t>0334-0547060</t>
  </si>
  <si>
    <t>Muhammad Bilawal</t>
  </si>
  <si>
    <t>Siddiqabad Colony, Dak Khana Khas, Chhorhata Pajadh Janubi, Tehsil &amp; District Dera Ghazi Khan</t>
  </si>
  <si>
    <t>0333-4391349</t>
  </si>
  <si>
    <t>Ahmad Nawaz</t>
  </si>
  <si>
    <t>Muhammad Dalmeer</t>
  </si>
  <si>
    <t>New Basti Darabad, Dak Khana Sundhiliyanwali, Shahpur, Tehsil Peermahal, District Toba Tek Singh
Permanent: Mohalla Mubarakabad, Abdul Hakeem, Tehsil Kabirwala, District Khanewal</t>
  </si>
  <si>
    <t>0302-4956039</t>
  </si>
  <si>
    <t>Mohammadiyan Colony Basti Darabad, Dak Khana Khas, Shahpur, Tehsil Peer Mahal, District Toba Tek Singh</t>
  </si>
  <si>
    <t>0340-2510762</t>
  </si>
  <si>
    <t>Sahbaan</t>
  </si>
  <si>
    <t>Dak Khana Choti Zeere, Tehsil Kot Chatta, District DG Khan</t>
  </si>
  <si>
    <t>0334-6618289</t>
  </si>
  <si>
    <t>Muhammad Fahad Haleem</t>
  </si>
  <si>
    <t>Nawan Pind Dak Khana Khas, Chak No. 14 RB, Tehsil Safdrabad, District Sheikhupura</t>
  </si>
  <si>
    <t>0343-8603470</t>
  </si>
  <si>
    <t>Jawad Masih</t>
  </si>
  <si>
    <t>Nasir Javed</t>
  </si>
  <si>
    <t>0347-6721611</t>
  </si>
  <si>
    <t>Ahmad Jahangir</t>
  </si>
  <si>
    <t>Nawazish Ali</t>
  </si>
  <si>
    <t>BS Economics</t>
  </si>
  <si>
    <t>Gujjar Street, Dak Khana Farooqabad, Muridke Tehsil &amp; District Sheikhupura</t>
  </si>
  <si>
    <t>0309-7033800</t>
  </si>
  <si>
    <t>Muhammad Ibrahim Shahid</t>
  </si>
  <si>
    <t>Shahid Maqsood</t>
  </si>
  <si>
    <t>Bachelor of Science (Hons) in Media &amp; Mass Communication</t>
  </si>
  <si>
    <t>Dak Khana farooqabad, Muridke, Tehsil &amp; District Sheikhupura</t>
  </si>
  <si>
    <t>0340-3711455</t>
  </si>
  <si>
    <t>Arqam Naeem</t>
  </si>
  <si>
    <t>Muhammad Naeem Niaz</t>
  </si>
  <si>
    <t>House No. 777/58f, Street No. 18, Mohalla Razaabad, Tehsil &amp; District Faisalabad</t>
  </si>
  <si>
    <t>0336-1638277</t>
  </si>
  <si>
    <t>Derh Mala Singh, Dak Khana Khas, Farooqabad, District Sheikhupura</t>
  </si>
  <si>
    <t>0303-8203294</t>
  </si>
  <si>
    <t>Fatehpur Layyah (Sahulat on the GO)</t>
  </si>
  <si>
    <t>Dak Khana Fatehpur, Chak No. 247 TDA, Tehsil Karor Lal eason District Layyah</t>
  </si>
  <si>
    <t>0323-8225247</t>
  </si>
  <si>
    <t>Ifraheem Karel</t>
  </si>
  <si>
    <t>Mansha</t>
  </si>
  <si>
    <t>Dak Khana Khas, Chak No. 270 KDA, Tehsil Karor Lal Eason, District Layyah</t>
  </si>
  <si>
    <t>0347-0454481</t>
  </si>
  <si>
    <t>Muhammad Ansar</t>
  </si>
  <si>
    <t>Muhammad ismail</t>
  </si>
  <si>
    <t>Dak Khana Peer Baro Sharif, Chak No. 313 TDA, Tehsil Chobara, District Layyah</t>
  </si>
  <si>
    <t>0300-2546313</t>
  </si>
  <si>
    <t>Dak Khana Fatehpur, Chak No. 250 TDA Tehsil Karor Lal Eason, District Layyah</t>
  </si>
  <si>
    <t>0331-8671474</t>
  </si>
  <si>
    <t>Chak No. 92 TDA, Dak Khana Chak No. 89 TDA Tehsil Karor Lal Eason District Layyah</t>
  </si>
  <si>
    <t>0301-5070378</t>
  </si>
  <si>
    <t>Muhamad Abdullah Zafar iqbal</t>
  </si>
  <si>
    <t>Zafar Iqbal Uppal</t>
  </si>
  <si>
    <t>Ferozwala (Sahulat on the GO)</t>
  </si>
  <si>
    <t>Mohalla Nabi Pura Dak Khana Khas, Sharaqpur Kalan, Tehsil &amp; District Sharaqpur</t>
  </si>
  <si>
    <t>0308-4076511</t>
  </si>
  <si>
    <t>Nafees Ahmad</t>
  </si>
  <si>
    <t>House No. 6, Street No. 2, Mohalla Qasaban Sharaqpur Sharif, District Sheikhupura</t>
  </si>
  <si>
    <t>0307-4351757</t>
  </si>
  <si>
    <t>Muhammad Sannan</t>
  </si>
  <si>
    <t xml:space="preserve">Inter </t>
  </si>
  <si>
    <t>Dak Khana Khas, Mohalla, Madina Park, Sharaqpur Kalan, Tehsil Sharaqpur, District Sheikhupura</t>
  </si>
  <si>
    <t>0304-4096086</t>
  </si>
  <si>
    <t>Syed Hasnain Haider</t>
  </si>
  <si>
    <t>Syed Shafqat Hussain</t>
  </si>
  <si>
    <t>Near Golden Happy School Mohalla Khunda Bahch Hanjrwal, Multan Road Lahore</t>
  </si>
  <si>
    <t>0300-8805856</t>
  </si>
  <si>
    <t>Adeel Ilyas</t>
  </si>
  <si>
    <t>Masih Basti, Pracha Colony, Shahdara Town Lahore</t>
  </si>
  <si>
    <t>0303-5416512</t>
  </si>
  <si>
    <t>Hamayoun</t>
  </si>
  <si>
    <t>Mohalla Shershah Road, Data Nagar Badami Bagh Lahore</t>
  </si>
  <si>
    <t>0341-4256230</t>
  </si>
  <si>
    <t>Toushal Masih</t>
  </si>
  <si>
    <t>Ijaz Yaqoob Sindhu</t>
  </si>
  <si>
    <t>Mohalla Pracha Colony, Shahdara Town Lahore</t>
  </si>
  <si>
    <t>0308-4625955</t>
  </si>
  <si>
    <t>Muhammad Sajid</t>
  </si>
  <si>
    <t>House No.12, Street No. 15, Mohalla Siddiqia Colony Badhami Bagh Lahore</t>
  </si>
  <si>
    <t>0314-4277438</t>
  </si>
  <si>
    <t>Muhammad Hamid Iqbal</t>
  </si>
  <si>
    <t>Zafal Iqbal</t>
  </si>
  <si>
    <t>House No. 2, Street No.1, Mohalla Madhu National Town Ferozwala, District Sheikhupura
Jandra Sharif Dak Khana Khas Narowal</t>
  </si>
  <si>
    <t>0327-4003891</t>
  </si>
  <si>
    <t>Rizwan Ali</t>
  </si>
  <si>
    <t>House No. 12, Street No.03, Mohalla Rasool Pura, Baghbanpura Lahore</t>
  </si>
  <si>
    <t>0370-04912509</t>
  </si>
  <si>
    <t>Sharjeel Ahmad</t>
  </si>
  <si>
    <t>Azam Rafique</t>
  </si>
  <si>
    <t>Nain Sukh, Sagiyan Kalan, rustam Sohrab, Lahore</t>
  </si>
  <si>
    <t>0313-6783187</t>
  </si>
  <si>
    <t xml:space="preserve">Muhammad Talha </t>
  </si>
  <si>
    <t>Near Qureshi Chowk, Mohalla Siddique Colony Khan Town, Kamoki, District Gujranwala</t>
  </si>
  <si>
    <t>0301-1213251</t>
  </si>
  <si>
    <t>Naveed Iqbal</t>
  </si>
  <si>
    <t>Basti Pandi Khan, Dak Khana Choto Zeere, Tehsil Kot Chatta, District DG Khan</t>
  </si>
  <si>
    <t>0335-3709166</t>
  </si>
  <si>
    <t>Shaharyar Zaidi</t>
  </si>
  <si>
    <t>Syed Ijaz Hussain Zaidi</t>
  </si>
  <si>
    <t>Br Makan Syed Ishfaq Hussain Zaidi, Mohalla Main Bazaar, Noshera  Warkan, District Gujranwala</t>
  </si>
  <si>
    <t>0342-2127184</t>
  </si>
  <si>
    <t>Arslan Ali</t>
  </si>
  <si>
    <t>Zafar Ahmad</t>
  </si>
  <si>
    <t>MS Civil engineering</t>
  </si>
  <si>
    <t>Dak Khana Murali Wala, Chariyala Khurd, Tehsil &amp; District Gujranwala</t>
  </si>
  <si>
    <t>0307-6510700</t>
  </si>
  <si>
    <t>Abaid Ullah</t>
  </si>
  <si>
    <t>Shoukat Ullah Khan</t>
  </si>
  <si>
    <t>Chand Da Qilla Near Nimra Masjid, Mohalla Jalil Town Gujranwala</t>
  </si>
  <si>
    <t>0328-1353371</t>
  </si>
  <si>
    <t>Kora Khan</t>
  </si>
  <si>
    <t>Basti Ghulam Haider Baloch, Dak Khana Choti Zeere, Tehsil &amp; District DG Khan</t>
  </si>
  <si>
    <t>0332-5835842</t>
  </si>
  <si>
    <t>Sumaira Ashfaq</t>
  </si>
  <si>
    <t>Husband : Ashfaq Hussain</t>
  </si>
  <si>
    <t>Mohalla Tanki Wala Dak Khana Khas, Talwandi Musa Khan, Tehsil &amp; District Gujranwala</t>
  </si>
  <si>
    <t>0371-3174995</t>
  </si>
  <si>
    <t>Umar Bilal</t>
  </si>
  <si>
    <t>Dak Khana Khas, Talwandi Musakhan, Tehsil &amp; District Gujranwala</t>
  </si>
  <si>
    <t>0322-6007376</t>
  </si>
  <si>
    <t>Asif Nawab</t>
  </si>
  <si>
    <t>Nawab Khan</t>
  </si>
  <si>
    <t>0337-5250833</t>
  </si>
  <si>
    <t>Dak Khana Fort Munro, Tehsil &amp; District DG Khan</t>
  </si>
  <si>
    <t>0332-0248164</t>
  </si>
  <si>
    <t>Ayub Haider</t>
  </si>
  <si>
    <t>Iman Ali</t>
  </si>
  <si>
    <t>Basharat Ali</t>
  </si>
  <si>
    <t>Thali Maliyan, Dak Khana Badoli, Tehsil &amp; District Narowal</t>
  </si>
  <si>
    <t>0336-7419011</t>
  </si>
  <si>
    <t>Basti Bandhi Khan, Dak Khana Choti Zeere Tehsil Kot Chatta, District DG Khan</t>
  </si>
  <si>
    <t>0333-2982525</t>
  </si>
  <si>
    <t>Waqar Ahmad</t>
  </si>
  <si>
    <t>Dak Khana Fort Munro, Gagan Thal, Tehsil Koh Suleman, District DG Khan</t>
  </si>
  <si>
    <t>0331-7327755</t>
  </si>
  <si>
    <t>Lucky Pervaiz</t>
  </si>
  <si>
    <t>0340-6266175</t>
  </si>
  <si>
    <t>Jawad Sarwar</t>
  </si>
  <si>
    <t>Dak Khana Mirajke Joiyan, Tehsil Pasroor, District Sialkot</t>
  </si>
  <si>
    <t>0327-8660057</t>
  </si>
  <si>
    <t>Zeeshan Ahmed</t>
  </si>
  <si>
    <t>Mulhtar Ahmed</t>
  </si>
  <si>
    <t>Dak Khana Dharowal, Chak Dhalo, Tehsil &amp; District Gujrat</t>
  </si>
  <si>
    <t>0343-7560028</t>
  </si>
  <si>
    <t xml:space="preserve">Muslim </t>
  </si>
  <si>
    <t>Waleed Khalil</t>
  </si>
  <si>
    <t xml:space="preserve">Record Keeper
</t>
  </si>
  <si>
    <t>Present : House No. 84, Street No. 8, Mohalla Firdous Market, Gulberg III, Lahore
Permanent : Sukhanwala, Dak Khana Koat Mahmood, Ferozwala District Sheikhupura</t>
  </si>
  <si>
    <t>0322-4211605</t>
  </si>
  <si>
    <t>Muhammad Kashif Akhtar</t>
  </si>
  <si>
    <t>Akhtar Mahra</t>
  </si>
  <si>
    <t>Mohalla Anwar Khokhar Street, Modern Colony, Lahore</t>
  </si>
  <si>
    <t>0329-7938570</t>
  </si>
  <si>
    <t>Shahroz</t>
  </si>
  <si>
    <t>Kir Kalan, Dak Khana Green Town, Lahore</t>
  </si>
  <si>
    <t>0301-9892858</t>
  </si>
  <si>
    <t>Talha Hassan</t>
  </si>
  <si>
    <t>Muhammad Aalim</t>
  </si>
  <si>
    <t>House No. 19, Madina Colony, Vehari</t>
  </si>
  <si>
    <t>0348-9231280</t>
  </si>
  <si>
    <t>Chrystopher Gill</t>
  </si>
  <si>
    <t>Khushi Fransis Gill</t>
  </si>
  <si>
    <t>House No. 5/B, Mohalla Youhnabad, Ferozepur Road, Lahore</t>
  </si>
  <si>
    <t>0321-4731973</t>
  </si>
  <si>
    <t>Sheraz Allah Rakha</t>
  </si>
  <si>
    <t>Street No. 1, BS, Mohalla Kot Kamboh Bakar Mandi Band Road, Lahore</t>
  </si>
  <si>
    <t>0329-1484946</t>
  </si>
  <si>
    <t>2-College Road, GOR-1 Lahore</t>
  </si>
  <si>
    <t>0327-4413781</t>
  </si>
  <si>
    <t>Saif ur Rehman</t>
  </si>
  <si>
    <t>Present: Mohalla Dalula Abbottabad
Permanent: House No. 133/4, Mohalla Samadhi Ganga Ram Kacha Ravi Road, Lahore</t>
  </si>
  <si>
    <t>0313-4062449</t>
  </si>
  <si>
    <t>Umair Abbasi</t>
  </si>
  <si>
    <t>House No. 38, Block 4, Mohalla Kairm Prk Ravi Road Lahore
Permanent: Dak Khana Dalula, Abbottabad</t>
  </si>
  <si>
    <t>0302-7015489</t>
  </si>
  <si>
    <t>Dak Khana Vaneky Tarar, Behak Ahmadyar, Tehsil &amp; District Hafizabad</t>
  </si>
  <si>
    <t>0348-4978601</t>
  </si>
  <si>
    <t>Zain Abbas</t>
  </si>
  <si>
    <t>Abbas</t>
  </si>
  <si>
    <t>Dak Khana Kulunwala Duburji, Tehsil Noshera Warkan, District Gujranwala</t>
  </si>
  <si>
    <t>0341-6711428</t>
  </si>
  <si>
    <t>Muhammad Tariq</t>
  </si>
  <si>
    <t>Basti Meer Wala, Dak Khana Choti zeere, Tehsil Kot Chatta, District DG Khan</t>
  </si>
  <si>
    <t>0331-7889428</t>
  </si>
  <si>
    <t>Akhlaq Ahmad</t>
  </si>
  <si>
    <t>Muhammad Arif Hunjra</t>
  </si>
  <si>
    <t>Dak Khana Khas, Kot Keliyan Wala, Tehsil Wazirabad, District Gujranwala</t>
  </si>
  <si>
    <t>0347-0620474</t>
  </si>
  <si>
    <t>Dilawar Masih</t>
  </si>
  <si>
    <t>Younas Sanaullah</t>
  </si>
  <si>
    <t>Duburji Dak Khana Kulinwala, Tehsil Noshera Warkan, District Gujranwala</t>
  </si>
  <si>
    <t>0341-4571632</t>
  </si>
  <si>
    <t>Abu Sufyan</t>
  </si>
  <si>
    <t>Iftikhar Hussain Baryar</t>
  </si>
  <si>
    <t xml:space="preserve">Dak Khana Koluwalan Doburji, Tehsil Nosheran Warkan </t>
  </si>
  <si>
    <t>0347-5411757</t>
  </si>
  <si>
    <t>Dak Khana Khas, Mangat Ooncha, Tehsil &amp; District Hafizabad</t>
  </si>
  <si>
    <t>0345-6373600</t>
  </si>
  <si>
    <t>Kashif Masih</t>
  </si>
  <si>
    <t>Hadayat Colony, Dak Khana Khas, Chak Chatta, Tehsil &amp; District Hafizabad</t>
  </si>
  <si>
    <t>0343-2488271</t>
  </si>
  <si>
    <t>Laiba Benish</t>
  </si>
  <si>
    <t>Jhugiyan Alfa, Dak Khana Bhatta Kohar, Lahore</t>
  </si>
  <si>
    <t>0326-5300388</t>
  </si>
  <si>
    <t>Mudassar Jabbar</t>
  </si>
  <si>
    <t>Abdul Jabbar</t>
  </si>
  <si>
    <t>Dak Khana Barki Mandiyanwala, Tehsil &amp; District Lahore</t>
  </si>
  <si>
    <t>0322-4444053</t>
  </si>
  <si>
    <t>Shahzab Shah</t>
  </si>
  <si>
    <t>Husband: Ali Raza Shah</t>
  </si>
  <si>
    <t>B.Ed</t>
  </si>
  <si>
    <t>House No. 39-E, Street No. 04, Mohalla Iqbal Park, Rival Ranger Road Lahore</t>
  </si>
  <si>
    <t>0327-4558246</t>
  </si>
  <si>
    <t>Abubakar Sadaqat</t>
  </si>
  <si>
    <t>BS In Mechanical Engineering</t>
  </si>
  <si>
    <t>Present: Dera Gujran Degree College, Mohalla Officer Colony Sheikhupura
Permanent: Dera Gujran Dak Khana Farooqabad, lal K, Tehsil &amp; District Sheikhupura</t>
  </si>
  <si>
    <t>0336-4544565</t>
  </si>
  <si>
    <t>Gurdwara, Dak Khana Khas, Tehsil &amp; District Lahore</t>
  </si>
  <si>
    <t>0301-3440395</t>
  </si>
  <si>
    <t>House No. 26/6 Street No. 42-B, Khalid Street Mohalla Allama Iqbal, Lahore</t>
  </si>
  <si>
    <t>0300-4623338</t>
  </si>
  <si>
    <t>Humaira</t>
  </si>
  <si>
    <t>W/O Muhammad Afzal</t>
  </si>
  <si>
    <t xml:space="preserve">Present: House No. Z-20, Mohalla Wahdat Colony, Lahore
Permanent: </t>
  </si>
  <si>
    <t>0305-4596633</t>
  </si>
  <si>
    <t>Maher Umair Sajid</t>
  </si>
  <si>
    <t>Sajid Yousaf</t>
  </si>
  <si>
    <t>House No. 45, Street No.6, Block A, Mohalla Alfaisal Town, Lahore</t>
  </si>
  <si>
    <t>0324-0443419</t>
  </si>
  <si>
    <t>Muhammad Makki</t>
  </si>
  <si>
    <t>Basti Chandia Baloch Post Office Shedani Sharif Tehsil Liaqatpur, District Rahim Yar Khan</t>
  </si>
  <si>
    <t>0300-8206696</t>
  </si>
  <si>
    <t>Usman Rafique</t>
  </si>
  <si>
    <t>0304-9568656</t>
  </si>
  <si>
    <t>Fozia Dilawar</t>
  </si>
  <si>
    <t>Syed Dilwara Hussain Shah</t>
  </si>
  <si>
    <t>House No. 5, Street No.6, Mohalla Munshi, Nayi Abadi, Mandi Bahuddin</t>
  </si>
  <si>
    <t>0346-5252153</t>
  </si>
  <si>
    <t>Khalid Sattar</t>
  </si>
  <si>
    <t>Bachelor of Science in Electrical Engineering</t>
  </si>
  <si>
    <t>House No. 52 -C, Mohalla Tepu Block Bew Garden Town Lahore</t>
  </si>
  <si>
    <t>0313-4861383</t>
  </si>
  <si>
    <t>Rehan Habib</t>
  </si>
  <si>
    <t>Muhammad Habib ur Rehman Qureshi</t>
  </si>
  <si>
    <t>CA</t>
  </si>
  <si>
    <t>Present : House No. 10, Mohalla Infantory Road Ali Madina Street Mustafabad, Lahore</t>
  </si>
  <si>
    <t>0333-4576094</t>
  </si>
  <si>
    <t>Shahbaz Hussain</t>
  </si>
  <si>
    <t>Rabnawaz Akhtar</t>
  </si>
  <si>
    <t>Bachelor in Civil Engineering</t>
  </si>
  <si>
    <t>Ward No. 14, Basti Araiyan Wali, Mohalla Qureshiyanwala, Shorkot district Jhang</t>
  </si>
  <si>
    <t>0307-8749971</t>
  </si>
  <si>
    <t>Abdul Qadeer Jan</t>
  </si>
  <si>
    <t>Amjad Hussain</t>
  </si>
  <si>
    <t>Master of Science in Distinction in project Management</t>
  </si>
  <si>
    <t>Mohalla Johar Town, New Campus Samsani Khoi, Lahore</t>
  </si>
  <si>
    <t>0301-4007140</t>
  </si>
  <si>
    <t>Ahmad Hussain</t>
  </si>
  <si>
    <t>Bachelor of Science in Civil</t>
  </si>
  <si>
    <t>House 4-R,  Mohalla Green Park, Scheme Moar, Multan Road Lahore</t>
  </si>
  <si>
    <t>0331-6481148</t>
  </si>
  <si>
    <t>Fakhra Ahsan</t>
  </si>
  <si>
    <t>W/O Ahsan Raza</t>
  </si>
  <si>
    <t>Master of Library &amp; Information Sciences</t>
  </si>
  <si>
    <t>Basti Nawan Budh, Dak Khana Railway Station, Tehsil Koat Adu District Muzaffargarh</t>
  </si>
  <si>
    <t>0332-4716307</t>
  </si>
  <si>
    <t>Hifza Amir</t>
  </si>
  <si>
    <t>Amir Hamid</t>
  </si>
  <si>
    <t>BS Chemistry</t>
  </si>
  <si>
    <t>Present: House No. 23, Street No.1, Mohalla Sultan Ahmad Road, Ichra Lahore
Permanent: Sheikh Dilwak, Dak Khana Gujranwala Shahpur City, District Sargodha</t>
  </si>
  <si>
    <t>0321-4304690</t>
  </si>
  <si>
    <t>BS in Civil Engineering Technology</t>
  </si>
  <si>
    <t>House No. 521, Street No.1, Mohalla Awami Basti Toba Tek Singh</t>
  </si>
  <si>
    <t>0315-7662542</t>
  </si>
  <si>
    <t>Muhammad Adil Rauf</t>
  </si>
  <si>
    <t>BS in Mass Communication</t>
  </si>
  <si>
    <t>House No. 17, Mohalla farooq Road, Ichra, Mehr Street Lahore</t>
  </si>
  <si>
    <t>0313-4413695</t>
  </si>
  <si>
    <t>Muhammad Huzaifa Qasim Shah</t>
  </si>
  <si>
    <t>Muhammad Qasim Shah</t>
  </si>
  <si>
    <t>House No. 445/A, Main ghous Azam road Chungi No. 1, Mohalla Haji Pura, Multan</t>
  </si>
  <si>
    <t>0302-1075277</t>
  </si>
  <si>
    <t>Nazia Abid</t>
  </si>
  <si>
    <t>MS in Economics</t>
  </si>
  <si>
    <t>Reeva Nadeem</t>
  </si>
  <si>
    <t>Muhammad Nadeem Javed</t>
  </si>
  <si>
    <t>Bachelor of Architecture (In complete)</t>
  </si>
  <si>
    <t>Present : Wapda Colony House No. D-2/5, Dak Khana Khas, Mangla Colony,  Tehsil &amp; District Mirpur
Permanent : Near SDO Wapda office House No. 04, Mohalla Khadim Abad Colony, Bahawalnagar</t>
  </si>
  <si>
    <t>0334-9100876</t>
  </si>
  <si>
    <t>Shaista Khalil</t>
  </si>
  <si>
    <t>Muhammad Khalil</t>
  </si>
  <si>
    <t>MBA Finance</t>
  </si>
  <si>
    <t>House No. 59, Street 2, Gulyar Town, Dak Khana College Road, Sargodha</t>
  </si>
  <si>
    <t>0305-4329359</t>
  </si>
  <si>
    <t>Ward No. 3, Kacha Dak Khana Nu, Tehsil &amp; District Lahore</t>
  </si>
  <si>
    <t>Mukhtar Ahmad Akhtar</t>
  </si>
  <si>
    <t>3 Years Diploma (DAE)</t>
  </si>
  <si>
    <t>0300-8448684</t>
  </si>
  <si>
    <t>Muhammad Musahaf ur Rahman Baig</t>
  </si>
  <si>
    <t>Muhammad Asif Baig</t>
  </si>
  <si>
    <t>House No. 14-B, Mohalla Gulshan Park Multan Road, Near Mansoora Lahore</t>
  </si>
  <si>
    <t>0322-2227976</t>
  </si>
  <si>
    <t>Mustjab Ali</t>
  </si>
  <si>
    <t>House No. 605, Block Usama Colony Koat Lakhpat Lahore</t>
  </si>
  <si>
    <t>0322-3947347</t>
  </si>
  <si>
    <t>Software Assistant</t>
  </si>
  <si>
    <t>Associate Degree in Computer Science</t>
  </si>
  <si>
    <t>Street Daruljadeed Mohalla Dars Baseerpura, Tehsil Dipalpur, District Okara</t>
  </si>
  <si>
    <t>0320-2790970</t>
  </si>
  <si>
    <t>Dak Khana, Chowk Azam, Chak No. 360 TDA, Tehsil &amp; District Layyah</t>
  </si>
  <si>
    <t>0340-2039360</t>
  </si>
  <si>
    <t>Sada Hussain</t>
  </si>
  <si>
    <t>Sub Engineer (Civil)</t>
  </si>
  <si>
    <t>Diploma Of Associate Engineer</t>
  </si>
  <si>
    <t>Basti Hafizabad, Purani Chishtiyan, District Bahawalnagar</t>
  </si>
  <si>
    <t>0300-4741080</t>
  </si>
  <si>
    <t>Sub Engineer (Electrical)</t>
  </si>
  <si>
    <t>House No. 65-A Mohalla Bohar Wala Chowk Railway Colony Lahore</t>
  </si>
  <si>
    <t>0335-4022152</t>
  </si>
  <si>
    <t>Hassan Askari</t>
  </si>
  <si>
    <t>Zawar Hussain Khan</t>
  </si>
  <si>
    <t>Sub Engineer (Maintenance)</t>
  </si>
  <si>
    <t>Basti Girah, Dak Khana Notak Khanani, Tehsil &amp; District Bhakkar</t>
  </si>
  <si>
    <t>0324-1940868</t>
  </si>
  <si>
    <t>Muhammad Bilal Hussain</t>
  </si>
  <si>
    <t>Muhammad Hussain Pardaisi</t>
  </si>
  <si>
    <t>Diploma Of Associate Engineer 
(Civil Technology)</t>
  </si>
  <si>
    <t xml:space="preserve">House No. 110/II, One Unit Colony, Bahawalpur
Dak Khana Geely wall, Tehsil &amp; </t>
  </si>
  <si>
    <t>0300-7044068</t>
  </si>
  <si>
    <t>Muhammad Ali Dar</t>
  </si>
  <si>
    <t>Ghulam Murtaza Dar</t>
  </si>
  <si>
    <t xml:space="preserve">MBA  </t>
  </si>
  <si>
    <t>House No. 354, Mohalla Kashmir Block Allama Iqbal Town Lahore</t>
  </si>
  <si>
    <t>0321-4331210</t>
  </si>
  <si>
    <t>Amna Nawaz</t>
  </si>
  <si>
    <t>Present: House No. 8-Q, Mohalla Wafaqi Colony, Johar Town Lahore
Permanent: Dak Khana Khas, Chak No. 18 SP, Tehsil &amp; District Pakpattan</t>
  </si>
  <si>
    <t>0311-7279693</t>
  </si>
  <si>
    <t>Dak Khana Barki Padri, Tehsil &amp; District Lahore</t>
  </si>
  <si>
    <t>0320-0302295</t>
  </si>
  <si>
    <t>Muhammad iqbal</t>
  </si>
  <si>
    <t>BS Continue</t>
  </si>
  <si>
    <t>House No. 89/B, Mohalla Sharif Park Phase 2, Bagriyan, Lahore</t>
  </si>
  <si>
    <t>Muhammad Talha Khalid</t>
  </si>
  <si>
    <t>Khalid Hasnain</t>
  </si>
  <si>
    <t>Bachelors of Film &amp; Television</t>
  </si>
  <si>
    <t>House No. 210-A, Block R, Mohalla Johar Town Lahore</t>
  </si>
  <si>
    <t>0332-4729811</t>
  </si>
  <si>
    <t>Ali Hussnain</t>
  </si>
  <si>
    <t>Muhammad Arshad Saqib</t>
  </si>
  <si>
    <t>Bachelor in Software Engineering Continue</t>
  </si>
  <si>
    <t>House No. 64, Street No.2, Mohalla Nawab Colony, Okara</t>
  </si>
  <si>
    <t>0321-7297542</t>
  </si>
  <si>
    <t>Khizer Hayat</t>
  </si>
  <si>
    <t>House No. 198, Street No. 188, Mohalla Deputy Yaqoob Colony, New Bhogewal Lahore</t>
  </si>
  <si>
    <t>0313-4066586</t>
  </si>
  <si>
    <t>Mian Abdul Ahad</t>
  </si>
  <si>
    <t>M.Phil</t>
  </si>
  <si>
    <t>House No. 88, Block A, Mohalla Canal Garden Lahore</t>
  </si>
  <si>
    <t>0333-8309563</t>
  </si>
  <si>
    <t>Muhammad Javaid</t>
  </si>
  <si>
    <t>BSc</t>
  </si>
  <si>
    <t>House No. 1, Sardar Street, Mohalla Quaid-e-Azam Park Kot Lakhpat, Lahore</t>
  </si>
  <si>
    <t>0316-0043004
0301-4551088</t>
  </si>
  <si>
    <t>Muhammad Qamar Zaman</t>
  </si>
  <si>
    <t>Dak Khana Khas, Chak 335 GB, Tehsil Kamalia, District Toba Tek Singh</t>
  </si>
  <si>
    <t>0303-6242113</t>
  </si>
  <si>
    <t>Sana Rehmat</t>
  </si>
  <si>
    <t>MSc IT</t>
  </si>
  <si>
    <t>House No. 296-C, Mohalla Gawala Colony, Rakh Chand Raye, Kahna Nu, Tehsil &amp; District Lahore</t>
  </si>
  <si>
    <t>0306-7511142</t>
  </si>
  <si>
    <t>Syed Muhammad Tahir</t>
  </si>
  <si>
    <t>Street Doctor Islam Wali Kasoki Road, Mohalla Garhi Awan Hafizabad</t>
  </si>
  <si>
    <t>0316-7612243</t>
  </si>
  <si>
    <t>Anas Nazir Jutt</t>
  </si>
  <si>
    <t>Present: Bhobitiyan Lazid, Sajjad Colony Raiwind, District Lahore
Permanent: Dak Khana Khas, Gehlan Hattar, Tehsil Chunian, District Kasur</t>
  </si>
  <si>
    <t>0316-4242208</t>
  </si>
  <si>
    <t>Khayal Muhammad Shah</t>
  </si>
  <si>
    <t>Kamal Shah</t>
  </si>
  <si>
    <t>Present: Bai Paye Dak Khana Oogi Shangli, Tehsil Oogi District Mansehra
Permanent: Mashkoot Dak Khana Darband, Tilli Saedan, Tehsil &amp; Districy Torghar</t>
  </si>
  <si>
    <t>Shabbir Hussain Shah</t>
  </si>
  <si>
    <t>Syed Hussain Shah</t>
  </si>
  <si>
    <t xml:space="preserve">Sub Engineer Civil   </t>
  </si>
  <si>
    <t>Bachelor in Civil Technology</t>
  </si>
  <si>
    <t>Dak Khana Laxin, Talib wala, Tehsil Kot Momin, District Sargodha</t>
  </si>
  <si>
    <t>0300-5124005</t>
  </si>
  <si>
    <t>Junaid Mukhtiar</t>
  </si>
  <si>
    <t>Jalalpur Pirwala</t>
  </si>
  <si>
    <t>Ward No. 21, Mohalla Masoodabad, Lodhran</t>
  </si>
  <si>
    <t>0302-9205792</t>
  </si>
  <si>
    <t>Awon Raza</t>
  </si>
  <si>
    <t>Malik Sajid Hussain</t>
  </si>
  <si>
    <t>BS It</t>
  </si>
  <si>
    <t>Dak Khana Khas, Budh, Tehsil Kot Addu, District Muzaffargarh</t>
  </si>
  <si>
    <t>0349-4779929</t>
  </si>
  <si>
    <t>Samar Abbas</t>
  </si>
  <si>
    <t>Mohalla Liaqat Abad, Karor Pakka, District Lodhran</t>
  </si>
  <si>
    <t>0305-4690334</t>
  </si>
  <si>
    <t>Abdul Shakoor</t>
  </si>
  <si>
    <t>Abdul Ghafoor</t>
  </si>
  <si>
    <t>Kaaly Otara Dak Khana Khas, Kasur</t>
  </si>
  <si>
    <t>0303-9811992</t>
  </si>
  <si>
    <t>Abdul Razzaq Khan</t>
  </si>
  <si>
    <t>Muhamamd Sadiq</t>
  </si>
  <si>
    <t>Dak Khana Jhagra Wala, Sundrela Wala, Tehsil Jalalpur Pirwala, District Multan</t>
  </si>
  <si>
    <t>0328-8921210</t>
  </si>
  <si>
    <t>Jahanzaib Riaz</t>
  </si>
  <si>
    <t>Chah Darkhan Wala, Dak Khana Jagu Wala, Wahi Sundrelawala, Tehsil Jalalpur Pirwala, District Multan</t>
  </si>
  <si>
    <t>0306-5052101</t>
  </si>
  <si>
    <t>Chah balocha wala, Dak Khana Jaguwala, Tehsil Jalalpur Pirwala, District Multan</t>
  </si>
  <si>
    <t>0305-9389521</t>
  </si>
  <si>
    <t>Muhammad Afzal Khan</t>
  </si>
  <si>
    <t>Chah Molvi Wala Khanwa Shumali, Dak Khana Qureshi Wala, Tehsil &amp; District Lodhran</t>
  </si>
  <si>
    <t>0303-7700058</t>
  </si>
  <si>
    <t>Muhammad Zafar Yaseen</t>
  </si>
  <si>
    <t>Basti Sheikhday Wali, Dak Khana Qureshi Wala, Pagalwari, Lodhran</t>
  </si>
  <si>
    <t>0307-1693938</t>
  </si>
  <si>
    <t>Muhammad Khalid Asim</t>
  </si>
  <si>
    <t>Niaz Ahmad</t>
  </si>
  <si>
    <t>0301-7896913</t>
  </si>
  <si>
    <t>0307-9800270</t>
  </si>
  <si>
    <t>Muhammad Tariq Zafar</t>
  </si>
  <si>
    <t>Muhammad Zafar</t>
  </si>
  <si>
    <t>Chah Qabool Wala, Dak Khana Sikandrabad, Tehsil Multan Saddar, District Multan</t>
  </si>
  <si>
    <t>0321-6395208</t>
  </si>
  <si>
    <t>Muhammad Zaffar</t>
  </si>
  <si>
    <t>House No. 1694/5/157, TB Hospital Road Street No. 15, Mohalla Arifpura Multan</t>
  </si>
  <si>
    <t>0316-6469297</t>
  </si>
  <si>
    <t>Syed Shahzad Hussain</t>
  </si>
  <si>
    <t>iqrar Hussain Shah</t>
  </si>
  <si>
    <t>0308-2414827</t>
  </si>
  <si>
    <t>Zeeshan Raza Adil</t>
  </si>
  <si>
    <t>Muhammad Mazhar Abbas Zafar</t>
  </si>
  <si>
    <t>Mohalla Bangla Anhar, Karor Pakka, District Lodhran</t>
  </si>
  <si>
    <t>0301-7710170</t>
  </si>
  <si>
    <t>Mola Bakhsh</t>
  </si>
  <si>
    <t>Raheem Bakhsh</t>
  </si>
  <si>
    <t>Chah Baseera Dak Khana Khas, Sahuwala, Tehsil Jampur District Rajanpur</t>
  </si>
  <si>
    <t>Qamar Hussain</t>
  </si>
  <si>
    <t>Dak Khana Khas, Chak 434 GB Jhook Amraya, Tehsil Jaranwala, District Faisalabad</t>
  </si>
  <si>
    <t>Talha Naseer</t>
  </si>
  <si>
    <t>Dak Khana Khas, Chak No. 96 gb, Tehsil Jaranwala, District Faisalabad</t>
  </si>
  <si>
    <t>0341-0765662</t>
  </si>
  <si>
    <t>Baharat Ali</t>
  </si>
  <si>
    <t>Daan</t>
  </si>
  <si>
    <t>Chak No. 642 GB, Maana Daba, Dak Khana Khas, Tehsil Jaranwala, District Faisalabad</t>
  </si>
  <si>
    <t>0328-7980787</t>
  </si>
  <si>
    <t>Chah Samranwala, Dak Khana Khas, landiyanwala, Tehsil Jaranwala, District Faisalabad</t>
  </si>
  <si>
    <t>0348-7306988</t>
  </si>
  <si>
    <t xml:space="preserve">Muhammad Irfan  </t>
  </si>
  <si>
    <t>Nusrat Ali</t>
  </si>
  <si>
    <t>Dak Khana Landiawala, Chak No. 645 GB Naria Da Chak, Tehsil jaranwala, District Faisalabad</t>
  </si>
  <si>
    <t>0341-8778812</t>
  </si>
  <si>
    <t>Waqar Hussain</t>
  </si>
  <si>
    <t>Chak No. 574 GB, Dak Khana Khas, Tehsil Jaranwala, district Faisalabad</t>
  </si>
  <si>
    <t>0348-7260534</t>
  </si>
  <si>
    <t>Muhammad Subhan Ali</t>
  </si>
  <si>
    <t>Liaqat Pervaiz</t>
  </si>
  <si>
    <t>House No. 310-P, Street No. 2, Mohalla Nawaz Colony Jaranwala, District Faisalabad</t>
  </si>
  <si>
    <t>0324-7267856</t>
  </si>
  <si>
    <t>Muhammad Tayyab</t>
  </si>
  <si>
    <t>Dak Khana Khas, Chak No. 654 GB, Pakka Chatiyanda, Tehsil Jaranwala, District Faisalabad</t>
  </si>
  <si>
    <t>0326-2572722</t>
  </si>
  <si>
    <t>Laazar Masih</t>
  </si>
  <si>
    <t>Dila Masih</t>
  </si>
  <si>
    <t>Dak Khana Khas, Chak 654 GB Pakka, Chatiyanda Tehsil Jaranwala, District Faisalabad</t>
  </si>
  <si>
    <t>0321-1317714</t>
  </si>
  <si>
    <t>Khadim Ali</t>
  </si>
  <si>
    <t>Abaspur, Dak Khana Khas Chak No. 10/2 L, Tehsil &amp; District Sahiwal</t>
  </si>
  <si>
    <t>0327-7443592</t>
  </si>
  <si>
    <t>Majid Ali</t>
  </si>
  <si>
    <t>Street No. 2, Waryam Nagar, Altaf Park Jaranwala, District Faisalabad</t>
  </si>
  <si>
    <t>0301-7271920</t>
  </si>
  <si>
    <t xml:space="preserve">Mubshar Iqbal </t>
  </si>
  <si>
    <t>Zafar Khan</t>
  </si>
  <si>
    <t>0315-4140462</t>
  </si>
  <si>
    <t>Kishwar Shahzad</t>
  </si>
  <si>
    <t>Purana Chiniot Road, Mohalla Basti Dewan, Wali, Jhang</t>
  </si>
  <si>
    <t>0314-3370373</t>
  </si>
  <si>
    <t>Shahzaib Muneer</t>
  </si>
  <si>
    <t>Muhammad Muneer Khan</t>
  </si>
  <si>
    <t>Chah  Budhywala Dak Khana Bagh, Chak Ghanana, Tehsil &amp; District Jhang</t>
  </si>
  <si>
    <t>0319-4602899</t>
  </si>
  <si>
    <t>Shafaqat Ali</t>
  </si>
  <si>
    <t>Bilal Gunj, Street No. 2, Mohalla Hajveri Town, Faisalabad</t>
  </si>
  <si>
    <t>0319-6773188</t>
  </si>
  <si>
    <t>Bilaj Munir</t>
  </si>
  <si>
    <t>House No. 103-P, Street No. 3, Niaz Gali, Mohalla Mansorabad, District Faisalabad</t>
  </si>
  <si>
    <t>0341-4478279</t>
  </si>
  <si>
    <t>Muhammad Awais Mushtaq</t>
  </si>
  <si>
    <t>Main Street Sargodha Road, Mohalla Ali Town, Jhang</t>
  </si>
  <si>
    <t>0303-7393203</t>
  </si>
  <si>
    <t>Muhammad Noman Yasin</t>
  </si>
  <si>
    <t>Dak Khana Ghulab Ali, Ratti Rampura, Tehsil &amp; District Bahawalnagar</t>
  </si>
  <si>
    <t>0303-2428180</t>
  </si>
  <si>
    <t>Abu Huraira</t>
  </si>
  <si>
    <t>Muhammad Hashim</t>
  </si>
  <si>
    <t>Talab Saraye, Dak Khana Khas, Raiwind Lahore</t>
  </si>
  <si>
    <t>0326-0801191</t>
  </si>
  <si>
    <t>Bilal Idrees</t>
  </si>
  <si>
    <t>Muhammad Idrees</t>
  </si>
  <si>
    <t>Dak Khana Khas, Bath, Tehsil &amp; District Lahore</t>
  </si>
  <si>
    <t>0305-4433062</t>
  </si>
  <si>
    <t>Muhamamd Junaid</t>
  </si>
  <si>
    <t>Babliyana Utar, Dak Khana Khas, Raiwind Lahore</t>
  </si>
  <si>
    <t>0313-4355646</t>
  </si>
  <si>
    <t>Muhammad Aqib Nisar</t>
  </si>
  <si>
    <t>Muhammad Nisar Khan</t>
  </si>
  <si>
    <t>Kamas K, Dak Khana Khas, Tehsil &amp; District Lahore</t>
  </si>
  <si>
    <t>0341-4326823</t>
  </si>
  <si>
    <t>Muhammad Sohail</t>
  </si>
  <si>
    <t>Near Ghazi Masjid, Raiwind Kalan, Dak Khana Khas, Raiwind, District Lahore</t>
  </si>
  <si>
    <t>0317-4822500</t>
  </si>
  <si>
    <t>Samar Mubarak</t>
  </si>
  <si>
    <t>BS Environmental Science</t>
  </si>
  <si>
    <t>Present: 18-D, Mohalla Model Town Lahore
Permanent: Dak Khana Khas, Chak No. 30 RB Moman, Tehsil Safdrabad, District Sheikhupura</t>
  </si>
  <si>
    <t>0305-6443471</t>
  </si>
  <si>
    <t>Alisha</t>
  </si>
  <si>
    <t>Sarfraz</t>
  </si>
  <si>
    <t>Mohalla Samsani Khoi, Johar Town Lahore</t>
  </si>
  <si>
    <t>0318-6715736</t>
  </si>
  <si>
    <t>Muhammad Umer</t>
  </si>
  <si>
    <t>Chak No. 67 D, Dak Khana Bonga Hayat, Tehsil &amp; District Pakpattan</t>
  </si>
  <si>
    <t>Subhu Sadiq</t>
  </si>
  <si>
    <t>Mianwali Ghaat, Dak Khana Khas Har Choki Hathar, Tehsil Chunian, District Kasur</t>
  </si>
  <si>
    <t>0304-2305258</t>
  </si>
  <si>
    <t>Irshad Hussain</t>
  </si>
  <si>
    <t>Karor Lal Easan Layyah (Sahulat on the GO)</t>
  </si>
  <si>
    <t>DAE (Mechanical Technology</t>
  </si>
  <si>
    <t>Basti Samundri, Chak No. 116 B/TDA, Tehsil Karor Lal Eason, District Layyah</t>
  </si>
  <si>
    <t>0305-5149312</t>
  </si>
  <si>
    <t>Zulqarnain Shamas</t>
  </si>
  <si>
    <t>Basti Qureshi Dak Khana Basti Ghazi, Sanjha Isra, Tehsil karor Laal Aisan, District Layyah</t>
  </si>
  <si>
    <t>0302-9001186</t>
  </si>
  <si>
    <t>Dak Khana Sahuwala, Shahani, tehsil Karor Lal Eason, District Layyah</t>
  </si>
  <si>
    <t>0325-0947098</t>
  </si>
  <si>
    <t>Sher Ali</t>
  </si>
  <si>
    <t>Sher Muhammad</t>
  </si>
  <si>
    <t>Chak No. 64 A/TDA, Tehsil Karor Lal Eason, District Layyah</t>
  </si>
  <si>
    <t>0328-9152116</t>
  </si>
  <si>
    <t>Muhammad Shoaib Ashraf</t>
  </si>
  <si>
    <t>Dak Khana Basti Qazi, Tehsil Karor Lal Eason, District Layyah</t>
  </si>
  <si>
    <t>0300-0981212</t>
  </si>
  <si>
    <t>Muhammad Zohaib</t>
  </si>
  <si>
    <t>Muhammad Hafeez  Khan</t>
  </si>
  <si>
    <t>Dak Khana Kotla Shah, Warh, Ghaskori Nasheeb, Tehsil &amp; District Layyah</t>
  </si>
  <si>
    <t>0303-6315868</t>
  </si>
  <si>
    <t>Tariq Azam</t>
  </si>
  <si>
    <t>Dak Khana Basti Qazi, Khokhar isra Nasheeb, Tehsil Karor Lal Eason, District Layyah</t>
  </si>
  <si>
    <t>0307-5568781</t>
  </si>
  <si>
    <t>Faizan Basharat</t>
  </si>
  <si>
    <t>Mohalla Basti Haji Gagan Kasur</t>
  </si>
  <si>
    <t>0327-4242922</t>
  </si>
  <si>
    <t>Muhammad Tabish</t>
  </si>
  <si>
    <t>0301-6830993</t>
  </si>
  <si>
    <t>Mahmoodabad Ghanikay Tehsil Kot Radha Kishan Kasur</t>
  </si>
  <si>
    <t>0324-4331836</t>
  </si>
  <si>
    <t>Jaun Ibrahim</t>
  </si>
  <si>
    <t>Mashooq Masih</t>
  </si>
  <si>
    <t>Basti Shahdara, Mohalla Kot Haleem Khan, Kasur</t>
  </si>
  <si>
    <t>0322-4545130</t>
  </si>
  <si>
    <t>Muhammad Talha Riaz</t>
  </si>
  <si>
    <t>Noor Masjid Colony, No. 1, House No. 443, Khanewal</t>
  </si>
  <si>
    <t>0337-6211107</t>
  </si>
  <si>
    <t>Ubaid Ullah</t>
  </si>
  <si>
    <t>Mubashar Hyder</t>
  </si>
  <si>
    <t>P/O Same Mahni Sial, Tehsil Kabirwala, District Khanewal</t>
  </si>
  <si>
    <t>0337-6092129</t>
  </si>
  <si>
    <t>Ibrar Munawar Jan</t>
  </si>
  <si>
    <t>Munawar Hayat</t>
  </si>
  <si>
    <t>Near Norani Masjid, Mohalla Marzipura, Khanewal</t>
  </si>
  <si>
    <t>0300-4126829</t>
  </si>
  <si>
    <t>Muhammad Abdur Rehman</t>
  </si>
  <si>
    <t>Qulzam Bashir Ahmad</t>
  </si>
  <si>
    <t>BS Computer Engineering</t>
  </si>
  <si>
    <t>House No. 295 B, Mohalla Tariqabad, Nagsh Qamar Printers, Khanewal</t>
  </si>
  <si>
    <t>0302-7595300
0304-0955145</t>
  </si>
  <si>
    <t>Nazar Hussain</t>
  </si>
  <si>
    <t>MA Urdu</t>
  </si>
  <si>
    <t>Koat Marth, Chak No. 5/B AR Dak Khana Khas, Mian Channu, District Khanewal</t>
  </si>
  <si>
    <t>0305-8948967</t>
  </si>
  <si>
    <t>Saqib Sarfraz</t>
  </si>
  <si>
    <t>0309-6353025</t>
  </si>
  <si>
    <t>Asghar Masih</t>
  </si>
  <si>
    <t>Present : Jhakarpur Dak Khana Ismailabad, Tehsil &amp; District Multan
Permanent : Chak No. 7/4 L Dak Khana Rangpura, Tehsil &amp; District Muzaffargarh</t>
  </si>
  <si>
    <t>0305-5466738</t>
  </si>
  <si>
    <t>Hiskeel Azeem</t>
  </si>
  <si>
    <t>Azeem Masih</t>
  </si>
  <si>
    <t>House No. 06, Christian Colony Mohalla Civil Line Khanewal</t>
  </si>
  <si>
    <t>0318-0455375</t>
  </si>
  <si>
    <t>Saniu Azeem</t>
  </si>
  <si>
    <t>0324-4808125</t>
  </si>
  <si>
    <t>Wishu Asghar</t>
  </si>
  <si>
    <t>Christian Colony Civil Line Khanewal</t>
  </si>
  <si>
    <t>Syed Jaffar Abbas</t>
  </si>
  <si>
    <t>0326-8528341</t>
  </si>
  <si>
    <t>Imran Yaseen</t>
  </si>
  <si>
    <t>Bangla Sherenwala, Chak No. 73/10 R, Tehsil Jahanian, District Khanewal</t>
  </si>
  <si>
    <t>0300-3489234</t>
  </si>
  <si>
    <t>Khawar Abbas</t>
  </si>
  <si>
    <t>Dak Khana Khas, Chak No. 11-A 8/R, Tehsil &amp; District Khanewal</t>
  </si>
  <si>
    <t>0304-7171091</t>
  </si>
  <si>
    <t>0304-7798093</t>
  </si>
  <si>
    <t>Muhammad Sajjad Hussain</t>
  </si>
  <si>
    <t>Chah Nalywala, Dhanot, Dak Khana Khas, Tehsil Kharoor Pakka</t>
  </si>
  <si>
    <t>0308-4371240</t>
  </si>
  <si>
    <t>Sajid Bukhsh</t>
  </si>
  <si>
    <t>Muhammad Bukhsh</t>
  </si>
  <si>
    <t>Chak No. 22/11 L, Dak Khana Khas,Tehsil Chichawatni District Sahiwal</t>
  </si>
  <si>
    <t>0315-0687422
0324-6364162</t>
  </si>
  <si>
    <t>Sohail Saqib</t>
  </si>
  <si>
    <t>Abdul Sattar Zafar</t>
  </si>
  <si>
    <t>Dak Khana Khanewal, Chak No. 168/10 R, Tehsil &amp; District Khanewal</t>
  </si>
  <si>
    <t>0302-7822373</t>
  </si>
  <si>
    <t>Umais Anique</t>
  </si>
  <si>
    <t>Muhammad Amjad Ali</t>
  </si>
  <si>
    <t>0325-9195195</t>
  </si>
  <si>
    <t>Fateh Muhammad</t>
  </si>
  <si>
    <t>Pathi Dak Khana Kot Abbas Shaheed, Chak No. 1 H, Tehsil Multan Saddar, District Multan</t>
  </si>
  <si>
    <t>0329-8580628</t>
  </si>
  <si>
    <t>Muhammad Rafay</t>
  </si>
  <si>
    <t>Chah Dhoray, Wala, Dak Khana Khas, Raja Ram, Tehsil Shujabad, District Multan</t>
  </si>
  <si>
    <t>0323-6710225</t>
  </si>
  <si>
    <t>Muhammad Ammar Javed</t>
  </si>
  <si>
    <t>DAE in Electrical Technology As per CV</t>
  </si>
  <si>
    <t>Basti Chah Shah, House No. 214 Near Wapda Office Khanewal</t>
  </si>
  <si>
    <t>0315-7520006</t>
  </si>
  <si>
    <t>Baber Hussain</t>
  </si>
  <si>
    <t>Ludhiky Nivian, Dak Khana Khas, Tehsil &amp; District Lahore</t>
  </si>
  <si>
    <t>0307-4373774</t>
  </si>
  <si>
    <t>Ghulam Ghous Khan</t>
  </si>
  <si>
    <t>Chaudhry Matee Ullah Khan</t>
  </si>
  <si>
    <t>House No. 26/6, Street No. 42 B, Mohalla Khalid Bin Waleed Street Sheraz Park Lahore</t>
  </si>
  <si>
    <t>0328-4450004
0302-0484675</t>
  </si>
  <si>
    <t>Hafiz Muhammad Umar</t>
  </si>
  <si>
    <t>Nawan Qilla, Dak Khana Khas, Manga Otar, Tehsil &amp; District Lahore</t>
  </si>
  <si>
    <t>0304-4619298</t>
  </si>
  <si>
    <t>Nabeel Afsar</t>
  </si>
  <si>
    <t>Present: Mohalla Nawan Pind, H-2 Block, Johar Town Lahore
Mohalla Hanjarwal Multan Road, Lahore</t>
  </si>
  <si>
    <t>0322-4411119</t>
  </si>
  <si>
    <t>Manna Masih</t>
  </si>
  <si>
    <t>Street No. 13, Mohalla Haideri Imam Bargah, Kharak Multan Road, Lahore</t>
  </si>
  <si>
    <t>0326-4476548</t>
  </si>
  <si>
    <t>Margas Masih</t>
  </si>
  <si>
    <t>Dak Khana Khas, Mohlanwal, Tehsil &amp; District Lahore</t>
  </si>
  <si>
    <t>0303-4083221</t>
  </si>
  <si>
    <t>Kashif Nazir</t>
  </si>
  <si>
    <t>Near Bakar Mandi, Mohalla Kot Kamboh Khurd Kachi Abadi  Sabzazaar, Lahore</t>
  </si>
  <si>
    <t>0310-4837707</t>
  </si>
  <si>
    <t>Said Muhammad</t>
  </si>
  <si>
    <t xml:space="preserve">Dak Khana Pakpattan, Miliye Taroky, Tehsil &amp; District Pakpattan
</t>
  </si>
  <si>
    <t>0302-4463663</t>
  </si>
  <si>
    <t>Asif Ali</t>
  </si>
  <si>
    <t>Basti Khadimabad, Mohalla Khara Road, Kasur</t>
  </si>
  <si>
    <t>0324-5538015</t>
  </si>
  <si>
    <t>House No. 38, Street No.2, Mohalla Kot Ameer Ali Shah, Okara</t>
  </si>
  <si>
    <t>0315-6429215</t>
  </si>
  <si>
    <t>Zahid Subhani</t>
  </si>
  <si>
    <t>House No. 444-D, Street No. 1, Mohalla Green Colony, Ferozepur Lahore</t>
  </si>
  <si>
    <t>0321-4376335</t>
  </si>
  <si>
    <t>Saqlain Ghous</t>
  </si>
  <si>
    <t>Ghulam Ghous</t>
  </si>
  <si>
    <t>Qilla Taray Dak Khana Khas, Manga Utar, Tehsil &amp; District Lahore</t>
  </si>
  <si>
    <t>0305-6012864</t>
  </si>
  <si>
    <t>Shahzaib Javaid</t>
  </si>
  <si>
    <t>Javaid Iqbal</t>
  </si>
  <si>
    <t>26 Km, Multan Road Najaf Colony, Ali Hussainabad, Dak Khana Khas Maraka,Tehsil Raiwind, District Lahore</t>
  </si>
  <si>
    <t>0309-4951564</t>
  </si>
  <si>
    <t>Ihtisham Shafqat</t>
  </si>
  <si>
    <t>Shafqat Masih</t>
  </si>
  <si>
    <t>Mohalla Sher Shah Street, Babu Sabu Band Road, Lahore</t>
  </si>
  <si>
    <t>0302-4511276</t>
  </si>
  <si>
    <t>Dak Khana Khas, Chak No. 43 Kacha Pakka, Tehsil Pattoki, District Kasur</t>
  </si>
  <si>
    <t>0309-4173102</t>
  </si>
  <si>
    <t>Shafaqat Masih</t>
  </si>
  <si>
    <t>House No. 462, Mohalla Sector C-2, Green Town Christian Colony, Block 3 Lahore</t>
  </si>
  <si>
    <t>0306-9493297</t>
  </si>
  <si>
    <t>Muhammad Kabeer</t>
  </si>
  <si>
    <t>House No. 54, Street No.2, Mohalla Bilal Colony Dholanwal Lahore</t>
  </si>
  <si>
    <t>Missing</t>
  </si>
  <si>
    <t>Zeeshan Elahi</t>
  </si>
  <si>
    <t>Khatam e Nabuwat (Sahulat on the GO)</t>
  </si>
  <si>
    <t>Dak Khana Hira Mines, Chak No. 136 TDA, Tehsil &amp; District Layyah</t>
  </si>
  <si>
    <t>0301-4771300</t>
  </si>
  <si>
    <t>Behroze Pervaiz</t>
  </si>
  <si>
    <t>House No. 40-Q, TDA Colony Layyah</t>
  </si>
  <si>
    <t>0319-3670435</t>
  </si>
  <si>
    <t>Dak Khana Layyah, Thand Kalan Nasheeb, Tehsil &amp; District Layyah</t>
  </si>
  <si>
    <t>0301-2854041</t>
  </si>
  <si>
    <t>Akhtar Hussain</t>
  </si>
  <si>
    <t>Noor Alam</t>
  </si>
  <si>
    <t>Patti Janobi, Dak Khana Layyah, Tehsil &amp; District Layyah</t>
  </si>
  <si>
    <t>0304-0531823</t>
  </si>
  <si>
    <t>Chak No. 153 TDA, Dak Khana Bhagil, Tehsil &amp; District Layyah</t>
  </si>
  <si>
    <t>0306-7844103</t>
  </si>
  <si>
    <t>Muhammad Ibraheem</t>
  </si>
  <si>
    <t>Muhammad Ramzan Thaheem</t>
  </si>
  <si>
    <t>D.Com</t>
  </si>
  <si>
    <t>Ward No. 10, Mohalla Qasaiyan Wala Shahpur City, District Sargodha</t>
  </si>
  <si>
    <t>0328-5167292</t>
  </si>
  <si>
    <t>Ameer Haider Shah</t>
  </si>
  <si>
    <t>Mumtaz Hussain Shah</t>
  </si>
  <si>
    <t>Ward No. 07, Mohalla Syedan Wala Shahpur City District Sargodha</t>
  </si>
  <si>
    <t>0300-7946803</t>
  </si>
  <si>
    <t>Naveed Mukhtar</t>
  </si>
  <si>
    <t xml:space="preserve">Mukhtar Hussain  </t>
  </si>
  <si>
    <t>As per CV MSMS</t>
  </si>
  <si>
    <t>House No. 562, Street No. 4, Mohalla Naseem Colony, Joharabad, Tehsil &amp; District Khushab</t>
  </si>
  <si>
    <t>0301-6770166</t>
  </si>
  <si>
    <t>Islam Pura, Near Eid Gah Khushab</t>
  </si>
  <si>
    <t>0301-3788704</t>
  </si>
  <si>
    <t>Muhammad Huzaifa Jameel</t>
  </si>
  <si>
    <t>House No. 1539, Street No. 03, Mohalla Masjid Ustadanwala, Khushab</t>
  </si>
  <si>
    <t>0329-0847387</t>
  </si>
  <si>
    <t>Arslan Haider</t>
  </si>
  <si>
    <t>Pervaiz Haider</t>
  </si>
  <si>
    <t>Kot Sultan Site Layyah (Sahulat on the Go)</t>
  </si>
  <si>
    <t>House No. 453, Jandwali Mohalla Ward No. 7,  Layyah</t>
  </si>
  <si>
    <t>0311-6005114</t>
  </si>
  <si>
    <t>Muhammad Shahzad Ibrahim</t>
  </si>
  <si>
    <t xml:space="preserve">Muhammad Ibrahim </t>
  </si>
  <si>
    <t>DAE in Petro Chemical Technology</t>
  </si>
  <si>
    <t>Chah Dargahi Wala, Muhammad Buksh Kehwar Dak Khana Mehmood Kot, Tehsil &amp; District Muzaffargarh</t>
  </si>
  <si>
    <t>0300-6007470
0300-7487531</t>
  </si>
  <si>
    <t>Muhammad Sarmad Saif</t>
  </si>
  <si>
    <t>Saleem Akhtar</t>
  </si>
  <si>
    <t>Sabitation Attendant</t>
  </si>
  <si>
    <t>Ward No. 7, Near Hussaini Chowk Mohalla Alworian Wala Layyah</t>
  </si>
  <si>
    <t>0324-9847852</t>
  </si>
  <si>
    <t>Lal Hussain</t>
  </si>
  <si>
    <t>BS Physics</t>
  </si>
  <si>
    <t>Chak No. 161 TDA, Tehsil &amp; District Layyah</t>
  </si>
  <si>
    <t>0309-0816776</t>
  </si>
  <si>
    <t>Muhammad Umar Farooq</t>
  </si>
  <si>
    <t>Dak Khana Kot Sultan, Jesal Thal Jandi, Tehsil &amp; District Layyah</t>
  </si>
  <si>
    <t>0300-4962568</t>
  </si>
  <si>
    <t>Ayaz Muhammad</t>
  </si>
  <si>
    <t>Wanjhera Thal Dak Khana Kot Sultan, Tehsil &amp; District Layyah</t>
  </si>
  <si>
    <t>0309-7126050</t>
  </si>
  <si>
    <t>Ali Hussain</t>
  </si>
  <si>
    <t>Faqeer Hussain</t>
  </si>
  <si>
    <t>Chak No. 99 A/TDA, Tehsil Karor Lal Eason, District Layyah</t>
  </si>
  <si>
    <t>0309-8359795</t>
  </si>
  <si>
    <t xml:space="preserve">Faiz Muhammad </t>
  </si>
  <si>
    <t>Chah Manjhy Wala, Dak Khana Paharpur Nasheeb, Tehsil &amp; District Layyah</t>
  </si>
  <si>
    <t>0306-8974380</t>
  </si>
  <si>
    <t>0309-7153382</t>
  </si>
  <si>
    <t>Dawood Masih</t>
  </si>
  <si>
    <t>Akram Masih</t>
  </si>
  <si>
    <t>Francis Town, Thokar Niaz Baig Lahore</t>
  </si>
  <si>
    <t>0328-1503093</t>
  </si>
  <si>
    <t>Shahroz Masih</t>
  </si>
  <si>
    <t>Manowal Chung, Lahore</t>
  </si>
  <si>
    <t>0309-4024550</t>
  </si>
  <si>
    <t>Irfan Abbas</t>
  </si>
  <si>
    <t>Tibba Sohlanwala Shamali, Dak Khana Khas, Bahal Digar, Tehsil &amp; District Bhakkar</t>
  </si>
  <si>
    <t>0329-8606300</t>
  </si>
  <si>
    <t>Present: House No. 7, Khasra No. 759, Mohalla Jiwara Park Bagriyan, Dhram Chand Lahore
Permanent: Ahmad Nagar Township Colloge Road Lahore</t>
  </si>
  <si>
    <t>0318-7915075</t>
  </si>
  <si>
    <t>Hasnain Raza</t>
  </si>
  <si>
    <t>Chak No. 62 Chamro Pur, Dak Khana Raiwind, Tehsil &amp; District Lahore</t>
  </si>
  <si>
    <t>0322-5449759</t>
  </si>
  <si>
    <t>Umer Rasheed</t>
  </si>
  <si>
    <t>Multan Road, Dak Khana Chung, Tehsil Raiwind, District Lahore</t>
  </si>
  <si>
    <t>0306-4315991</t>
  </si>
  <si>
    <t>Usman Ramzan</t>
  </si>
  <si>
    <t>Mohalla Abbasiya Ahmad Pur East,  District Bahawalpur</t>
  </si>
  <si>
    <t>0302-2703238</t>
  </si>
  <si>
    <t>Abrar Hussain Khan</t>
  </si>
  <si>
    <t>Baqir Hussain</t>
  </si>
  <si>
    <t>M.Sc Sociology</t>
  </si>
  <si>
    <t>Dak Khana Koat Sultan, Khurral Azeem Thal, Jandi , Tehsil &amp; District Layyah</t>
  </si>
  <si>
    <t>0306-6768484</t>
  </si>
  <si>
    <t>Dak Khana Bhadyanwala, Chak No. 99 B/TDA, Tehsil Karor Laal Aisan, District Layyah</t>
  </si>
  <si>
    <t>0306-8666564</t>
  </si>
  <si>
    <t>Bashir Ahmad Javaid</t>
  </si>
  <si>
    <t>Dak Khana Khas, Chak No. 124/15 L, Tehsil Mian Channu, District Khanewal</t>
  </si>
  <si>
    <t>0309-6407903
0310-1631107</t>
  </si>
  <si>
    <t>Dak Khana Makhdoom Rasheed, Chak No. 5 MR, Tehsil Multan Saddar, District Multan</t>
  </si>
  <si>
    <t>0307-5322099</t>
  </si>
  <si>
    <t xml:space="preserve">Muhammad Shahid  </t>
  </si>
  <si>
    <t>Manzoor Ahmad Urf Kala</t>
  </si>
  <si>
    <t>Basti Ghareebabad, Dak Khana Khas, Chak Hamta, Tehsil &amp; District Lodhran</t>
  </si>
  <si>
    <t>0328-6318720</t>
  </si>
  <si>
    <t>Umer Basharat</t>
  </si>
  <si>
    <t>House No. 188, J2, Johar Town Lahore</t>
  </si>
  <si>
    <t>0324-1536270</t>
  </si>
  <si>
    <t xml:space="preserve">Muhammad Javed  </t>
  </si>
  <si>
    <t>Present: House No. 35-D, Mohalla Hakim Town Bagariyan Green Town, Lahore
Permanent: Mohalla Kachi Abadi Colony, Township Lahore</t>
  </si>
  <si>
    <t>0317-1603789</t>
  </si>
  <si>
    <t>House No. 673, Sector C-2 Block 5, Mohalla Township Lahore</t>
  </si>
  <si>
    <t>0301-1231650</t>
  </si>
  <si>
    <t>Danish Ali</t>
  </si>
  <si>
    <t>Chowk Data Zaid, Daak Khana Qilla Colar Wala Pasror, District Sialkot</t>
  </si>
  <si>
    <t>0314-4322061</t>
  </si>
  <si>
    <t>Dost Ali</t>
  </si>
  <si>
    <t>Dak Khana Bacheki, Harbaan, Tehsil &amp; District Nankana Sahib</t>
  </si>
  <si>
    <t>0306-4684909</t>
  </si>
  <si>
    <t>Waseem Sarwar</t>
  </si>
  <si>
    <t>Dak Khana Pakka Sudhar Bahoky Dogar, Tehsil &amp; District Pakpattan</t>
  </si>
  <si>
    <t>0302-3011769</t>
  </si>
  <si>
    <t>Manga Mandi Dak Khana Khas Lahore</t>
  </si>
  <si>
    <t>0324-6641282</t>
  </si>
  <si>
    <t>Bahadar Masih</t>
  </si>
  <si>
    <t>Present: Mohalla Chung, Multan Road Lahore
Permanent: Dak Khana Dhang Shah, Baig Pura, Tehsil &amp; District Kasur</t>
  </si>
  <si>
    <t>0370-1768654</t>
  </si>
  <si>
    <t>Tayyab Sarwar</t>
  </si>
  <si>
    <t>Sarwar Ali</t>
  </si>
  <si>
    <t>Madina Market Township (Sahulat on the GO)</t>
  </si>
  <si>
    <t>Dak Khana Ludhiky Unchay, Ludhiky Nivian, Tehsil Raiwind, District Lahore</t>
  </si>
  <si>
    <t>0308-4046029</t>
  </si>
  <si>
    <t>Muhammad Azhar</t>
  </si>
  <si>
    <t>Present: House No. 19, Street No. 20, Mohalla GOR2, Mozang Chungi Lahore
Permanent: Keranwala Dak Khana Chak Ganda Singh, Dipalpur District Okara</t>
  </si>
  <si>
    <t>0303-4103209
0343-0480172</t>
  </si>
  <si>
    <t>Abu Rehan</t>
  </si>
  <si>
    <t>0340-1585861</t>
  </si>
  <si>
    <t>0301-4130110</t>
  </si>
  <si>
    <t>Syed Ali Mohsin Naqvi</t>
  </si>
  <si>
    <t>Saeed Mushtaq Hussain Naqvi</t>
  </si>
  <si>
    <t>Abdullah Mukhtar</t>
  </si>
  <si>
    <t>Mukhtar Hussain Zahid</t>
  </si>
  <si>
    <t>House No. 15, Street No. 37, Mohalla Mohammadi Ravi Road Lahore</t>
  </si>
  <si>
    <t>0304-0066174</t>
  </si>
  <si>
    <t>Syed Haider Abbas</t>
  </si>
  <si>
    <t>Syed Ali Raza Naqvi</t>
  </si>
  <si>
    <t>Mohalla Qilla Nathoka, Manga Mandi Lahore</t>
  </si>
  <si>
    <t>0317-4301060</t>
  </si>
  <si>
    <t>Naveed Ashiq</t>
  </si>
  <si>
    <t>Har Chooki Dak Khana Khas, Chuniyan District Kasur</t>
  </si>
  <si>
    <t>0321-8334459</t>
  </si>
  <si>
    <t>Shamoon Masih</t>
  </si>
  <si>
    <t>Labha</t>
  </si>
  <si>
    <t>0316-9776058</t>
  </si>
  <si>
    <t>Vikram Masih</t>
  </si>
  <si>
    <t>Samsani Khoi Dak Khana New Campus, Lahore</t>
  </si>
  <si>
    <t>0307-0458442</t>
  </si>
  <si>
    <t>Faizan ul Haq</t>
  </si>
  <si>
    <t>Inam ul Haq</t>
  </si>
  <si>
    <t>Mandi Bahauddin</t>
  </si>
  <si>
    <t>House No. 371/3, Mohalla Thathiyarwala, Bhera, District Sargodha</t>
  </si>
  <si>
    <t>0307-1296002</t>
  </si>
  <si>
    <t>Hafiz Muhammad Mohsin Mehboob</t>
  </si>
  <si>
    <t>Mehboob Elahi</t>
  </si>
  <si>
    <t>House No. 95/6, Thathiyarwani, Mohalla Peer Khaki, Bhera, District Sargodha</t>
  </si>
  <si>
    <t>0300-5826001</t>
  </si>
  <si>
    <t>Muhammad Javed Ashraf</t>
  </si>
  <si>
    <t>Mian Muhammad Ashraf</t>
  </si>
  <si>
    <t>House No. 49/11, Mohalla Khawajgan, Bhera, District Sargodha</t>
  </si>
  <si>
    <t>0300-6047617</t>
  </si>
  <si>
    <t>P.O Miani, Pakhuwal, Bhera, District Sargodha</t>
  </si>
  <si>
    <t>0303-9351754</t>
  </si>
  <si>
    <t>Mujahid Hussain</t>
  </si>
  <si>
    <t>Dak Khana Khas, Moijanwala, Tehsil &amp; District Mandi Bahauddin</t>
  </si>
  <si>
    <t>0349-6013987</t>
  </si>
  <si>
    <t>Ahmad Tariq</t>
  </si>
  <si>
    <t>Mandi Faizabad</t>
  </si>
  <si>
    <t>Mohalla Chah Baddaray Wala Dak Khana Khas, Sharaqpur Kalan Tehsil &amp; District Sharaqpur</t>
  </si>
  <si>
    <t>0328-9854046</t>
  </si>
  <si>
    <t>Nasir Ali</t>
  </si>
  <si>
    <t>Mohalla Asifabad Jaranwala Road, Near Palace Cinema, Dak Khana Khas, Sharaqpur, District Sheikhupura</t>
  </si>
  <si>
    <t>0323-8429946</t>
  </si>
  <si>
    <t>Noor Hassan</t>
  </si>
  <si>
    <t>Dak Khana Eisa Khail, Tehsil Jaranwala, District Faisalabad</t>
  </si>
  <si>
    <t>0319-1536168</t>
  </si>
  <si>
    <t>Sardar Zeeshan Haider Waris</t>
  </si>
  <si>
    <t>Dak Khana Khas, Chak 642 GB Maana Tibba, Tehsil Jaranwanla, District Faisalabad</t>
  </si>
  <si>
    <t>0322-1065301</t>
  </si>
  <si>
    <t>Syed Saqlain Shah</t>
  </si>
  <si>
    <t>Zulfiqar Ali Shah</t>
  </si>
  <si>
    <t>Kot Hayat, Dak Khana Mandi Faizabad, Nankana Sahib</t>
  </si>
  <si>
    <t>0325-6644340</t>
  </si>
  <si>
    <t>Arslan Masih</t>
  </si>
  <si>
    <t>Nawan Kot, Dak Khana Mandi Faizabad, Nankana Sahib</t>
  </si>
  <si>
    <t>0341-8099255</t>
  </si>
  <si>
    <t>Mukhtar Masih</t>
  </si>
  <si>
    <t>Rehan Wala, Dak Khana Mandi faizabad, Tehsil &amp; District Nankana Sahib</t>
  </si>
  <si>
    <t>0301-4314282</t>
  </si>
  <si>
    <t>Syed Dildar Hussain Shah</t>
  </si>
  <si>
    <t>Kot Dolat Imam Bargah, Qaiser Sakeena darweesh Colony, Nankana Sahib</t>
  </si>
  <si>
    <t>0305-4430077</t>
  </si>
  <si>
    <t>Dak Khana Khas, 653 GB, Tehsil Jaranwala, District Faisalabad</t>
  </si>
  <si>
    <t>0307-3785568</t>
  </si>
  <si>
    <t>Muhammad Shaban</t>
  </si>
  <si>
    <t>Dak Khana Khas, Chak 648 GB Kot Ghulam Muhammad, Tehsil Jaranwala, District Faisalabad</t>
  </si>
  <si>
    <t>0346-4106563</t>
  </si>
  <si>
    <t>Umair Farooq</t>
  </si>
  <si>
    <t>0306-9151850</t>
  </si>
  <si>
    <t>Waqar Hassan</t>
  </si>
  <si>
    <t>Nafar Ali</t>
  </si>
  <si>
    <t>Dak Khana Khas, Saidpura, Tehsil Jaranwala, District Faisalabad</t>
  </si>
  <si>
    <t>0347-8656197</t>
  </si>
  <si>
    <t>Mirza Hasnat Baig</t>
  </si>
  <si>
    <t>Munir Baig</t>
  </si>
  <si>
    <t>Manga Mandi Qilla Shair Singh Multan Road Dak Khana Khas, Lahore</t>
  </si>
  <si>
    <t>0300-1122903</t>
  </si>
  <si>
    <t>Noman Ali</t>
  </si>
  <si>
    <t>Irfan Ali</t>
  </si>
  <si>
    <t>Qilla Nawan Manga, Dak Khana Khas, Lahore</t>
  </si>
  <si>
    <t>0307-4429274</t>
  </si>
  <si>
    <t>Rana Haris Zia</t>
  </si>
  <si>
    <t>Rana Ahmad Zia</t>
  </si>
  <si>
    <t>Ahmadabad, Dak Khana Manga Mandi, Manga Otar, Tehsil Raiwind, District Lahore</t>
  </si>
  <si>
    <t>0308-4104180</t>
  </si>
  <si>
    <t>Zahoor Hussain</t>
  </si>
  <si>
    <t>Dak Khana Khas, Sundar, Tehsil &amp; District Lahore</t>
  </si>
  <si>
    <t>0311-9580205</t>
  </si>
  <si>
    <t>Azhar Mukhtar</t>
  </si>
  <si>
    <t>Qila Daud, Dak Khana Khas, Manga Otar, Tehsil &amp; District ;Lahore</t>
  </si>
  <si>
    <t>0308-4410001</t>
  </si>
  <si>
    <t>Qilla Nawan Manga Mandi, Dak Khana Khas, Lahore</t>
  </si>
  <si>
    <t>0320-6546350</t>
  </si>
  <si>
    <t>Amir Khan</t>
  </si>
  <si>
    <t>Qilla Daud, Ka Dak Khana Khas, Manga Mandi Lahore</t>
  </si>
  <si>
    <t>0320-7374613</t>
  </si>
  <si>
    <t>Kalash Aslam</t>
  </si>
  <si>
    <t>Qilla Nawan Manga Utar, Dak Khana Khas, Tehsil Raiwind, District Lahore</t>
  </si>
  <si>
    <t>0320-7374616</t>
  </si>
  <si>
    <t>Shan Masih</t>
  </si>
  <si>
    <t>Bath, Dak Khana Shanky Bhatiyan, Tehsil &amp; District Lahore</t>
  </si>
  <si>
    <t>0325-4482057</t>
  </si>
  <si>
    <t>0336-0680485</t>
  </si>
  <si>
    <t>Hina Safdar</t>
  </si>
  <si>
    <t>Safdar Ali</t>
  </si>
  <si>
    <t>22/9, Infantry Road, Mustafabad Dharampura Lahore</t>
  </si>
  <si>
    <t>0328-5156282</t>
  </si>
  <si>
    <t>Sadi Ahmad</t>
  </si>
  <si>
    <t>Dak Khana Khas Chak No. 15/1 R, Chak No. 12/1 R, Tehsil &amp; District Okara</t>
  </si>
  <si>
    <t>0349-6023562</t>
  </si>
  <si>
    <t>Moeen Munir</t>
  </si>
  <si>
    <t>House No. LDA-4, Block-A, Mohalla Walton Road Lahore</t>
  </si>
  <si>
    <t>0322-1403235</t>
  </si>
  <si>
    <t>Muhammad Saqib</t>
  </si>
  <si>
    <t>Malik Ahmad Yar</t>
  </si>
  <si>
    <t>Muhammad Saleem Khail, Dak Khana Khas, Shahbaz Khail Pakka, Tehsil &amp; District Mianwali</t>
  </si>
  <si>
    <t>0304-0646035</t>
  </si>
  <si>
    <t>Muhammad Saif ur Rehman</t>
  </si>
  <si>
    <t>Muhammad Ashraf Khan</t>
  </si>
  <si>
    <t>0304-7257219</t>
  </si>
  <si>
    <t>Adeel Jan</t>
  </si>
  <si>
    <t>Jan Masih</t>
  </si>
  <si>
    <t>House No. 2, Zaraat Colony, Mianwali</t>
  </si>
  <si>
    <t>0370-7074050</t>
  </si>
  <si>
    <t>Ijaz Masih</t>
  </si>
  <si>
    <t>Mehboob Khokhar</t>
  </si>
  <si>
    <t>House No. B-5, Mohalla Sherman Khail, Mianwali</t>
  </si>
  <si>
    <t>0304-4059223</t>
  </si>
  <si>
    <t>Muhammad Daniyal Khan</t>
  </si>
  <si>
    <t>Habib Ullah Khan</t>
  </si>
  <si>
    <t>Mohalla Hayatabad, Wandha Guddi Khelanwala, Dak Khana Mianwali, yarokhel Pakka, Tehsil &amp; District Mianwali</t>
  </si>
  <si>
    <t>0329-7620601</t>
  </si>
  <si>
    <t>Muhammad Raees</t>
  </si>
  <si>
    <t>Dak Khana Mianwali, Haed Pakka, Tehsil &amp; District Mianwali</t>
  </si>
  <si>
    <t>0302-6779447</t>
  </si>
  <si>
    <t>Muhammad Danyal</t>
  </si>
  <si>
    <t>Nasrullah</t>
  </si>
  <si>
    <t>Mohalla Samnabad, Piplan City, Tehsil Pilan, District Mianwali</t>
  </si>
  <si>
    <t>Chak No. 13, ML, Dak Khana Liaqatabad, Tehsil Piplan, District Mianwali</t>
  </si>
  <si>
    <t>0302-5090208</t>
  </si>
  <si>
    <t>Muhammad Naeem Ullah</t>
  </si>
  <si>
    <t>Muhamamd Farooq</t>
  </si>
  <si>
    <t>Mohalla Dera Pehlwan Khail, Dak Khana Khas, Waa Bhichra, Tehsil &amp; District Mianwali</t>
  </si>
  <si>
    <t>0302-6328424</t>
  </si>
  <si>
    <t>Syed Muhammad Aizaz Haider Shah</t>
  </si>
  <si>
    <t>House No. 444 K, Dak Khana Khas, Kala Bagh Tehsil Aisa Khail, District Mianwali</t>
  </si>
  <si>
    <t>0334-7668923</t>
  </si>
  <si>
    <t>House No. 27-H, Street No. 3, Mohalla Noralamin Colony, Tehsil &amp; District Faisalabad</t>
  </si>
  <si>
    <t>0307-8524957
0349-9886937</t>
  </si>
  <si>
    <t>Minor Road Layyah (Sahulat on the GO)</t>
  </si>
  <si>
    <t>Chak No. 151 TDA, Dak Khana Layyah, Tehsil &amp; District Layyah</t>
  </si>
  <si>
    <t>0308-1740151</t>
  </si>
  <si>
    <t>Muhammad Asad Raza</t>
  </si>
  <si>
    <t>Ward No. 15, Mohalla Basti Sheikh Jallo Layyah</t>
  </si>
  <si>
    <t>0322-0660349</t>
  </si>
  <si>
    <t>Syed Farhan Ali</t>
  </si>
  <si>
    <t>Syed Shabbir Haider</t>
  </si>
  <si>
    <t>House No. 208 N-II, Ward No. 17 TDA Colony Layyah</t>
  </si>
  <si>
    <t>0300-8540830</t>
  </si>
  <si>
    <t>Amrooz Atish</t>
  </si>
  <si>
    <t>Pitras Masih</t>
  </si>
  <si>
    <t>Chak No. 270 TDA, Dak Khana Khas, tehsil Karor Lal eason District Layyah</t>
  </si>
  <si>
    <t>0341-8736951</t>
  </si>
  <si>
    <t>Sameet</t>
  </si>
  <si>
    <t>Hameed Masih</t>
  </si>
  <si>
    <t>Ward No. 1, Mohalla Sharif Pura Layyah</t>
  </si>
  <si>
    <t>0306-4416051</t>
  </si>
  <si>
    <t>Vishal Dildar</t>
  </si>
  <si>
    <t>Dildar Masih</t>
  </si>
  <si>
    <t>Mohalla Sheikhawanlan layyah</t>
  </si>
  <si>
    <t>Zohaib Nasir</t>
  </si>
  <si>
    <t>Nasir Masih</t>
  </si>
  <si>
    <t>Ward No. 5, Mohalla Eid Gah Lahore</t>
  </si>
  <si>
    <t>0306-2827790</t>
  </si>
  <si>
    <t>Muhamamd Matlob</t>
  </si>
  <si>
    <t>Muhammad Yousaf Khan</t>
  </si>
  <si>
    <t>Ward No. 17, Mohalla Faizabad, Layyah</t>
  </si>
  <si>
    <t>0306-8769898</t>
  </si>
  <si>
    <t>Safeer Mehdi</t>
  </si>
  <si>
    <t>Check No. 114 TDA Dak Khana Shahpur Doratha, Tehsil &amp; District Layyah</t>
  </si>
  <si>
    <t>0308-5716064</t>
  </si>
  <si>
    <t>Yousuf Hussain</t>
  </si>
  <si>
    <t>Patti Janobi, Dak Khana Layyah, Samra Nasheeb Kacha, Tehsil &amp; District Layyah</t>
  </si>
  <si>
    <t>0326-9608569</t>
  </si>
  <si>
    <t>Alia Batool</t>
  </si>
  <si>
    <t>Husband : Faheem ul Hassan</t>
  </si>
  <si>
    <t>Basti Nawan Budh, Dak Khana Aliabad, Tehsil &amp; District Kot Addu</t>
  </si>
  <si>
    <t>0332-6027674</t>
  </si>
  <si>
    <t>Muhammad Mujahid Munir</t>
  </si>
  <si>
    <t>Basti Chandia Dak Khana Ghazi Ghaat, Chan Wala Tehsil Kot Addu District Muzaffargarh</t>
  </si>
  <si>
    <t>0311-6288286</t>
  </si>
  <si>
    <t>Ali Jan</t>
  </si>
  <si>
    <t>Bachelors in Sociology</t>
  </si>
  <si>
    <t>Panwar Shamali, Dak Khana Mahmood Koat, Tehsil Koat Adu, District Muzaffargarh</t>
  </si>
  <si>
    <t>0312-7884153</t>
  </si>
  <si>
    <t>Jamil Ur Rehman</t>
  </si>
  <si>
    <t>Abdul Rehman Malik</t>
  </si>
  <si>
    <t>House No. 379, Mohalla Qayyum Nagar, Muzaffargarh</t>
  </si>
  <si>
    <t>0300-7487733</t>
  </si>
  <si>
    <t>Chah Lohar Wala, Chabakpur, Dak Khana Shah Jamal, Tehsil &amp; District Muzaffargarh</t>
  </si>
  <si>
    <t>0306-0728075</t>
  </si>
  <si>
    <t>Basti Nawan Kot Budg Dak Khana Aliabad, Tehsil Kot Addu  District Muzaffargarh</t>
  </si>
  <si>
    <t>0329-2985855</t>
  </si>
  <si>
    <t>Mushtaq Ahmad</t>
  </si>
  <si>
    <t>Basti Habibabad, Tuleri, Dak Khana Muzaffargarh, Tehsil &amp; District Muzaffargarh</t>
  </si>
  <si>
    <t>0303-6557724</t>
  </si>
  <si>
    <t>Saghgeer Hussain</t>
  </si>
  <si>
    <t>Nazeer Hussain</t>
  </si>
  <si>
    <t>Basti Nawan Dak Khana Station Mudh, Tehsil &amp; District Muzaffargarh</t>
  </si>
  <si>
    <t>0323-6256923</t>
  </si>
  <si>
    <t>Dak Khana Mahmood Koat, Koat Addu, district Muzaffargarh</t>
  </si>
  <si>
    <t>0308 6765156</t>
  </si>
  <si>
    <t>Anosh Nazir</t>
  </si>
  <si>
    <t>Christian Colony, Near Ahmadabad, Mohalla Gulzar Town Multan</t>
  </si>
  <si>
    <t>0301-4034948</t>
  </si>
  <si>
    <t>Ghulam Muhammad Mursaleen</t>
  </si>
  <si>
    <t>Mehar Hussain</t>
  </si>
  <si>
    <t>Mohalla People Wala, Muzaffargarh</t>
  </si>
  <si>
    <t>0302-6739928</t>
  </si>
  <si>
    <t>Hassan Shahroz Khan</t>
  </si>
  <si>
    <t>Abdul Sattar Khan</t>
  </si>
  <si>
    <t>House No. 830, Near Police Line, Mohalla Qayyum Nagar, Muzaffargarh</t>
  </si>
  <si>
    <t>0300-6291278</t>
  </si>
  <si>
    <t>Jameel Ahmad</t>
  </si>
  <si>
    <t>Ghulam Yasin</t>
  </si>
  <si>
    <t>Chah Behsti, Dak Khana Khas, Tehsil Jatoi, District Muzaffargarh</t>
  </si>
  <si>
    <t>0321-1108741</t>
  </si>
  <si>
    <t>Chah Balay Wala, Dak Khana Mehmood Koat, Panwar Shamali, Tehsil &amp; District Koat Addu</t>
  </si>
  <si>
    <t>0301-1236312</t>
  </si>
  <si>
    <t>Muneer Hussain</t>
  </si>
  <si>
    <t>Basti Chandia Ghazi Ghaat, Chan wala, Tehsil Kot Addu, District Muzaffargarh</t>
  </si>
  <si>
    <t>0334-7322620</t>
  </si>
  <si>
    <t>Muzamil Sajjad</t>
  </si>
  <si>
    <t>Near Labour Office Mohalla People Wala, Muzaffargarh</t>
  </si>
  <si>
    <t>0307-3491190</t>
  </si>
  <si>
    <t>Nadir Shahzad</t>
  </si>
  <si>
    <t>Dak Khana Mehmood Koat Shehr, Panwar Shamali, Tehsil Koat Adu, District Muzaffargarh</t>
  </si>
  <si>
    <t>0301-6984016</t>
  </si>
  <si>
    <t>Tehseen Raza</t>
  </si>
  <si>
    <t>0333-0394572</t>
  </si>
  <si>
    <t>Ubaidullah</t>
  </si>
  <si>
    <t>Muhammad Hafeez</t>
  </si>
  <si>
    <t>Dak Khana Khas, Man Charya, Tehsil Dipalpur, District Okara</t>
  </si>
  <si>
    <t>0326-5883702</t>
  </si>
  <si>
    <t>Ubaid ur Rehman</t>
  </si>
  <si>
    <t>Chah Ilyas Wala, Dak Khana Baseera, Mehboob Wala, Tehsil &amp; District Muzaffargarh</t>
  </si>
  <si>
    <t>0340-6958160
0300-4215801</t>
  </si>
  <si>
    <t>Hussain Nadeem</t>
  </si>
  <si>
    <t xml:space="preserve">Muhammad Nadeem  </t>
  </si>
  <si>
    <t>House No. 56, Haji Abdullah Street, dak Khana Khas, Raiwind Lahore</t>
  </si>
  <si>
    <t>0325-4600799</t>
  </si>
  <si>
    <t>Muhammad Fayaz</t>
  </si>
  <si>
    <t>Dak Khana Khas, Chak No. 6, Ali Pur, Tehsil Chunian, District Kasur</t>
  </si>
  <si>
    <t>0308-5802304</t>
  </si>
  <si>
    <t>Shehzad Masih</t>
  </si>
  <si>
    <t>House No. 5, Street No.1, Mohalla Feroz Park, Youhnabad, Lahore</t>
  </si>
  <si>
    <t>0303-5766902</t>
  </si>
  <si>
    <t>Street No. 13 Mushtaq Town Near Niazi Adda Band Road Lahore</t>
  </si>
  <si>
    <t>0304-4597396</t>
  </si>
  <si>
    <t>Azhar Altaf</t>
  </si>
  <si>
    <t>House No. 89-E, Street No.4, Mohalla Iqbal Park Rifle Range Road Lahore</t>
  </si>
  <si>
    <t>0302-4615548</t>
  </si>
  <si>
    <t>Shahzad Hussain</t>
  </si>
  <si>
    <t>As per CV Bsc electrical Engineering</t>
  </si>
  <si>
    <t>Sheikhupra Lahore</t>
  </si>
  <si>
    <t>0342-4340864</t>
  </si>
  <si>
    <t>Ameen Masih</t>
  </si>
  <si>
    <t>Sajwara masih</t>
  </si>
  <si>
    <t>Tara Garh, Dak Khana Khadiyan Khas Tehsil &amp; District Kasur</t>
  </si>
  <si>
    <t>0309-0411575</t>
  </si>
  <si>
    <t>William Masih</t>
  </si>
  <si>
    <t>House No. 13, Street No. 3, Mohalla Petter Gull Colony, Walton Road Lahore</t>
  </si>
  <si>
    <t>0309-9698245</t>
  </si>
  <si>
    <t>Shan</t>
  </si>
  <si>
    <t>Street No. 06, Mohalla Youhnabad Ferozpur Road, Block F, Lahore</t>
  </si>
  <si>
    <t>0308-4914415</t>
  </si>
  <si>
    <t>Samnabad Lahore</t>
  </si>
  <si>
    <t>0304-4634587</t>
  </si>
  <si>
    <t>Street No. 63, Mohalla Neva Teer Andaz Park Chah Miran, Lahore</t>
  </si>
  <si>
    <t>House No. 52, Attique Street Kamal Road Ichra Lahore</t>
  </si>
  <si>
    <t>0311-4927901</t>
  </si>
  <si>
    <t>Rizwan Ahmad Khan</t>
  </si>
  <si>
    <t>Khan Bahadur</t>
  </si>
  <si>
    <t>Gulasan Hameed, Dak Khana Baseerpura</t>
  </si>
  <si>
    <t>0300-8975207</t>
  </si>
  <si>
    <t>Ali Rizwan</t>
  </si>
  <si>
    <t>Fazal Abbas</t>
  </si>
  <si>
    <t>6 Months Electrician Diploma</t>
  </si>
  <si>
    <t>0347-7951549</t>
  </si>
  <si>
    <t>Ghulam Abuzar</t>
  </si>
  <si>
    <t>Arshad Hussain</t>
  </si>
  <si>
    <t>Dak Khana Khas, Khan Musalman, Tehsil Noshera Warkan, District Gujranwala</t>
  </si>
  <si>
    <t>0300-8853473</t>
  </si>
  <si>
    <t>Kumail Haider</t>
  </si>
  <si>
    <t>Ghulam Sakhi</t>
  </si>
  <si>
    <t>Street No. 2, Iqbal Town Rahwali Cantt Gujranwala</t>
  </si>
  <si>
    <t>0300-8133286</t>
  </si>
  <si>
    <t>Ebiya Masih</t>
  </si>
  <si>
    <t>Piranditta Masih</t>
  </si>
  <si>
    <t>Dak Khana Kolo Wala Doburji Tehsil Nosheran Virkan</t>
  </si>
  <si>
    <t>0344-6219368</t>
  </si>
  <si>
    <t>Patris Masih</t>
  </si>
  <si>
    <t>Zulfiqar Masih</t>
  </si>
  <si>
    <t>0342-5995661</t>
  </si>
  <si>
    <t>0345-6832911</t>
  </si>
  <si>
    <t xml:space="preserve">Ali Raza </t>
  </si>
  <si>
    <t>Matto Bhaike, Dak Khana Khas, Noshera Warkan, District Gujranwala</t>
  </si>
  <si>
    <t>0308-6877503</t>
  </si>
  <si>
    <t>Dak Khana Kulunwala Duvburji, Tehsil Noshera Warkan, District Gujranwala</t>
  </si>
  <si>
    <t>0344-4884473</t>
  </si>
  <si>
    <t>0341-6337987</t>
  </si>
  <si>
    <t>Syed Muhammad Sharif</t>
  </si>
  <si>
    <t>Dak Khana Khas, Melunwala, Tehsil &amp; District Gujranwala</t>
  </si>
  <si>
    <t>0303-7340141</t>
  </si>
  <si>
    <t>Sadaf Muhammad Din</t>
  </si>
  <si>
    <t>House No. 12, Street No.3, Mohalla Ayub Park Okara</t>
  </si>
  <si>
    <t>0324-4047217</t>
  </si>
  <si>
    <t>Sumira Ruby</t>
  </si>
  <si>
    <t>Naveed Ahmed</t>
  </si>
  <si>
    <t>House No. 148/4-B, Mohalla Shadman Colony, Main Bazaar okara</t>
  </si>
  <si>
    <t>0316-0140924</t>
  </si>
  <si>
    <t>Sheikh Ahmad</t>
  </si>
  <si>
    <t>Dak Khana Khas, 82/5 L, Tehsil &amp; District Sahiwal</t>
  </si>
  <si>
    <t>0302-6917082</t>
  </si>
  <si>
    <t>Daleep Sharif</t>
  </si>
  <si>
    <t>Sharif Masih</t>
  </si>
  <si>
    <t>House No. 10, Street No. 03, Mohalla Eisa Nagri Sahiwal</t>
  </si>
  <si>
    <t>0312-6420545</t>
  </si>
  <si>
    <t>Hamza Akram</t>
  </si>
  <si>
    <t>Street No. 2, House No. 7, Christian Colony, Eid Gah Road, Okara</t>
  </si>
  <si>
    <t>0310-6183516</t>
  </si>
  <si>
    <t>Shakeel Masih</t>
  </si>
  <si>
    <t>0310-6790067</t>
  </si>
  <si>
    <t>Hassan Shabbir</t>
  </si>
  <si>
    <t xml:space="preserve">Chak No. 89/9 L, Dak Khana Khas, Tehsil </t>
  </si>
  <si>
    <t>0300-4549989
0313-7628789</t>
  </si>
  <si>
    <t>Muhammad Akhtar</t>
  </si>
  <si>
    <t>Tehsil Renala Khurd, District Okara</t>
  </si>
  <si>
    <t>0307-0771493</t>
  </si>
  <si>
    <t>Muhammad Inam Ullah Qamar</t>
  </si>
  <si>
    <t>Muhammad Ahmad</t>
  </si>
  <si>
    <t>Galli Gaman Wali, Mohalla Shah Meer, Hujra Shah Muqeem, Tehsil Dipalpur, District Okara</t>
  </si>
  <si>
    <t>0305-5857608</t>
  </si>
  <si>
    <t>Near Chakki Kumhara Wali, Mohalla Khatekan Wala, Chunia District Kasur</t>
  </si>
  <si>
    <t>0303-4482621</t>
  </si>
  <si>
    <t>Muhammad Quresh</t>
  </si>
  <si>
    <t>Basti Koranwali, Dak Khana Ghulab Ali, Ratti Rampura, Tehsil &amp; District Bahawalnagar</t>
  </si>
  <si>
    <t>0315-3976476</t>
  </si>
  <si>
    <t>Mohalla Khatika Wala Chunian, District Kasur</t>
  </si>
  <si>
    <t>0325-1490436
0314-7200443</t>
  </si>
  <si>
    <t>Usman Khalid</t>
  </si>
  <si>
    <t>Muhammad Khalid Mehmood</t>
  </si>
  <si>
    <t>House No. 01, Street No. 06, Basti Rehmatpura, Okara</t>
  </si>
  <si>
    <t>0304-2439420</t>
  </si>
  <si>
    <t>Syed Ali Jaffar Shah</t>
  </si>
  <si>
    <t>Dak Khana Okara Cantt, Chak No. 54/4 R, Tehsil &amp; District Sahiwal</t>
  </si>
  <si>
    <t>0341-8434540</t>
  </si>
  <si>
    <t>0336-6351398</t>
  </si>
  <si>
    <t>Shair Kot, P/0 Sukh Pur, Kacha Paka, Tehsil Dipalpur, District Okara</t>
  </si>
  <si>
    <t>0319-4802275
0342-6739663</t>
  </si>
  <si>
    <t>Muhammad Ayaz</t>
  </si>
  <si>
    <t xml:space="preserve">Zulfiqar Ali  </t>
  </si>
  <si>
    <t>House No. 53, Samadpura Road, Mohalla Ahmadabad Okara</t>
  </si>
  <si>
    <t>0303-5530036</t>
  </si>
  <si>
    <t>Tayyab Raza</t>
  </si>
  <si>
    <t>Near  Chungi No. 6, Purana Bahawalpur Road, Karor Pakka, Lodhran</t>
  </si>
  <si>
    <t>0300-7541514</t>
  </si>
  <si>
    <t>Shafqat Ali</t>
  </si>
  <si>
    <t>Alam Ali</t>
  </si>
  <si>
    <t>Chan Peer Road, Beet Bahmi, Pakpattan</t>
  </si>
  <si>
    <t>0324-9795164</t>
  </si>
  <si>
    <t>Asif Raza</t>
  </si>
  <si>
    <t>House No. 624/D Renala Khurd District Okara</t>
  </si>
  <si>
    <t>0300-7091918
0314-8750223</t>
  </si>
  <si>
    <t>Khadim Hussain Naqvi</t>
  </si>
  <si>
    <t>Dak Khana Khas, Ghulab Ali, Tehsil &amp; District Bahawalnagar</t>
  </si>
  <si>
    <t>0370-5934544</t>
  </si>
  <si>
    <t>Abdul Samad Madni</t>
  </si>
  <si>
    <t>DAE (Civil Technology)</t>
  </si>
  <si>
    <t>Chak No. 148, TDA, Dak Khana Layyah</t>
  </si>
  <si>
    <t>0304-4462226</t>
  </si>
  <si>
    <t>Chak No. 118/12L Kassowal  Tehsil Chichawatni, District Sahiwal</t>
  </si>
  <si>
    <t>0320-3842118
0331-2102932</t>
  </si>
  <si>
    <t>Abdul Wakeel</t>
  </si>
  <si>
    <t>Muhammad saeed</t>
  </si>
  <si>
    <t>0340-3742136</t>
  </si>
  <si>
    <t>Mohalla Bonga Balochan, Phool Nagar Tehsil Pattoki, District Kasur</t>
  </si>
  <si>
    <t>Farukh Manzoor</t>
  </si>
  <si>
    <t>Manzoor Hussain Bhatti</t>
  </si>
  <si>
    <t>Dak Khana Changa Manga, Chak 32 Munshian wala, Tehsil Pattoki District kasur</t>
  </si>
  <si>
    <t>0300-0418172</t>
  </si>
  <si>
    <t>Usama Rafique</t>
  </si>
  <si>
    <t>MS.c (Social Work)</t>
  </si>
  <si>
    <t>0312-4547247</t>
  </si>
  <si>
    <t>Asad Ali</t>
  </si>
  <si>
    <t>Safdar Jameel Yousaf</t>
  </si>
  <si>
    <t>0304-4065551</t>
  </si>
  <si>
    <t>Akash Masih</t>
  </si>
  <si>
    <t>Mohalla Jandawala, Ahata Madina Colony, Pattoki District Kasur</t>
  </si>
  <si>
    <t>0308-5071366</t>
  </si>
  <si>
    <t>Mohalla Ahata Jandwala, Barf Khana Road, Pattoki, District Kasur</t>
  </si>
  <si>
    <t>0305-8791008</t>
  </si>
  <si>
    <t>Mohalla Madina Colony Near Mandi , Pattoki, District Kasur</t>
  </si>
  <si>
    <t>0307-7077016</t>
  </si>
  <si>
    <t>0310-4825483</t>
  </si>
  <si>
    <t>Muhammad Miraj Khalid</t>
  </si>
  <si>
    <t>Nazar Hussain Shahazada</t>
  </si>
  <si>
    <t>Chak No. 34, Malanwala, Dak Khana Tehsil Pattoki, District Kasur</t>
  </si>
  <si>
    <t>Zahid Raza</t>
  </si>
  <si>
    <t xml:space="preserve">Muhammad Aslam   </t>
  </si>
  <si>
    <t>Daklk Khana Chochak Bazida, Tehsil Renala Khurd, District Okara</t>
  </si>
  <si>
    <t>0348-6232237</t>
  </si>
  <si>
    <t>Fayyaz Ahmad</t>
  </si>
  <si>
    <t>House No. 06, Street No. 06, Mohalla Badar Colony Pattoki, District Kasur</t>
  </si>
  <si>
    <t>0345-4499833</t>
  </si>
  <si>
    <t>Shakeel Akram</t>
  </si>
  <si>
    <t>Christian Colony Raiwind Lahore</t>
  </si>
  <si>
    <t>0324-6671200</t>
  </si>
  <si>
    <t>Laiba Umar</t>
  </si>
  <si>
    <t>Associate Degree</t>
  </si>
  <si>
    <t>Street Younas Thekedar Wali, Mohalla Eard No. 16, Railway Colony Lahore</t>
  </si>
  <si>
    <t>0321-7514502</t>
  </si>
  <si>
    <t>Muhammad Ali Shan</t>
  </si>
  <si>
    <t>Security &amp; Parking</t>
  </si>
  <si>
    <t>Tibba Pajiyan, Dak Khana Khas, Paaji, Tehsil raiwind, District Lahore</t>
  </si>
  <si>
    <t>0320-7005226</t>
  </si>
  <si>
    <t>Mohalla Kot Nehal Khan Raiwind, Tehsil &amp; District Lahore</t>
  </si>
  <si>
    <t>0306-4334731</t>
  </si>
  <si>
    <t>Chand Masih</t>
  </si>
  <si>
    <t>Hadayat Masih</t>
  </si>
  <si>
    <t>Bhachoki Mahja Raiwind, District Lahore</t>
  </si>
  <si>
    <t>0302-4659791</t>
  </si>
  <si>
    <t>Hussnain Raza</t>
  </si>
  <si>
    <t>Muhammad Akbar Dogar</t>
  </si>
  <si>
    <t>Mohalla Kot Nehal Khan Mnadi Lahore</t>
  </si>
  <si>
    <t>0308-4393170</t>
  </si>
  <si>
    <t>Muhammad Akmal</t>
  </si>
  <si>
    <t>Mohalla Railway Colony, Tehsil &amp; District Lahore</t>
  </si>
  <si>
    <t>0335-0452946</t>
  </si>
  <si>
    <t>Ali Wajid</t>
  </si>
  <si>
    <t>Wajid Hussain</t>
  </si>
  <si>
    <t>House No. 57-s-6-iv, Mohalla Koat Usman Khan Kasur</t>
  </si>
  <si>
    <t>0321-4170649</t>
  </si>
  <si>
    <t>Ashir</t>
  </si>
  <si>
    <t>Emanuel</t>
  </si>
  <si>
    <t>House No. 28, Street No. 3-A, Christian Colony Koh Noor Mills, Mohalla Nasirabad, Tehsil &amp; District Rawalpindi</t>
  </si>
  <si>
    <t>0313-5833681</t>
  </si>
  <si>
    <t>Present: House No. S-25/8, PAF Complex, Sector E-9, Islamabad
Permanent: Dak Khana Khas, Chak No. 80 SP, Tehsil &amp; District Pakpattan</t>
  </si>
  <si>
    <t>0303-0115018</t>
  </si>
  <si>
    <t>Danish Tariq</t>
  </si>
  <si>
    <t>Tariq Masih</t>
  </si>
  <si>
    <t>House No. 23, Christian Street No.1, Mohalla Bheeky Wal, Lahore</t>
  </si>
  <si>
    <t>0302-1498843</t>
  </si>
  <si>
    <t>Abbas Ali</t>
  </si>
  <si>
    <t>0303-9843598</t>
  </si>
  <si>
    <t>Syed Muhammad Ali Sami</t>
  </si>
  <si>
    <t>Syed Sami Nawaz</t>
  </si>
  <si>
    <t>House No. 12, Bilal Street, Mohalla Shah Kamal Road, Ichra Lahore</t>
  </si>
  <si>
    <t>0321-1489353</t>
  </si>
  <si>
    <t>Security &amp; Parking Attendant (Working as Electrician)</t>
  </si>
  <si>
    <t>Dak Khana Khas, Jiya Bagga, Tehsil &amp; District Lahore</t>
  </si>
  <si>
    <t>0304-6582881</t>
  </si>
  <si>
    <t>Security &amp; Parking Attendant(Welder)</t>
  </si>
  <si>
    <t>Dak Khana Baghanwala, Chak No. 99 A/TDA, Tehsil Karor Lal Eason, District Layyah</t>
  </si>
  <si>
    <t>0308-1315199</t>
  </si>
  <si>
    <t>Muhammad Iqbal Javed</t>
  </si>
  <si>
    <t>B.Sc (Hons)</t>
  </si>
  <si>
    <t>Dak Khana Khas, Chak No. 21/12 L, Tehsil Chichawatni, District Sahiwal</t>
  </si>
  <si>
    <t>0327-0543288</t>
  </si>
  <si>
    <t>Muhammad Qaiser Mushtaq</t>
  </si>
  <si>
    <t>Muhammad Mushtaq Ali</t>
  </si>
  <si>
    <t>Street No. 3, Hussain Colony, Arif Road, Sahiwal</t>
  </si>
  <si>
    <t>0324-8627293</t>
  </si>
  <si>
    <t xml:space="preserve">Disable  </t>
  </si>
  <si>
    <t>Wali Muhammad</t>
  </si>
  <si>
    <t>Chak No. 52/3 R, Dak Khana Khas, Tehsil &amp; District Okara</t>
  </si>
  <si>
    <t>0302-4931252</t>
  </si>
  <si>
    <t>Dak Khana Chak No. 99/9 L, Chak No. 98/9 L, Tehsil &amp; District Sahiwal</t>
  </si>
  <si>
    <t>0325-9148701</t>
  </si>
  <si>
    <t>House No. 9, Street  No. 2, Amano Colony, Sahiwal</t>
  </si>
  <si>
    <t>0303-5960870</t>
  </si>
  <si>
    <t>Riaz</t>
  </si>
  <si>
    <t>Munir Masih</t>
  </si>
  <si>
    <t>House No. 190, Street No. 1, Mohalla Sultan Colony, Sargodha</t>
  </si>
  <si>
    <t>0325-3264500</t>
  </si>
  <si>
    <t>Hafiz Muhammad Ikram</t>
  </si>
  <si>
    <t>Mohalla Mian Roshan Wala, Dak Khana Khas, Bandial Janobi, Tehsil Quaid-e-Abad, District Khushab</t>
  </si>
  <si>
    <t>0300-6079904</t>
  </si>
  <si>
    <t>Muhammad Uzair Malik</t>
  </si>
  <si>
    <t>Near Baldia Town Committee Shahpur City, Tehsil Shah Pur, District Sargodha</t>
  </si>
  <si>
    <t>0326-2527489</t>
  </si>
  <si>
    <t>Tar Kota Chak No. 119, Shamali, Dak Khana Ahmad Pur, Tehsil &amp; District Sharaqpur</t>
  </si>
  <si>
    <t>0341-6896452</t>
  </si>
  <si>
    <t>Dak Khana Ahmadpur, Chak No. 190 NB, Tehsil &amp; District Sargodha</t>
  </si>
  <si>
    <t>0326-0962415</t>
  </si>
  <si>
    <t>Hafiz Muhammad Ahsan Suleman</t>
  </si>
  <si>
    <t>0310-4300892</t>
  </si>
  <si>
    <t>Muhammad Ihsan Mansha</t>
  </si>
  <si>
    <t>Mohalla Basti Amin Pura, Raiwind, Tehsil &amp; District Lahore</t>
  </si>
  <si>
    <t>0300-4732622</t>
  </si>
  <si>
    <t>Babar Masih</t>
  </si>
  <si>
    <t>Mittar Chak Pura, Khurd Dak Khana Khas, Ferozwala District Sheikhupura</t>
  </si>
  <si>
    <t>0321-9387626</t>
  </si>
  <si>
    <t>Sahil Naqash</t>
  </si>
  <si>
    <t>Ishrat Ali</t>
  </si>
  <si>
    <t>Dak Khana Kasur, Mehmoodpura, Tehsil &amp; District Kasur</t>
  </si>
  <si>
    <t>0323-9722484</t>
  </si>
  <si>
    <t>Shahzada Masih</t>
  </si>
  <si>
    <t>Hassan Pura, Dak Khana Khas, Burj Attari, Tehsil Fereozwala, District Sheikhupura</t>
  </si>
  <si>
    <t>0300-1496396</t>
  </si>
  <si>
    <t>Present: House No. 4-B, Bahawalpur House Mohalla GOR-1 Mozang Chung Lahore</t>
  </si>
  <si>
    <t>0341-5322865</t>
  </si>
  <si>
    <t>Mubashar Ali</t>
  </si>
  <si>
    <t>Mohalla Gujran Wala, Chung, Panjgrain Lahore</t>
  </si>
  <si>
    <t>0310-4542802</t>
  </si>
  <si>
    <t>Muhammad Qadeer</t>
  </si>
  <si>
    <t>Muhammad Rasheed Ahmad</t>
  </si>
  <si>
    <t>House 22-A-73-U, Mohalla Ahmad Park New Shadbagh Lahore</t>
  </si>
  <si>
    <t>0306-4271002</t>
  </si>
  <si>
    <t>Sufiyan Yousaf</t>
  </si>
  <si>
    <t>Punjgrain, Multan Road, Chung, Dak Khana Khas, Tehsil Raiwind, District Lahore</t>
  </si>
  <si>
    <t>0323-1447511</t>
  </si>
  <si>
    <t>Ghulam Muhyydin</t>
  </si>
  <si>
    <t>Rana Riaz Hussain</t>
  </si>
  <si>
    <t>House No. 62-6, C-2 Mohalla Green Town Lahore</t>
  </si>
  <si>
    <t>0321-9185057</t>
  </si>
  <si>
    <t>Muhammad Noman</t>
  </si>
  <si>
    <t>BBA</t>
  </si>
  <si>
    <t>Dak Khana Khas, Janobi, Chak 193 GB Yousafpur, Tehsil Samundri District Faisalabad</t>
  </si>
  <si>
    <t>0310-6056360</t>
  </si>
  <si>
    <t>Ashar Zhaid</t>
  </si>
  <si>
    <t>Zahid Yaqoob</t>
  </si>
  <si>
    <t>Present: Mohalla Ghafoor Park FGA Church Bakar Mandi Lahore
Permanent: Dak Khana Khas, Chak No. 17, WB, Tehsil &amp; District Vehari</t>
  </si>
  <si>
    <t>0323-1407291</t>
  </si>
  <si>
    <t>Jarassom</t>
  </si>
  <si>
    <t>Street No. 14/1. Mohalla Al - Faisal Sreet dhoobi Ghaat Karim Park Lahore</t>
  </si>
  <si>
    <t>0324-4118769</t>
  </si>
  <si>
    <t>Hafiz Shafaqat Ali</t>
  </si>
  <si>
    <t>House No.5, Street No.2, Usman park Jiya Musa Shahdara Lahore</t>
  </si>
  <si>
    <t>0334-4060332</t>
  </si>
  <si>
    <t>Muhammad Muzammal Iqbal</t>
  </si>
  <si>
    <t>Present: House No. 92, Street No. 4, Kothay Pind Faisal Town Lahore
Permanent: Dak Khana Khas, Jandra, Tehsil &amp; District Narowal</t>
  </si>
  <si>
    <t>0310-7233270</t>
  </si>
  <si>
    <t>Muhammad Rauf</t>
  </si>
  <si>
    <t>Alam Sher</t>
  </si>
  <si>
    <t>BS in Civil Technology</t>
  </si>
  <si>
    <t>Toba Road, Mohalla Basti Malah Wali Jhang</t>
  </si>
  <si>
    <t>0334-6819787</t>
  </si>
  <si>
    <t>Kashif Younas</t>
  </si>
  <si>
    <t>Younas Khan</t>
  </si>
  <si>
    <t>House No.1, Street No.1, Mohalla Bahar Colony, Kot Lakhpat Lahore</t>
  </si>
  <si>
    <t>Qamar Hayat</t>
  </si>
  <si>
    <t>Mohalla Jhalara Shahdara Town Lahore</t>
  </si>
  <si>
    <t>Vicky Masih</t>
  </si>
  <si>
    <t>Javaid Masih</t>
  </si>
  <si>
    <t>Mohalla Kachi Abadi, Pracha Colony Shahdara Lahore</t>
  </si>
  <si>
    <t>Muhammad Awais</t>
  </si>
  <si>
    <t>Dak Khana Farooqabad, Battar, Tehsil &amp; District Sheikhupura</t>
  </si>
  <si>
    <t>0310-4834046</t>
  </si>
  <si>
    <t>Mukhtiar Hussain Khan</t>
  </si>
  <si>
    <t>Basti Lashkri Chandia, Dak Khana Ghazi Ghaat, Chanwala, Tehsil Kot Addu, District Muzaffargarh</t>
  </si>
  <si>
    <t>0334-0932121</t>
  </si>
  <si>
    <t>Rashid Hussain</t>
  </si>
  <si>
    <t>Chah Shijra, Dak Khana Khas, Chan Wala, Tehsil Kot Addu, District Muzaffargarh</t>
  </si>
  <si>
    <t>0341-6941114</t>
  </si>
  <si>
    <t>Zain Ali</t>
  </si>
  <si>
    <t>House No. 5, Street No.5, Mohalla Ahmad Town Shadipura Baghbanpura, Lahore</t>
  </si>
  <si>
    <t>0324-6020834</t>
  </si>
  <si>
    <t>Ahmer Saeed</t>
  </si>
  <si>
    <t>Syed Mahmood</t>
  </si>
  <si>
    <t>House No. 43/602-E, Street No. 13, Mohalla Madina Colony, Walton Road Lahore</t>
  </si>
  <si>
    <t>0321-4095940</t>
  </si>
  <si>
    <t>Hafiz Rizwan Ali</t>
  </si>
  <si>
    <t>Jahangir Ahmad</t>
  </si>
  <si>
    <t>House No. 21, Street No. 1, Mohalla Hirni Shah, Dak Khana Khas, Sharaqpur Kalan, Tehsil Sharaqpur, District Sheikhupura</t>
  </si>
  <si>
    <t>0308-4376785</t>
  </si>
  <si>
    <t>Muhammad Ahmad Sheikh</t>
  </si>
  <si>
    <t>Atique ur Rehman</t>
  </si>
  <si>
    <t>House No. 4/6, Street No.4, Mohalla Moman Pura, Tehsil Sharqpur, District Sheikhupura</t>
  </si>
  <si>
    <t>0308-4241391</t>
  </si>
  <si>
    <t>Tanveer Aslam</t>
  </si>
  <si>
    <t>B.A (Hons) in Punjabi</t>
  </si>
  <si>
    <t>Begum Koat, Mohalla Khas, Lahore</t>
  </si>
  <si>
    <t>0300-8092817</t>
  </si>
  <si>
    <t>Adnan Ali</t>
  </si>
  <si>
    <t>Dak Khana Mooz Khanda, Khizrabad, Tehsil &amp; District Nankana Sahib</t>
  </si>
  <si>
    <t>0312-7951246</t>
  </si>
  <si>
    <t>Dak Khana Sharaqpur Sharif, Ghazipur, Tehsil Sharaqpur, District Sheikhupura</t>
  </si>
  <si>
    <t xml:space="preserve">Irfan </t>
  </si>
  <si>
    <t>Dak Khana Sharpur Bhoye Dhako, Tehsil Sharaqpur, District Sheikhupura</t>
  </si>
  <si>
    <t>Present : Mohalla Chah Chobacha Wala, Dak Khana Khas, Tehsil Sharaqpur, District Sheikhupura</t>
  </si>
  <si>
    <t>0312-1496301</t>
  </si>
  <si>
    <t>House No. 3, Street No. 3, Mohalla Patla, Dak Khana Khas, Tehsil Sharaqpur, District Sheikhupura</t>
  </si>
  <si>
    <t>0342-4232869</t>
  </si>
  <si>
    <t>Muhammad Waseem Ashraf</t>
  </si>
  <si>
    <t>Makki Dak Khana Khas, Chak No. 460 GB Tehsil &amp; District Sheikhupura</t>
  </si>
  <si>
    <t>0317-7578103</t>
  </si>
  <si>
    <t>Waleed Ahmad</t>
  </si>
  <si>
    <t>Chah Badriwala, Sharaqpur Kallan Tehsil Sharaqpur District Sheikhupura</t>
  </si>
  <si>
    <t>0309-2085626</t>
  </si>
  <si>
    <t>Dhol Dakh Khan Kot Mahmood Tehsil Sharaqpur, District Sheikhupura</t>
  </si>
  <si>
    <t>0346-6146496</t>
  </si>
  <si>
    <t>Muzammal</t>
  </si>
  <si>
    <t>Husband: Umer Daraz</t>
  </si>
  <si>
    <t>Dak Khana Sharaqpur Sharif, Phiryanwala, Tehsil Sharaqpur, District Sheikhupura</t>
  </si>
  <si>
    <t>0343-4565895</t>
  </si>
  <si>
    <t>Sargodha Road, Allah wali Masjid Mohalla Marzipura, Gharbi Jhang</t>
  </si>
  <si>
    <t>0319-7256917</t>
  </si>
  <si>
    <t>Mian Muhammad Waleed Fiaz</t>
  </si>
  <si>
    <t>Near Norani Masjid Raiwind, Lahore</t>
  </si>
  <si>
    <t>0302-4601517</t>
  </si>
  <si>
    <t>Iqrar Akram</t>
  </si>
  <si>
    <t>Near Khokhar Chowk Samsani Khoi, Mohalla Johar Town Lahore</t>
  </si>
  <si>
    <t>0304-0111560</t>
  </si>
  <si>
    <t>Asima Waheed</t>
  </si>
  <si>
    <t>House No. 419-A, Mohalla Shershah Colony Raiwind Road, Lahore</t>
  </si>
  <si>
    <t>Baghiyana Kalan, Dak Khana Khas, Tehsil Pattoki, District Kasur</t>
  </si>
  <si>
    <t>0306-9109113</t>
  </si>
  <si>
    <t>Jaliyana, Dak Khana Chung, Tehsil &amp; District Lahore</t>
  </si>
  <si>
    <t>0324-4182856</t>
  </si>
  <si>
    <t>Malik Amir Ali</t>
  </si>
  <si>
    <t>House No. 614 Block D2, Mohalla Qamar Deen Park Gujjarpura Lahore</t>
  </si>
  <si>
    <t>0302-1491851</t>
  </si>
  <si>
    <t>Basti Nehr Wala, Raiwind Road, Dak Khana Khas, Manga Utar, Tehsil &amp; District Lahore</t>
  </si>
  <si>
    <t>0302-4641407</t>
  </si>
  <si>
    <t>House No. 192, Block 1, Sector D-II Green Town Lahore</t>
  </si>
  <si>
    <t>0309-6254096</t>
  </si>
  <si>
    <t>Abdul Momin</t>
  </si>
  <si>
    <t>House No. 298/5, Ward No. 5, Agha Kamal Haider Road, Tehsil &amp; District Sialkot</t>
  </si>
  <si>
    <t>0344-6353817</t>
  </si>
  <si>
    <t>Fiza Rasheed</t>
  </si>
  <si>
    <t>Associate Degree in Science</t>
  </si>
  <si>
    <t>Sui Gas Road, Mohalla Malik Park, Gujranwala</t>
  </si>
  <si>
    <t>0309-1576939</t>
  </si>
  <si>
    <t>Salom</t>
  </si>
  <si>
    <t>Munawar Masih</t>
  </si>
  <si>
    <t>Mohalla Christian Town, Ali Pur Chatha, Tehsil Wazirabad, District Gujranwala</t>
  </si>
  <si>
    <t>0340-8062581</t>
  </si>
  <si>
    <t>Junaid Daniyan</t>
  </si>
  <si>
    <t>Bholan Wala Dak Khana Kotli Loharan, Tehsil &amp; District Sialkot</t>
  </si>
  <si>
    <t>0345-1768776</t>
  </si>
  <si>
    <t>Iftikhar Ahmed</t>
  </si>
  <si>
    <t>Dak Khana Khas, Ropo Chak Tehsil Zafalwall, District Narowal</t>
  </si>
  <si>
    <t>0309-4733986</t>
  </si>
  <si>
    <t>Mubashir Ellahi</t>
  </si>
  <si>
    <t>Haji Muhammad</t>
  </si>
  <si>
    <t>Dak Khana Mari Janobi Tehsil Taunsa, District Dera Ghazi Khan</t>
  </si>
  <si>
    <t>0311-4424565</t>
  </si>
  <si>
    <t>Muhammad Zaman</t>
  </si>
  <si>
    <t>Zafar Ali</t>
  </si>
  <si>
    <t>Dak Khana Khas, Chak No. 765 GB, Jungle Imam Shah Tehsil Peer Mehal, District Toba Tek Singh</t>
  </si>
  <si>
    <t>0327-4414328
0344-4542116</t>
  </si>
  <si>
    <t>Danish Mushtaq</t>
  </si>
  <si>
    <t>Mohalla Bhatti Town, Raiwind Road Lahore</t>
  </si>
  <si>
    <t>0316-4517812</t>
  </si>
  <si>
    <t>Taqi Nagar, Hujar Shah, Tehsil Dipalpur, District Okara</t>
  </si>
  <si>
    <t>0322-4595706</t>
  </si>
  <si>
    <t>Mohalla Johar Town, Samsani Khoi, Lahore</t>
  </si>
  <si>
    <t>0323-4377612</t>
  </si>
  <si>
    <t>Abdul Hannan Shehzad</t>
  </si>
  <si>
    <t>Saqib Shahzad</t>
  </si>
  <si>
    <t>Associat Degree</t>
  </si>
  <si>
    <t>House No. 301-B, Mohalla Revenue Colony No.3, Rajana Road Toba Tek Singh</t>
  </si>
  <si>
    <t>0322-2518000</t>
  </si>
  <si>
    <t>Abdullah Haroon</t>
  </si>
  <si>
    <t>Haroon ur Rasheed</t>
  </si>
  <si>
    <t>DAE (Electrical Technology)</t>
  </si>
  <si>
    <t>Dak Khana Chak No. 14/4 L, Kassowall, Chak No. 118/12 L, Tehsil Chichawatni, District Sahiwal</t>
  </si>
  <si>
    <t>0304-6392391</t>
  </si>
  <si>
    <t>Muhammad Azam</t>
  </si>
  <si>
    <t>Muhammad Aslam Chaudhry</t>
  </si>
  <si>
    <t>Chowk Kumhara Wala, Raiwind Kalan, Tehsil &amp; District Lahore</t>
  </si>
  <si>
    <t>0306-2752192</t>
  </si>
  <si>
    <t>Malik Kabir Ahmad Khokhar</t>
  </si>
  <si>
    <t>Malik Zulfiqar Ali</t>
  </si>
  <si>
    <t>Samsani Khoi, New Campus, Lahore</t>
  </si>
  <si>
    <t>0329-1029377</t>
  </si>
  <si>
    <t>Mahmood Masih</t>
  </si>
  <si>
    <t>House No. 141, Street No. 3, Mohalla Nagra Town Near Bagiryan, Lahore</t>
  </si>
  <si>
    <t>0327-4996392</t>
  </si>
  <si>
    <t>Sharoon Yousaf</t>
  </si>
  <si>
    <t>Flat No.285, Mohalla Packages Factory, Lahore</t>
  </si>
  <si>
    <t>0328-4743738</t>
  </si>
  <si>
    <t>Sulaman Masih</t>
  </si>
  <si>
    <t>Present : House No. 573, Street No. 4, Mohalla Basti Sedan Shah Upper Mall Lahore
Permanent : Mohalla Gulshan Umar Colony Bhatta 2, Green Town Lahore</t>
  </si>
  <si>
    <t>0311-0685308</t>
  </si>
  <si>
    <t>Khalid Zubair</t>
  </si>
  <si>
    <t>Mohalla Peer Azam Shah, Bhera District Sargodha</t>
  </si>
  <si>
    <t>0304-0720380</t>
  </si>
  <si>
    <t>Adda Dak Khana Bael Gunj, Kot Kahan Singh, Tehsil &amp; District Pakpattan</t>
  </si>
  <si>
    <t>0344-1476229</t>
  </si>
  <si>
    <t>Abid Raza</t>
  </si>
  <si>
    <t>House no. 621-E, Muhalla Johar Town, Lahore</t>
  </si>
  <si>
    <t>0323-2327149</t>
  </si>
  <si>
    <t>Malik Nazim Ali</t>
  </si>
  <si>
    <t>0326-9531729</t>
  </si>
  <si>
    <t>Saneha</t>
  </si>
  <si>
    <t>Present: Mohalla Bhatta No.1, Green Town Lahore</t>
  </si>
  <si>
    <t>0300-8021554</t>
  </si>
  <si>
    <t>House No. 269, Mohalla Block No. 3 Sector B1 Township Lahore</t>
  </si>
  <si>
    <t>0301-4509244</t>
  </si>
  <si>
    <t>Mohalla Ajoodhiya Pur, Dak Khana Township Lahore</t>
  </si>
  <si>
    <t>0361-6370134</t>
  </si>
  <si>
    <t>Darbar Rehmat Shah Raiwind, Tehsil &amp; District Lahore</t>
  </si>
  <si>
    <t>0308-6229802</t>
  </si>
  <si>
    <t>Shehnaz Shafi</t>
  </si>
  <si>
    <t>Husban: Muhammad Shafi</t>
  </si>
  <si>
    <t>Chak No. 367 EB, Dak Khana  Gugu, Tehsil Burewala, District Vehari</t>
  </si>
  <si>
    <t>0322-9493269</t>
  </si>
  <si>
    <t>Ahsan Khalid</t>
  </si>
  <si>
    <t xml:space="preserve">Khalid  </t>
  </si>
  <si>
    <t>House No. 469, Mohalla Sector C-2, Green Town Block 3, Lahore</t>
  </si>
  <si>
    <t>Younas</t>
  </si>
  <si>
    <t>House No. 23, Block 3 Sector A-2, Mohalla Township Lahore</t>
  </si>
  <si>
    <t>Nafees Ahmed</t>
  </si>
  <si>
    <t>Panjjamli Dak Khana Marjaal, Zafarwal, District Narowal</t>
  </si>
  <si>
    <t>0307-2111253</t>
  </si>
  <si>
    <t>Muhammad Talha</t>
  </si>
  <si>
    <t>Naseem Ahmad Ghouri</t>
  </si>
  <si>
    <t>House No. 474 - E, Mohalla Muhammad Pura, Chungi Amarsadhu, Lahore</t>
  </si>
  <si>
    <t>0304-4583378</t>
  </si>
  <si>
    <t>House No.1, Street No.11, Yaseen Street, Mohalla Kharak Multan Road, Lahore
Permanent: Dak Khana Khas, Chak No. 95, DW, Tehsil &amp; District Vehari</t>
  </si>
  <si>
    <t>0308-0705006</t>
  </si>
  <si>
    <t>Nazim Hussain</t>
  </si>
  <si>
    <t>House No. 208, Mohalla Mehran Block Allama Iqbal Town Lahore</t>
  </si>
  <si>
    <t>0309-1142411</t>
  </si>
  <si>
    <t>Afaq Asif</t>
  </si>
  <si>
    <t>Asif M Gill</t>
  </si>
  <si>
    <t>Dak Khana vehari, Chak No. 17 WB, Tehsil &amp; District Vehari</t>
  </si>
  <si>
    <t>0304-2782017</t>
  </si>
  <si>
    <t>Chah Jandiawala, Dak Khana Vehari, Chak No. 69 WB, Tehsil melsi, District Vehari</t>
  </si>
  <si>
    <t>0321-1562386</t>
  </si>
  <si>
    <t>Muhammad Ahad Zafar</t>
  </si>
  <si>
    <t>0319-7094207</t>
  </si>
  <si>
    <t>Muhammad Nouman Khalid</t>
  </si>
  <si>
    <t>Khalid Maqsood</t>
  </si>
  <si>
    <t>Present : House No. 1151, Khayaban e Ali Housing Scheme Tehsil &amp; District Bahawalpur
Permanent : Dak Khana Khas Chak No. 103 DNB, Tehsil Yazman District Bahawalpur</t>
  </si>
  <si>
    <t>0302-2876981</t>
  </si>
  <si>
    <t>Saud Masih</t>
  </si>
  <si>
    <t>Christian Colony Club Road, Block D, Vehari</t>
  </si>
  <si>
    <t>0309-6210052</t>
  </si>
  <si>
    <t>Muhammad Musaddaq Saleem</t>
  </si>
  <si>
    <t>Dak Khana Khas, Chak No. 108/7 R, Tehsil Checha Watni, District Sahiwal</t>
  </si>
  <si>
    <t>0301-2739308</t>
  </si>
  <si>
    <t>Jawad Haider Bhatti</t>
  </si>
  <si>
    <t>Ejaz Ahmad Tahir</t>
  </si>
  <si>
    <t>Mohalla Zaheerabad, Chunian, District Kasur</t>
  </si>
  <si>
    <t>0305-4004042</t>
  </si>
  <si>
    <t>Shan Haider</t>
  </si>
  <si>
    <t>Ghulam Mehdi Hayat</t>
  </si>
  <si>
    <t>Basta Bhagtawali, Dak Khana Khas, Haveli Bahdur Shah, Tehsil Shorkot, District Jhang</t>
  </si>
  <si>
    <t>0306-5806441</t>
  </si>
  <si>
    <t>Muhammad Adrees</t>
  </si>
  <si>
    <t>0324-4862230</t>
  </si>
  <si>
    <t xml:space="preserve">B.Com  </t>
  </si>
  <si>
    <t>Present: Mohalla Pak Town, Kamoki, District Gujranwala
Permanent: Dak Khana Whando Whalyanwali, Tehsil Kamoki, District Gujranwala</t>
  </si>
  <si>
    <t>0323-7917787</t>
  </si>
  <si>
    <t>Sibghat Ullah</t>
  </si>
  <si>
    <t>0344-1844244</t>
  </si>
  <si>
    <t>Abdullah Tabassum</t>
  </si>
  <si>
    <t>Tabassum Nawaz Ahmed</t>
  </si>
  <si>
    <t>M.A in Internation Relations</t>
  </si>
  <si>
    <t>Present: House No. 44, Street No. 3, Mohalla Shadman Colony, Sargodha
Permanent: Dak Khana Khas, Chak No. 75 SB, Tehsil &amp; District Sargodha</t>
  </si>
  <si>
    <t>0345-8618512</t>
  </si>
  <si>
    <t>Abe Hail Jamshed</t>
  </si>
  <si>
    <t>Jamshed Masih</t>
  </si>
  <si>
    <t>Dak Khana Head Khanki, Ranki, Tehsil &amp; District Wazirabad</t>
  </si>
  <si>
    <t>Mufasar Masih</t>
  </si>
  <si>
    <t>Dak Khana Khas, Burj Cheema, Tehsil Wazirabad, district Gujranwala</t>
  </si>
  <si>
    <t>Rizwan Masih</t>
  </si>
  <si>
    <t>Malik Masih</t>
  </si>
  <si>
    <t>Present: Renki Dak Khana Head Hanki, Tehsil Wazirabad, District Gujranwal
Permanent: Habib Pura, Dak Khana Khas, Daska, District Sialkot</t>
  </si>
  <si>
    <t>Muhammad Asghar Ali Awan</t>
  </si>
  <si>
    <t>Dak Khana Bharooki Cheema, Tehsil &amp; District Wazirabad</t>
  </si>
  <si>
    <t>0304-6344362</t>
  </si>
  <si>
    <t>Asfand Yar Ali</t>
  </si>
  <si>
    <t>0342-4869108</t>
  </si>
  <si>
    <t>Khurram Raza</t>
  </si>
  <si>
    <t>Malik Altaf Hussain</t>
  </si>
  <si>
    <t>House No. 18/A, Street No. 81, Mohalla Ghazi Park, New Shadbagh Chahmiran, Lahore</t>
  </si>
  <si>
    <t>0322-4022097</t>
  </si>
  <si>
    <t>Muhammad Baber Rahman</t>
  </si>
  <si>
    <t>Fiaz Mehmood</t>
  </si>
  <si>
    <t>0346-6867108</t>
  </si>
  <si>
    <t>Muhammad Shamshad Asmat</t>
  </si>
  <si>
    <t>0345-6524960</t>
  </si>
  <si>
    <t>Malik Abdul Ghafoor</t>
  </si>
  <si>
    <t>House No. bv-is-164, Qadeerpura, Hafizabad</t>
  </si>
  <si>
    <t>0315-6063345</t>
  </si>
  <si>
    <t>Waheed Raza</t>
  </si>
  <si>
    <t>Abdul Majeed Ansari</t>
  </si>
  <si>
    <t>PO Khas, Talwandi Musa Khan District Gujranwala</t>
  </si>
  <si>
    <t>0301 6317279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</si>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</sst>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/mmm/yy;@"/>
    <numFmt numFmtId="165" formatCode="[$-409]d\-mmm\-yy;@"/>
    <numFmt numFmtId="166" formatCode="_(* #,##0_);_(* \(#,##0\);_(* &quot;-&quot;??_);_(@_)"/>
    <numFmt numFmtId="167" formatCode="00000000000"/>
    <numFmt numFmtId="168" formatCode="#####\-#######\-#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/>
  </cellStyleXfs>
  <cellXfs count="61">
    <xf numFmtId="0" fontId="0" fillId="0" borderId="0" xfId="0"/>
    <xf numFmtId="9" fontId="2" fillId="2" borderId="1" xfId="2" applyFont="1" applyFill="1" applyBorder="1" applyAlignment="1">
      <alignment horizontal="center" vertical="center" wrapText="1"/>
    </xf>
    <xf numFmtId="17" fontId="2" fillId="2" borderId="1" xfId="2" applyNumberFormat="1" applyFont="1" applyFill="1" applyBorder="1" applyAlignment="1">
      <alignment horizontal="center" vertical="center" wrapText="1"/>
    </xf>
    <xf numFmtId="2" fontId="2" fillId="2" borderId="1" xfId="2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165" fontId="3" fillId="0" borderId="3" xfId="0" applyNumberFormat="1" applyFont="1" applyBorder="1" applyAlignment="1">
      <alignment horizontal="center" vertical="center"/>
    </xf>
    <xf numFmtId="166" fontId="3" fillId="0" borderId="3" xfId="1" applyNumberFormat="1" applyFont="1" applyFill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/>
    </xf>
    <xf numFmtId="166" fontId="3" fillId="0" borderId="6" xfId="1" applyNumberFormat="1" applyFont="1" applyFill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65" fontId="5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wrapText="1"/>
    </xf>
    <xf numFmtId="167" fontId="6" fillId="0" borderId="6" xfId="3" applyNumberFormat="1" applyFont="1" applyBorder="1" applyAlignment="1">
      <alignment horizontal="center" vertical="center" wrapText="1"/>
    </xf>
    <xf numFmtId="2" fontId="3" fillId="0" borderId="6" xfId="0" quotePrefix="1" applyNumberFormat="1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center" wrapText="1"/>
    </xf>
    <xf numFmtId="168" fontId="10" fillId="0" borderId="6" xfId="4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165" fontId="3" fillId="0" borderId="9" xfId="0" applyNumberFormat="1" applyFont="1" applyBorder="1" applyAlignment="1">
      <alignment horizontal="center" vertical="center"/>
    </xf>
    <xf numFmtId="166" fontId="3" fillId="0" borderId="9" xfId="1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Comma" xfId="1" builtinId="3"/>
    <cellStyle name="Normal" xfId="0" builtinId="0"/>
    <cellStyle name="Normal 2" xfId="4" xr:uid="{E33C67C1-6431-4812-879A-A4438E78FCCB}"/>
    <cellStyle name="Normal 5" xfId="3" xr:uid="{DF33AFAD-D1A3-4D0E-ABEC-3E7EA4099507}"/>
    <cellStyle name="Percent" xfId="2" builtinId="5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Salaries%20Slip/Salary%20Sheets/2026/May-2026/May-26%20Salary.xlsx" TargetMode="External"/><Relationship Id="rId1" Type="http://schemas.openxmlformats.org/officeDocument/2006/relationships/externalLinkPath" Target="file:///E:/H%20Drive/OLD%20D%20Drive/Data%20from%20July%202019/Salaries%20Slip/Salary%20Sheets/2026/May-2026/May-26%20Salar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Desktop%20Data%2006-11-19/Desktop%20Data%2027-8-24copy%20from%20Dsktop))24-10-22%20to%204-2-24/Work%20Details%20for%20Leaves27-8-24/Data%20Collection%20HO%20Staff%20Details%20(Bank%20File)%2010-6-26.xlsx" TargetMode="External"/><Relationship Id="rId1" Type="http://schemas.openxmlformats.org/officeDocument/2006/relationships/externalLinkPath" Target="file:///E:/H%20Drive/OLD%20D%20Drive/Data%20from%20July%202019/Desktop%20Data%2006-11-19/Desktop%20Data%2027-8-24copy%20from%20Dsktop))24-10-22%20to%204-2-24/Work%20Details%20for%20Leaves27-8-24/Data%20Collection%20HO%20Staff%20Details%20(Bank%20File)%2010-6-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Salaries%20Slip/Salary%20Sheets/2026/May-2026/Trainee%20Employees%20May-26.xlsx" TargetMode="External"/><Relationship Id="rId1" Type="http://schemas.openxmlformats.org/officeDocument/2006/relationships/externalLinkPath" Target="file:///E:/H%20Drive/OLD%20D%20Drive/Data%20from%20July%202019/Salaries%20Slip/Salary%20Sheets/2026/May-2026/Trainee%20Employees%20May-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/H%20Drive/OLD%20D%20Drive/Data%20from%20July%202019/Salaries%20Slip/Salary%20Sheets/2026/May-2026/Daily%20Wages%20%20May-26.xlsx" TargetMode="External"/><Relationship Id="rId1" Type="http://schemas.openxmlformats.org/officeDocument/2006/relationships/externalLinkPath" Target="file:///E:/H%20Drive/OLD%20D%20Drive/Data%20from%20July%202019/Salaries%20Slip/Salary%20Sheets/2026/May-2026/Daily%20Wages%20%20May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zaar Salary"/>
      <sheetName val="Head Office "/>
    </sheetNames>
    <sheetDataSet>
      <sheetData sheetId="0">
        <row r="6">
          <cell r="B6">
            <v>3840478286727</v>
          </cell>
          <cell r="C6" t="str">
            <v>3rd Tranche</v>
          </cell>
          <cell r="D6">
            <v>1</v>
          </cell>
          <cell r="E6" t="str">
            <v>Zeeshan Haider Awan</v>
          </cell>
          <cell r="F6" t="str">
            <v>Project Coordinator</v>
          </cell>
          <cell r="G6">
            <v>42503</v>
          </cell>
          <cell r="H6">
            <v>0</v>
          </cell>
          <cell r="I6" t="str">
            <v>SB Mandi Bahau-Din</v>
          </cell>
          <cell r="J6" t="str">
            <v>06150010000897910022</v>
          </cell>
        </row>
        <row r="7">
          <cell r="B7">
            <v>3520252460451</v>
          </cell>
          <cell r="C7" t="str">
            <v>3rd Tranche</v>
          </cell>
          <cell r="D7">
            <v>2</v>
          </cell>
          <cell r="E7" t="str">
            <v>Muhammad Usman</v>
          </cell>
          <cell r="F7" t="str">
            <v>Divisional Incharge</v>
          </cell>
          <cell r="G7">
            <v>41729</v>
          </cell>
          <cell r="H7">
            <v>0</v>
          </cell>
          <cell r="I7" t="str">
            <v>SB Township</v>
          </cell>
          <cell r="J7" t="str">
            <v>05400010045772810014</v>
          </cell>
        </row>
        <row r="8">
          <cell r="B8">
            <v>3420162534671</v>
          </cell>
          <cell r="C8" t="str">
            <v>3rd Tranche</v>
          </cell>
          <cell r="D8">
            <v>3</v>
          </cell>
          <cell r="E8" t="str">
            <v>Raheel Anwar</v>
          </cell>
          <cell r="F8" t="str">
            <v>Sahulat Bazaar Incharge</v>
          </cell>
          <cell r="G8">
            <v>42036</v>
          </cell>
          <cell r="H8">
            <v>0</v>
          </cell>
          <cell r="I8" t="str">
            <v>SB Gujrat</v>
          </cell>
          <cell r="J8" t="str">
            <v>51870020008117450058</v>
          </cell>
        </row>
        <row r="9">
          <cell r="B9">
            <v>3520299929445</v>
          </cell>
          <cell r="C9" t="str">
            <v>3rd Tranche</v>
          </cell>
          <cell r="D9">
            <v>4</v>
          </cell>
          <cell r="E9" t="str">
            <v>Malik Asim</v>
          </cell>
          <cell r="F9" t="str">
            <v>Sahulat Bazaar Incharge</v>
          </cell>
          <cell r="G9">
            <v>42948</v>
          </cell>
          <cell r="H9">
            <v>0</v>
          </cell>
          <cell r="I9" t="str">
            <v>SB Township</v>
          </cell>
          <cell r="J9" t="str">
            <v>01530010045808570010</v>
          </cell>
        </row>
        <row r="10">
          <cell r="B10">
            <v>3320255554173</v>
          </cell>
          <cell r="C10" t="str">
            <v>3rd Tranche</v>
          </cell>
          <cell r="D10">
            <v>5</v>
          </cell>
          <cell r="E10" t="str">
            <v>Iftikhar Iqbal</v>
          </cell>
          <cell r="F10" t="str">
            <v>Sahulat Bazaar Incharge</v>
          </cell>
          <cell r="G10">
            <v>42500</v>
          </cell>
          <cell r="H10">
            <v>0</v>
          </cell>
          <cell r="I10" t="str">
            <v>SB Chakwal</v>
          </cell>
          <cell r="J10" t="str">
            <v>02880010045889700012</v>
          </cell>
        </row>
        <row r="11">
          <cell r="B11">
            <v>3520222176083</v>
          </cell>
          <cell r="C11" t="str">
            <v>Suspended 12-12-25</v>
          </cell>
          <cell r="D11">
            <v>6</v>
          </cell>
          <cell r="E11" t="str">
            <v>Ahmad Ali Hashmi</v>
          </cell>
          <cell r="F11" t="str">
            <v>Sahulat Bazaar Incharge</v>
          </cell>
          <cell r="G11">
            <v>42768</v>
          </cell>
          <cell r="H11">
            <v>0</v>
          </cell>
          <cell r="I11" t="str">
            <v>SB Johar Town</v>
          </cell>
          <cell r="J11" t="str">
            <v>05400010045774880017</v>
          </cell>
        </row>
        <row r="12">
          <cell r="B12">
            <v>3520292336747</v>
          </cell>
          <cell r="C12" t="str">
            <v>3rd Tranche</v>
          </cell>
          <cell r="D12">
            <v>7</v>
          </cell>
          <cell r="E12" t="str">
            <v>Umar Faraz</v>
          </cell>
          <cell r="F12" t="str">
            <v>Sahulat Bazaar Incharge</v>
          </cell>
          <cell r="G12">
            <v>41825</v>
          </cell>
          <cell r="H12">
            <v>0</v>
          </cell>
          <cell r="I12" t="str">
            <v>SB Kasur</v>
          </cell>
          <cell r="J12" t="str">
            <v>02880010045812820014</v>
          </cell>
        </row>
        <row r="13">
          <cell r="B13">
            <v>3220250595479</v>
          </cell>
          <cell r="C13" t="str">
            <v>3rd Tranche</v>
          </cell>
          <cell r="D13">
            <v>8</v>
          </cell>
          <cell r="E13" t="str">
            <v>Jawad Zaheer</v>
          </cell>
          <cell r="F13" t="str">
            <v>Sahulat Bazaar Incharge</v>
          </cell>
          <cell r="G13">
            <v>42506</v>
          </cell>
          <cell r="H13">
            <v>0</v>
          </cell>
          <cell r="I13" t="str">
            <v>SB Khanewal</v>
          </cell>
          <cell r="J13" t="str">
            <v>51400020067616330016</v>
          </cell>
        </row>
        <row r="14">
          <cell r="B14">
            <v>3520202739219</v>
          </cell>
          <cell r="C14" t="str">
            <v>3rd Tranche</v>
          </cell>
          <cell r="D14">
            <v>9</v>
          </cell>
          <cell r="E14" t="str">
            <v>Tahir Mahmood</v>
          </cell>
          <cell r="F14" t="str">
            <v>Sahulat Bazaar Incharge</v>
          </cell>
          <cell r="G14">
            <v>41753</v>
          </cell>
          <cell r="H14">
            <v>0</v>
          </cell>
          <cell r="I14" t="str">
            <v>SB Sabzazaar</v>
          </cell>
          <cell r="J14" t="str">
            <v>03910010045798510010</v>
          </cell>
        </row>
        <row r="15">
          <cell r="B15">
            <v>3120299285327</v>
          </cell>
          <cell r="C15" t="str">
            <v>3rd Tranche</v>
          </cell>
          <cell r="D15">
            <v>10</v>
          </cell>
          <cell r="E15" t="str">
            <v>Qasim Hussain</v>
          </cell>
          <cell r="F15" t="str">
            <v>Sahulat Bazaar Incharge</v>
          </cell>
          <cell r="G15">
            <v>41440</v>
          </cell>
          <cell r="H15">
            <v>0</v>
          </cell>
          <cell r="I15" t="str">
            <v>SB Lodhran</v>
          </cell>
          <cell r="J15" t="str">
            <v>09630010045752150015</v>
          </cell>
        </row>
        <row r="16">
          <cell r="B16">
            <v>3520221351139</v>
          </cell>
          <cell r="C16" t="str">
            <v>3rd Tranche</v>
          </cell>
          <cell r="D16">
            <v>11</v>
          </cell>
          <cell r="E16" t="str">
            <v>Falak Sher</v>
          </cell>
          <cell r="F16" t="str">
            <v>Sahulat Bazaar Incharge</v>
          </cell>
          <cell r="G16">
            <v>42782</v>
          </cell>
          <cell r="H16">
            <v>0</v>
          </cell>
          <cell r="I16" t="str">
            <v>SB Thokar</v>
          </cell>
          <cell r="J16" t="str">
            <v>02880010045924540011</v>
          </cell>
        </row>
        <row r="17">
          <cell r="B17">
            <v>3310087519217</v>
          </cell>
          <cell r="C17" t="str">
            <v>3rd Tranche</v>
          </cell>
          <cell r="D17">
            <v>12</v>
          </cell>
          <cell r="E17" t="str">
            <v xml:space="preserve">Zahid Imran </v>
          </cell>
          <cell r="F17" t="str">
            <v>Divisional Incharge</v>
          </cell>
          <cell r="G17">
            <v>41876</v>
          </cell>
          <cell r="H17">
            <v>0</v>
          </cell>
          <cell r="I17" t="str">
            <v>SB Jhang Road (FSD)</v>
          </cell>
          <cell r="J17" t="str">
            <v>02260010065759760013</v>
          </cell>
        </row>
        <row r="18">
          <cell r="B18">
            <v>3520230474337</v>
          </cell>
          <cell r="C18" t="str">
            <v>3rd Tranche</v>
          </cell>
          <cell r="D18">
            <v>13</v>
          </cell>
          <cell r="E18" t="str">
            <v>Muhammad Usman</v>
          </cell>
          <cell r="F18" t="str">
            <v>Divisional Incharge</v>
          </cell>
          <cell r="G18">
            <v>43077</v>
          </cell>
          <cell r="H18">
            <v>0</v>
          </cell>
          <cell r="I18" t="str">
            <v>SB Sabzazaar</v>
          </cell>
          <cell r="J18" t="str">
            <v>04810010048833980013</v>
          </cell>
        </row>
        <row r="19">
          <cell r="B19">
            <v>3330321980343</v>
          </cell>
          <cell r="C19" t="str">
            <v>3rd Tranche</v>
          </cell>
          <cell r="D19">
            <v>14</v>
          </cell>
          <cell r="E19" t="str">
            <v>Saqib Shehzad</v>
          </cell>
          <cell r="F19" t="str">
            <v>Divisional Incharge</v>
          </cell>
          <cell r="G19">
            <v>41093</v>
          </cell>
          <cell r="H19">
            <v>0</v>
          </cell>
          <cell r="I19" t="str">
            <v>SB Okara</v>
          </cell>
          <cell r="J19" t="str">
            <v>04060010018419870016</v>
          </cell>
        </row>
        <row r="20">
          <cell r="B20">
            <v>3520210306269</v>
          </cell>
          <cell r="C20" t="str">
            <v>3rd Tranche</v>
          </cell>
          <cell r="D20">
            <v>15</v>
          </cell>
          <cell r="E20" t="str">
            <v>Mahmood Ahmad</v>
          </cell>
          <cell r="F20" t="str">
            <v>Sahulat Bazaar Incharge</v>
          </cell>
          <cell r="G20">
            <v>42195</v>
          </cell>
          <cell r="H20">
            <v>0</v>
          </cell>
          <cell r="I20" t="str">
            <v>SB Sher Sha Colony</v>
          </cell>
          <cell r="J20" t="str">
            <v>08100010045925480010</v>
          </cell>
        </row>
        <row r="21">
          <cell r="B21">
            <v>3410120751211</v>
          </cell>
          <cell r="C21" t="str">
            <v>3rd Tranche</v>
          </cell>
          <cell r="D21">
            <v>16</v>
          </cell>
          <cell r="E21" t="str">
            <v>M. Farooq Chohan</v>
          </cell>
          <cell r="F21" t="str">
            <v>Divisional Incharge</v>
          </cell>
          <cell r="G21">
            <v>42502</v>
          </cell>
          <cell r="H21">
            <v>0</v>
          </cell>
          <cell r="I21" t="str">
            <v>SB Gujranwala</v>
          </cell>
          <cell r="J21" t="str">
            <v>01530010030676740013</v>
          </cell>
        </row>
        <row r="22">
          <cell r="B22">
            <v>3520218380405</v>
          </cell>
          <cell r="C22" t="str">
            <v>3rd Tranche</v>
          </cell>
          <cell r="D22">
            <v>17</v>
          </cell>
          <cell r="E22" t="str">
            <v>Ahmad Mahi-ud-din</v>
          </cell>
          <cell r="F22" t="str">
            <v>Sahulat Bazaar Incharge</v>
          </cell>
          <cell r="G22">
            <v>42200</v>
          </cell>
          <cell r="H22">
            <v>0</v>
          </cell>
          <cell r="I22" t="str">
            <v>SB Township</v>
          </cell>
          <cell r="J22" t="str">
            <v>07040010046381050016</v>
          </cell>
        </row>
        <row r="23">
          <cell r="B23">
            <v>3460403926377</v>
          </cell>
          <cell r="C23" t="str">
            <v>3rd Tranche</v>
          </cell>
          <cell r="D23">
            <v>18</v>
          </cell>
          <cell r="E23" t="str">
            <v>Adil Sajjad Mureed</v>
          </cell>
          <cell r="F23" t="str">
            <v>Divisional Incharge</v>
          </cell>
          <cell r="G23">
            <v>41979</v>
          </cell>
          <cell r="H23">
            <v>0</v>
          </cell>
          <cell r="I23" t="str">
            <v>SB DG Khan</v>
          </cell>
          <cell r="J23" t="str">
            <v>09410010046436710010</v>
          </cell>
        </row>
        <row r="24">
          <cell r="B24">
            <v>3430103839123</v>
          </cell>
          <cell r="C24" t="str">
            <v>3rd Tranche</v>
          </cell>
          <cell r="D24">
            <v>19</v>
          </cell>
          <cell r="E24" t="str">
            <v>Raza Hussain</v>
          </cell>
          <cell r="F24" t="str">
            <v>Divisional Incharge</v>
          </cell>
          <cell r="G24">
            <v>42614</v>
          </cell>
          <cell r="H24">
            <v>0</v>
          </cell>
          <cell r="I24" t="str">
            <v>SB Bhalwal</v>
          </cell>
          <cell r="J24" t="str">
            <v>07940010045933240017</v>
          </cell>
        </row>
        <row r="25">
          <cell r="B25">
            <v>3840339778763</v>
          </cell>
          <cell r="C25" t="str">
            <v>3rd Tranche</v>
          </cell>
          <cell r="D25">
            <v>20</v>
          </cell>
          <cell r="E25" t="str">
            <v>Muhammad Zia</v>
          </cell>
          <cell r="F25" t="str">
            <v>Sahulat Bazaar Incharge</v>
          </cell>
          <cell r="G25">
            <v>42786</v>
          </cell>
          <cell r="H25">
            <v>0</v>
          </cell>
          <cell r="I25" t="str">
            <v>SB Khushab</v>
          </cell>
          <cell r="J25" t="str">
            <v>01220010045804760019</v>
          </cell>
        </row>
        <row r="26">
          <cell r="B26">
            <v>3220326994451</v>
          </cell>
          <cell r="C26" t="str">
            <v>3rd Tranche</v>
          </cell>
          <cell r="D26">
            <v>21</v>
          </cell>
          <cell r="E26" t="str">
            <v>Muhammad Ramzan</v>
          </cell>
          <cell r="F26" t="str">
            <v>Sahulat Bazaar Incharge</v>
          </cell>
          <cell r="G26">
            <v>42517</v>
          </cell>
          <cell r="H26">
            <v>0</v>
          </cell>
          <cell r="I26" t="str">
            <v>SB Muzaffargarh</v>
          </cell>
          <cell r="J26" t="str">
            <v>00720010046148270019</v>
          </cell>
        </row>
        <row r="27">
          <cell r="B27">
            <v>3110266573759</v>
          </cell>
          <cell r="C27" t="str">
            <v>3rd Tranche</v>
          </cell>
          <cell r="D27">
            <v>22</v>
          </cell>
          <cell r="E27" t="str">
            <v>Muhammad Afzaal</v>
          </cell>
          <cell r="F27" t="str">
            <v>Sahulat Bazaar Incharge</v>
          </cell>
          <cell r="G27">
            <v>44287</v>
          </cell>
          <cell r="H27">
            <v>0</v>
          </cell>
          <cell r="I27" t="str">
            <v>SB Johar Town</v>
          </cell>
          <cell r="J27" t="str">
            <v>00570010067414100014</v>
          </cell>
        </row>
        <row r="28">
          <cell r="B28">
            <v>3840138854381</v>
          </cell>
          <cell r="C28" t="str">
            <v>3rd Tranche</v>
          </cell>
          <cell r="D28">
            <v>23</v>
          </cell>
          <cell r="E28" t="str">
            <v>Hafiz Muhamad Saleem Ullah</v>
          </cell>
          <cell r="F28" t="str">
            <v>Sahulat Bazaar Incharge</v>
          </cell>
          <cell r="G28">
            <v>42948</v>
          </cell>
          <cell r="H28">
            <v>0</v>
          </cell>
          <cell r="I28" t="str">
            <v>SB Sargodha</v>
          </cell>
          <cell r="J28" t="str">
            <v>51300020045869130017</v>
          </cell>
        </row>
        <row r="29">
          <cell r="B29">
            <v>3520289876563</v>
          </cell>
          <cell r="C29" t="str">
            <v>3rd Tranche</v>
          </cell>
          <cell r="D29">
            <v>24</v>
          </cell>
          <cell r="E29" t="str">
            <v>Muhammad Zohaib Aslam</v>
          </cell>
          <cell r="F29" t="str">
            <v>Sahulat Bazaar Supervisor</v>
          </cell>
          <cell r="G29">
            <v>42005</v>
          </cell>
          <cell r="H29">
            <v>0</v>
          </cell>
          <cell r="I29" t="str">
            <v>SB Wahdat Colony</v>
          </cell>
          <cell r="J29" t="str">
            <v>01530010045915910011</v>
          </cell>
        </row>
        <row r="30">
          <cell r="B30">
            <v>3520140793937</v>
          </cell>
          <cell r="C30" t="str">
            <v>3rd Tranche</v>
          </cell>
          <cell r="D30">
            <v>25</v>
          </cell>
          <cell r="E30" t="str">
            <v>Farhan khan</v>
          </cell>
          <cell r="F30" t="str">
            <v>Monitoring Supervisor</v>
          </cell>
          <cell r="G30">
            <v>42074</v>
          </cell>
          <cell r="H30">
            <v>0</v>
          </cell>
          <cell r="I30" t="str">
            <v>SB China Scheme</v>
          </cell>
          <cell r="J30" t="str">
            <v>07040010045907310016</v>
          </cell>
        </row>
        <row r="31">
          <cell r="B31">
            <v>3520290494201</v>
          </cell>
          <cell r="C31" t="str">
            <v>3rd Tranche</v>
          </cell>
          <cell r="D31">
            <v>26</v>
          </cell>
          <cell r="E31" t="str">
            <v>Maqsood Hyat</v>
          </cell>
          <cell r="F31" t="str">
            <v>Sahulat Bazaar Supervisor</v>
          </cell>
          <cell r="G31">
            <v>42953</v>
          </cell>
          <cell r="H31">
            <v>0</v>
          </cell>
          <cell r="I31" t="str">
            <v>SB Chung</v>
          </cell>
          <cell r="J31" t="str">
            <v>02880010046402500013</v>
          </cell>
        </row>
        <row r="32">
          <cell r="B32">
            <v>3110438232361</v>
          </cell>
          <cell r="C32" t="str">
            <v>3rd Tranche</v>
          </cell>
          <cell r="D32">
            <v>27</v>
          </cell>
          <cell r="E32" t="str">
            <v>Shabbir Hussain</v>
          </cell>
          <cell r="F32" t="str">
            <v>Office Supervisor</v>
          </cell>
          <cell r="G32">
            <v>44298</v>
          </cell>
          <cell r="H32">
            <v>0</v>
          </cell>
          <cell r="I32" t="str">
            <v>SB Sher Sha Colony</v>
          </cell>
          <cell r="J32" t="str">
            <v>05980010005169900026</v>
          </cell>
        </row>
        <row r="33">
          <cell r="B33">
            <v>3410145220243</v>
          </cell>
          <cell r="C33" t="str">
            <v>3rd Tranche</v>
          </cell>
          <cell r="D33">
            <v>28</v>
          </cell>
          <cell r="E33" t="str">
            <v>Muhammad Qasim</v>
          </cell>
          <cell r="F33" t="str">
            <v>Sahulat Bazaar Supervisor</v>
          </cell>
          <cell r="G33">
            <v>41207</v>
          </cell>
          <cell r="H33">
            <v>0</v>
          </cell>
          <cell r="I33" t="str">
            <v>SB Bhalwal</v>
          </cell>
          <cell r="J33" t="str">
            <v>07300010045690960010</v>
          </cell>
        </row>
        <row r="34">
          <cell r="B34">
            <v>3520172865263</v>
          </cell>
          <cell r="C34" t="str">
            <v>Suspended 17-02-26</v>
          </cell>
          <cell r="D34">
            <v>29</v>
          </cell>
          <cell r="E34" t="str">
            <v>Jahangeer Shafique</v>
          </cell>
          <cell r="F34" t="str">
            <v>Sahulat Bazaar Supervisor</v>
          </cell>
          <cell r="G34">
            <v>44256</v>
          </cell>
          <cell r="H34">
            <v>0</v>
          </cell>
          <cell r="I34" t="str">
            <v>SB Hafizabad</v>
          </cell>
          <cell r="J34" t="str">
            <v>07940010074747930016</v>
          </cell>
        </row>
        <row r="35">
          <cell r="B35">
            <v>3520182963623</v>
          </cell>
          <cell r="C35" t="str">
            <v>3rd Tranche</v>
          </cell>
          <cell r="D35">
            <v>30</v>
          </cell>
          <cell r="E35" t="str">
            <v>Muhammad Usman Arif</v>
          </cell>
          <cell r="F35" t="str">
            <v>Sahulat Bazaar Supervisor</v>
          </cell>
          <cell r="G35">
            <v>42512</v>
          </cell>
          <cell r="H35">
            <v>0</v>
          </cell>
          <cell r="I35" t="str">
            <v>SB Harbanspura</v>
          </cell>
          <cell r="J35" t="str">
            <v>01260010045909920010</v>
          </cell>
        </row>
        <row r="36">
          <cell r="B36">
            <v>3520255540089</v>
          </cell>
          <cell r="C36" t="str">
            <v>Suspended 22-02-26</v>
          </cell>
          <cell r="D36">
            <v>31</v>
          </cell>
          <cell r="E36" t="str">
            <v>Hamid Bashir</v>
          </cell>
          <cell r="F36" t="str">
            <v>Sahulat Bazaar Supervisor</v>
          </cell>
          <cell r="G36">
            <v>40795</v>
          </cell>
          <cell r="H36">
            <v>0</v>
          </cell>
          <cell r="I36" t="str">
            <v>STOG Gulshan-e-Ravi</v>
          </cell>
          <cell r="J36" t="str">
            <v>05400010045870290011</v>
          </cell>
        </row>
        <row r="37">
          <cell r="B37">
            <v>3520233314109</v>
          </cell>
          <cell r="C37" t="str">
            <v>3rd Tranche</v>
          </cell>
          <cell r="D37">
            <v>32</v>
          </cell>
          <cell r="E37" t="str">
            <v>Ayaz Ashfaq</v>
          </cell>
          <cell r="F37" t="str">
            <v>Sahulat Bazaar Supervisor</v>
          </cell>
          <cell r="G37">
            <v>42552</v>
          </cell>
          <cell r="H37">
            <v>0</v>
          </cell>
          <cell r="I37" t="str">
            <v>SB China Scheme</v>
          </cell>
          <cell r="J37" t="str">
            <v>02880010045873910011</v>
          </cell>
        </row>
        <row r="38">
          <cell r="B38">
            <v>3240250312139</v>
          </cell>
          <cell r="C38" t="str">
            <v>3rd Tranche</v>
          </cell>
          <cell r="D38">
            <v>33</v>
          </cell>
          <cell r="E38" t="str">
            <v>Muhammad Shamla</v>
          </cell>
          <cell r="F38" t="str">
            <v>Sahulat Bazaar Supervisor (Look After charge of Incharge)</v>
          </cell>
          <cell r="G38">
            <v>42145</v>
          </cell>
          <cell r="H38">
            <v>0</v>
          </cell>
          <cell r="I38" t="str">
            <v>SB Taunsa</v>
          </cell>
          <cell r="J38" t="str">
            <v>08210010045675070010</v>
          </cell>
        </row>
        <row r="39">
          <cell r="B39">
            <v>3620375100139</v>
          </cell>
          <cell r="C39" t="str">
            <v>3rd Tranche</v>
          </cell>
          <cell r="D39">
            <v>34</v>
          </cell>
          <cell r="E39" t="str">
            <v>Rao Muzaffar Zulfiqar</v>
          </cell>
          <cell r="F39" t="str">
            <v>Divisional Incharge</v>
          </cell>
          <cell r="G39">
            <v>43179</v>
          </cell>
          <cell r="H39">
            <v>0</v>
          </cell>
          <cell r="I39" t="str">
            <v>SB Lodhran</v>
          </cell>
          <cell r="J39" t="str">
            <v>08390010050744190032</v>
          </cell>
        </row>
        <row r="40">
          <cell r="B40">
            <v>3320230379961</v>
          </cell>
          <cell r="C40" t="str">
            <v>3rd Tranche</v>
          </cell>
          <cell r="D40">
            <v>35</v>
          </cell>
          <cell r="E40" t="str">
            <v>Rizwan Manzoor</v>
          </cell>
          <cell r="F40" t="str">
            <v>Sahulat Bazaar Supervisor</v>
          </cell>
          <cell r="G40">
            <v>43393</v>
          </cell>
          <cell r="H40">
            <v>0</v>
          </cell>
          <cell r="I40" t="str">
            <v>SB Jhang</v>
          </cell>
          <cell r="J40" t="str">
            <v>06480010048938490011</v>
          </cell>
        </row>
        <row r="41">
          <cell r="B41">
            <v>3310205060665</v>
          </cell>
          <cell r="C41" t="str">
            <v>3rd Tranche</v>
          </cell>
          <cell r="D41">
            <v>36</v>
          </cell>
          <cell r="E41" t="str">
            <v xml:space="preserve">Faisal Rafique </v>
          </cell>
          <cell r="F41" t="str">
            <v>Sahulat Bazaar Supervisor</v>
          </cell>
          <cell r="G41">
            <v>42948</v>
          </cell>
          <cell r="H41">
            <v>0</v>
          </cell>
          <cell r="I41" t="str">
            <v>SB Millat Road (FSD)</v>
          </cell>
          <cell r="J41" t="str">
            <v>00660010060006860013</v>
          </cell>
        </row>
        <row r="42">
          <cell r="B42">
            <v>3520247395435</v>
          </cell>
          <cell r="C42" t="str">
            <v>3rd Tranche</v>
          </cell>
          <cell r="D42">
            <v>37</v>
          </cell>
          <cell r="E42" t="str">
            <v>Anees Ahmad</v>
          </cell>
          <cell r="F42" t="str">
            <v>Sahulat Bazaar Supervisor</v>
          </cell>
          <cell r="G42">
            <v>41989</v>
          </cell>
          <cell r="H42">
            <v>0</v>
          </cell>
          <cell r="I42" t="str">
            <v>SB China Scheme</v>
          </cell>
          <cell r="J42" t="str">
            <v>05420010045826550010</v>
          </cell>
        </row>
        <row r="43">
          <cell r="B43">
            <v>3510377418599</v>
          </cell>
          <cell r="C43" t="str">
            <v>3rd Tranche</v>
          </cell>
          <cell r="D43">
            <v>38</v>
          </cell>
          <cell r="E43" t="str">
            <v>Muhammad Iqbal</v>
          </cell>
          <cell r="F43" t="str">
            <v>Sahulat Bazaar Supervisor (Look After charge of Incharge)</v>
          </cell>
          <cell r="G43">
            <v>42005</v>
          </cell>
          <cell r="H43">
            <v>0</v>
          </cell>
          <cell r="I43" t="str">
            <v>STOG Valencia</v>
          </cell>
          <cell r="J43" t="str">
            <v>09580010045808120020</v>
          </cell>
        </row>
        <row r="44">
          <cell r="B44">
            <v>3520285698727</v>
          </cell>
          <cell r="C44" t="str">
            <v>3rd Tranche</v>
          </cell>
          <cell r="D44">
            <v>39</v>
          </cell>
          <cell r="E44" t="str">
            <v>Nabeel Jameel</v>
          </cell>
          <cell r="F44" t="str">
            <v>Network Support Associate</v>
          </cell>
          <cell r="G44">
            <v>44256</v>
          </cell>
          <cell r="H44">
            <v>0</v>
          </cell>
          <cell r="I44" t="str">
            <v>SB China Scheme</v>
          </cell>
          <cell r="J44" t="str">
            <v>02880010064821250016</v>
          </cell>
        </row>
        <row r="45">
          <cell r="B45">
            <v>3510257029431</v>
          </cell>
          <cell r="C45" t="str">
            <v>3rd Tranche</v>
          </cell>
          <cell r="D45">
            <v>40</v>
          </cell>
          <cell r="E45" t="str">
            <v xml:space="preserve">Kashif Ali </v>
          </cell>
          <cell r="F45" t="str">
            <v>Sahulat Bazaar Supervisor</v>
          </cell>
          <cell r="G45">
            <v>41913</v>
          </cell>
          <cell r="H45">
            <v>0</v>
          </cell>
          <cell r="I45" t="str">
            <v>SB Kasur</v>
          </cell>
          <cell r="J45" t="str">
            <v>05390010045698720014</v>
          </cell>
        </row>
        <row r="46">
          <cell r="B46">
            <v>3510279508419</v>
          </cell>
          <cell r="C46" t="str">
            <v>3rd Tranche</v>
          </cell>
          <cell r="D46">
            <v>41</v>
          </cell>
          <cell r="E46" t="str">
            <v xml:space="preserve">Naqqash Abd-ul-razaq </v>
          </cell>
          <cell r="F46" t="str">
            <v>Sahulat Bazaar Supervisor</v>
          </cell>
          <cell r="G46">
            <v>41913</v>
          </cell>
          <cell r="H46">
            <v>0</v>
          </cell>
          <cell r="I46" t="str">
            <v>SB Kasur</v>
          </cell>
          <cell r="J46" t="str">
            <v>05390010045769830016</v>
          </cell>
        </row>
        <row r="47">
          <cell r="B47">
            <v>3820190911287</v>
          </cell>
          <cell r="C47" t="str">
            <v>3rd Tranche</v>
          </cell>
          <cell r="D47">
            <v>42</v>
          </cell>
          <cell r="E47" t="str">
            <v>Shafique-ur-Rehman</v>
          </cell>
          <cell r="F47" t="str">
            <v>Sahulat Bazaar Incharge</v>
          </cell>
          <cell r="G47">
            <v>43176</v>
          </cell>
          <cell r="H47">
            <v>0</v>
          </cell>
          <cell r="I47" t="str">
            <v>SB Bhera</v>
          </cell>
          <cell r="J47" t="str">
            <v>01220010051003800042</v>
          </cell>
        </row>
        <row r="48">
          <cell r="B48">
            <v>3130435395841</v>
          </cell>
          <cell r="C48" t="str">
            <v>3rd Tranche</v>
          </cell>
          <cell r="D48">
            <v>43</v>
          </cell>
          <cell r="E48" t="str">
            <v>Ubaid-Ullah-Khan</v>
          </cell>
          <cell r="F48" t="str">
            <v>Sahulat Bazaar Supervisor</v>
          </cell>
          <cell r="G48">
            <v>43077</v>
          </cell>
          <cell r="H48">
            <v>0</v>
          </cell>
          <cell r="I48" t="str">
            <v>SB Mianwali</v>
          </cell>
          <cell r="J48" t="str">
            <v>09000010049724590011</v>
          </cell>
        </row>
        <row r="49">
          <cell r="B49">
            <v>3810261106323</v>
          </cell>
          <cell r="C49" t="str">
            <v>3rd Tranche</v>
          </cell>
          <cell r="D49">
            <v>44</v>
          </cell>
          <cell r="E49" t="str">
            <v>Sheikh Muhammad Zohaib Hassan</v>
          </cell>
          <cell r="F49" t="str">
            <v>Sahulat Bazaar Incharge</v>
          </cell>
          <cell r="G49">
            <v>42767</v>
          </cell>
          <cell r="H49">
            <v>0</v>
          </cell>
          <cell r="I49" t="str">
            <v>SB Bhakar</v>
          </cell>
          <cell r="J49" t="str">
            <v>05700010045907130019</v>
          </cell>
        </row>
        <row r="50">
          <cell r="B50">
            <v>3110339206089</v>
          </cell>
          <cell r="C50" t="str">
            <v>3rd Tranche</v>
          </cell>
          <cell r="D50">
            <v>45</v>
          </cell>
          <cell r="E50" t="str">
            <v>Muhammad Tehseen</v>
          </cell>
          <cell r="F50" t="str">
            <v>Sahulat Bazaar Supervisor</v>
          </cell>
          <cell r="G50">
            <v>44256</v>
          </cell>
          <cell r="H50">
            <v>0</v>
          </cell>
          <cell r="I50" t="str">
            <v>SB Lodhran</v>
          </cell>
          <cell r="J50" t="str">
            <v>12310010076750780010</v>
          </cell>
        </row>
        <row r="51">
          <cell r="B51">
            <v>3310066696303</v>
          </cell>
          <cell r="C51" t="str">
            <v xml:space="preserve">Salary Stop </v>
          </cell>
          <cell r="D51">
            <v>46</v>
          </cell>
          <cell r="E51" t="str">
            <v>Kashif Akram</v>
          </cell>
          <cell r="F51" t="str">
            <v>Sahulat Bazaar Supervisor</v>
          </cell>
          <cell r="G51">
            <v>42506</v>
          </cell>
          <cell r="H51">
            <v>0</v>
          </cell>
          <cell r="I51" t="str">
            <v>SB Jhang</v>
          </cell>
          <cell r="J51" t="str">
            <v>00660010060006560015</v>
          </cell>
        </row>
        <row r="52">
          <cell r="B52">
            <v>3520278757531</v>
          </cell>
          <cell r="C52" t="str">
            <v>3rd Tranche</v>
          </cell>
          <cell r="D52">
            <v>47</v>
          </cell>
          <cell r="E52" t="str">
            <v>Riaz Hussain</v>
          </cell>
          <cell r="F52" t="str">
            <v>Sahulat Bazaar Supervisor (Look After charge of Incharge)</v>
          </cell>
          <cell r="G52">
            <v>42767</v>
          </cell>
          <cell r="H52">
            <v>0</v>
          </cell>
          <cell r="I52" t="str">
            <v>STOG Raiwind Road Sundar</v>
          </cell>
          <cell r="J52" t="str">
            <v>07660010078757530018</v>
          </cell>
        </row>
        <row r="53">
          <cell r="B53">
            <v>3510288037173</v>
          </cell>
          <cell r="C53" t="str">
            <v>3rd Tranche</v>
          </cell>
          <cell r="D53">
            <v>48</v>
          </cell>
          <cell r="E53" t="str">
            <v>Shaukat Ali</v>
          </cell>
          <cell r="F53" t="str">
            <v>Sahulat Bazaar Supervisor</v>
          </cell>
          <cell r="G53">
            <v>42948</v>
          </cell>
          <cell r="H53">
            <v>0</v>
          </cell>
          <cell r="I53" t="str">
            <v>STOG Raiwind Road Sundar</v>
          </cell>
          <cell r="J53" t="str">
            <v>05390010045700460012</v>
          </cell>
        </row>
        <row r="54">
          <cell r="B54">
            <v>3510283669737</v>
          </cell>
          <cell r="C54" t="str">
            <v>3rd Tranche</v>
          </cell>
          <cell r="D54">
            <v>49</v>
          </cell>
          <cell r="E54" t="str">
            <v>Tanveer Hussain</v>
          </cell>
          <cell r="F54" t="str">
            <v>Sahulat Bazaar Supervisor</v>
          </cell>
          <cell r="G54">
            <v>44256</v>
          </cell>
          <cell r="H54">
            <v>0</v>
          </cell>
          <cell r="I54" t="str">
            <v>SB Kasur</v>
          </cell>
          <cell r="J54" t="str">
            <v>05390010066157510023</v>
          </cell>
        </row>
        <row r="55">
          <cell r="B55">
            <v>3650188177203</v>
          </cell>
          <cell r="C55" t="str">
            <v>3rd Tranche</v>
          </cell>
          <cell r="D55">
            <v>50</v>
          </cell>
          <cell r="E55" t="str">
            <v>Umer Munir</v>
          </cell>
          <cell r="F55" t="str">
            <v>Sahulat Bazaar Incharge</v>
          </cell>
          <cell r="G55">
            <v>44287</v>
          </cell>
          <cell r="H55">
            <v>0</v>
          </cell>
          <cell r="I55" t="str">
            <v>SB Pakpattan</v>
          </cell>
          <cell r="J55" t="str">
            <v>03530010079447020010</v>
          </cell>
        </row>
        <row r="56">
          <cell r="B56">
            <v>3840182779815</v>
          </cell>
          <cell r="C56" t="str">
            <v>Suspended 29-01-26</v>
          </cell>
          <cell r="D56">
            <v>51</v>
          </cell>
          <cell r="E56" t="str">
            <v>Muhammad Ishtiaq</v>
          </cell>
          <cell r="F56" t="str">
            <v>Sahulat Bazaar Supervisor</v>
          </cell>
          <cell r="G56">
            <v>41837</v>
          </cell>
          <cell r="H56">
            <v>0</v>
          </cell>
          <cell r="I56" t="str">
            <v>SB Wahdat Colony</v>
          </cell>
          <cell r="J56" t="str">
            <v>00520010040436580023</v>
          </cell>
        </row>
        <row r="57">
          <cell r="B57">
            <v>3520216185519</v>
          </cell>
          <cell r="C57" t="str">
            <v>3rd Tranche</v>
          </cell>
          <cell r="D57">
            <v>52</v>
          </cell>
          <cell r="E57" t="str">
            <v>Ali Raza</v>
          </cell>
          <cell r="F57" t="str">
            <v>Divisional Incharge</v>
          </cell>
          <cell r="G57">
            <v>42948</v>
          </cell>
          <cell r="H57">
            <v>0</v>
          </cell>
          <cell r="I57" t="str">
            <v>SB Raiwind</v>
          </cell>
          <cell r="J57" t="str">
            <v>03910010045816860019</v>
          </cell>
        </row>
        <row r="58">
          <cell r="B58">
            <v>3520253228137</v>
          </cell>
          <cell r="C58" t="str">
            <v>3rd Tranche</v>
          </cell>
          <cell r="D58">
            <v>53</v>
          </cell>
          <cell r="E58" t="str">
            <v>Nawaz Mushtaq</v>
          </cell>
          <cell r="F58" t="str">
            <v>Sahulat Bazaar Supervisor</v>
          </cell>
          <cell r="G58">
            <v>43011</v>
          </cell>
          <cell r="H58">
            <v>0</v>
          </cell>
          <cell r="I58" t="str">
            <v>SB Raiwind</v>
          </cell>
          <cell r="J58" t="str">
            <v>03910010047599230011</v>
          </cell>
        </row>
        <row r="59">
          <cell r="B59">
            <v>3520297741107</v>
          </cell>
          <cell r="C59" t="str">
            <v>3rd Tranche</v>
          </cell>
          <cell r="D59">
            <v>54</v>
          </cell>
          <cell r="E59" t="str">
            <v>Ghulam Farid</v>
          </cell>
          <cell r="F59" t="str">
            <v>Sahulat Bazaar Supervisor</v>
          </cell>
          <cell r="G59">
            <v>43019</v>
          </cell>
          <cell r="H59">
            <v>0</v>
          </cell>
          <cell r="I59" t="str">
            <v>SB Township</v>
          </cell>
          <cell r="J59" t="str">
            <v>07660010640333630014</v>
          </cell>
        </row>
        <row r="60">
          <cell r="B60">
            <v>3520230705815</v>
          </cell>
          <cell r="C60" t="str">
            <v>3rd Tranche</v>
          </cell>
          <cell r="D60">
            <v>55</v>
          </cell>
          <cell r="E60" t="str">
            <v>Nabeel Kazim Khan</v>
          </cell>
          <cell r="F60" t="str">
            <v>Sahulat Bazaar Supervisor</v>
          </cell>
          <cell r="G60">
            <v>43176</v>
          </cell>
          <cell r="H60">
            <v>0</v>
          </cell>
          <cell r="I60" t="str">
            <v>SB Raiwind</v>
          </cell>
          <cell r="J60" t="str">
            <v>03910010050957700016</v>
          </cell>
        </row>
        <row r="61">
          <cell r="B61">
            <v>3740555801825</v>
          </cell>
          <cell r="C61" t="str">
            <v>3rd Tranche</v>
          </cell>
          <cell r="D61">
            <v>56</v>
          </cell>
          <cell r="E61" t="str">
            <v>Khurram Shehzad</v>
          </cell>
          <cell r="F61" t="str">
            <v>Sahulat Bazaar Incharge</v>
          </cell>
          <cell r="G61">
            <v>42767</v>
          </cell>
          <cell r="H61">
            <v>0</v>
          </cell>
          <cell r="I61" t="str">
            <v>SB Rawalpindi</v>
          </cell>
          <cell r="J61" t="str">
            <v>05700010020146120019</v>
          </cell>
        </row>
        <row r="62">
          <cell r="B62">
            <v>3330356831985</v>
          </cell>
          <cell r="C62" t="str">
            <v>3rd Tranche</v>
          </cell>
          <cell r="D62">
            <v>57</v>
          </cell>
          <cell r="E62" t="str">
            <v>Nadeem Abbas</v>
          </cell>
          <cell r="F62" t="str">
            <v>Sahulat Bazaar Supervisor</v>
          </cell>
          <cell r="G62">
            <v>41306</v>
          </cell>
          <cell r="H62">
            <v>0</v>
          </cell>
          <cell r="I62" t="str">
            <v>SB Toba Tek Singh</v>
          </cell>
          <cell r="J62" t="str">
            <v>04060010045720500017</v>
          </cell>
        </row>
        <row r="63">
          <cell r="B63">
            <v>3330373560405</v>
          </cell>
          <cell r="C63" t="str">
            <v>Leaves without pay (24-04-26 to 24-10-26)</v>
          </cell>
          <cell r="D63">
            <v>58</v>
          </cell>
          <cell r="E63" t="str">
            <v>Abbas Ali sani</v>
          </cell>
          <cell r="F63" t="str">
            <v>Sahulat Bazaar Supervisor</v>
          </cell>
          <cell r="G63">
            <v>43119</v>
          </cell>
          <cell r="H63">
            <v>0</v>
          </cell>
          <cell r="I63" t="str">
            <v>SB Toba Tek Singh</v>
          </cell>
          <cell r="J63" t="str">
            <v>03980010050052780016</v>
          </cell>
        </row>
        <row r="64">
          <cell r="B64">
            <v>3520218863115</v>
          </cell>
          <cell r="C64" t="str">
            <v>3rd Tranche</v>
          </cell>
          <cell r="D64">
            <v>59</v>
          </cell>
          <cell r="E64" t="str">
            <v>Muhammad Zia</v>
          </cell>
          <cell r="F64" t="str">
            <v>Sahulat Bazaar Supervisor</v>
          </cell>
          <cell r="G64">
            <v>42506</v>
          </cell>
          <cell r="H64">
            <v>0</v>
          </cell>
          <cell r="I64" t="str">
            <v>SB Thokar</v>
          </cell>
          <cell r="J64" t="str">
            <v>06340010029482500019</v>
          </cell>
        </row>
        <row r="65">
          <cell r="B65">
            <v>3520250513049</v>
          </cell>
          <cell r="C65" t="str">
            <v>3rd Tranche</v>
          </cell>
          <cell r="D65">
            <v>60</v>
          </cell>
          <cell r="E65" t="str">
            <v>Ahmad Mahmood</v>
          </cell>
          <cell r="F65" t="str">
            <v>Sahulat Bazaar Incharge</v>
          </cell>
          <cell r="G65">
            <v>44256</v>
          </cell>
          <cell r="H65">
            <v>0</v>
          </cell>
          <cell r="I65" t="str">
            <v>SB China Scheme</v>
          </cell>
          <cell r="J65" t="str">
            <v>05320010078651400010</v>
          </cell>
        </row>
        <row r="66">
          <cell r="B66">
            <v>3520283162071</v>
          </cell>
          <cell r="C66" t="str">
            <v>3rd Tranche</v>
          </cell>
          <cell r="D66">
            <v>61</v>
          </cell>
          <cell r="E66" t="str">
            <v>Rashid Mahmood</v>
          </cell>
          <cell r="F66" t="str">
            <v>Monitoring Supervisor</v>
          </cell>
          <cell r="G66">
            <v>44256</v>
          </cell>
          <cell r="H66">
            <v>0</v>
          </cell>
          <cell r="I66" t="str">
            <v>SB Thokar</v>
          </cell>
          <cell r="J66" t="str">
            <v>07660010053145710019</v>
          </cell>
        </row>
        <row r="67">
          <cell r="B67">
            <v>3520241663183</v>
          </cell>
          <cell r="C67" t="str">
            <v>3rd Tranche</v>
          </cell>
          <cell r="D67">
            <v>62</v>
          </cell>
          <cell r="E67" t="str">
            <v>Abdul Hameed Nasir</v>
          </cell>
          <cell r="F67" t="str">
            <v>Supervisor FHD</v>
          </cell>
          <cell r="G67">
            <v>44256</v>
          </cell>
          <cell r="H67">
            <v>0</v>
          </cell>
          <cell r="I67" t="str">
            <v>SB Johar Town</v>
          </cell>
          <cell r="J67" t="str">
            <v>00800010064403220011</v>
          </cell>
        </row>
        <row r="68">
          <cell r="B68">
            <v>3520235383471</v>
          </cell>
          <cell r="C68" t="str">
            <v>3rd Tranche</v>
          </cell>
          <cell r="D68">
            <v>63</v>
          </cell>
          <cell r="E68" t="str">
            <v>Shamail Manzoor</v>
          </cell>
          <cell r="F68" t="str">
            <v>Supervisor FHD</v>
          </cell>
          <cell r="G68">
            <v>44256</v>
          </cell>
          <cell r="H68">
            <v>0</v>
          </cell>
          <cell r="I68" t="str">
            <v>SB Township</v>
          </cell>
          <cell r="J68" t="str">
            <v>08370010009525560023</v>
          </cell>
        </row>
        <row r="69">
          <cell r="B69">
            <v>3520234304283</v>
          </cell>
          <cell r="C69" t="str">
            <v>3rd Tranche</v>
          </cell>
          <cell r="D69">
            <v>64</v>
          </cell>
          <cell r="E69" t="str">
            <v>Abdul Hafeez</v>
          </cell>
          <cell r="F69" t="str">
            <v>Computer Operator</v>
          </cell>
          <cell r="G69">
            <v>44256</v>
          </cell>
          <cell r="H69">
            <v>0</v>
          </cell>
          <cell r="I69" t="str">
            <v>SB Township</v>
          </cell>
          <cell r="J69" t="str">
            <v>02880010070163850015</v>
          </cell>
        </row>
        <row r="70">
          <cell r="B70">
            <v>3520278004741</v>
          </cell>
          <cell r="C70" t="str">
            <v>3rd Tranche</v>
          </cell>
          <cell r="D70">
            <v>65</v>
          </cell>
          <cell r="E70" t="str">
            <v>Saad Ibnan</v>
          </cell>
          <cell r="F70" t="str">
            <v>Sahulat Bazaar Supervisor</v>
          </cell>
          <cell r="G70">
            <v>42074</v>
          </cell>
          <cell r="H70">
            <v>0</v>
          </cell>
          <cell r="I70" t="str">
            <v>SB Wahdat Colony</v>
          </cell>
          <cell r="J70" t="str">
            <v>02880010045892940010</v>
          </cell>
        </row>
        <row r="71">
          <cell r="B71">
            <v>3520282195837</v>
          </cell>
          <cell r="C71" t="str">
            <v>3rd Tranche</v>
          </cell>
          <cell r="D71">
            <v>66</v>
          </cell>
          <cell r="E71" t="str">
            <v>Abid Munir</v>
          </cell>
          <cell r="F71" t="str">
            <v>Monitoring Supervisor</v>
          </cell>
          <cell r="G71">
            <v>42948</v>
          </cell>
          <cell r="H71">
            <v>0</v>
          </cell>
          <cell r="I71" t="str">
            <v>SB Sabzazaar</v>
          </cell>
          <cell r="J71" t="str">
            <v>05380010045829020012</v>
          </cell>
        </row>
        <row r="72">
          <cell r="B72">
            <v>3450173922885</v>
          </cell>
          <cell r="C72" t="str">
            <v>3rd Tranche</v>
          </cell>
          <cell r="D72">
            <v>67</v>
          </cell>
          <cell r="E72" t="str">
            <v xml:space="preserve">Tahir Majeed </v>
          </cell>
          <cell r="F72" t="str">
            <v>Assistant Electrical Engineer</v>
          </cell>
          <cell r="G72">
            <v>44256</v>
          </cell>
          <cell r="H72">
            <v>0</v>
          </cell>
          <cell r="I72" t="str">
            <v>SB Township</v>
          </cell>
          <cell r="J72" t="str">
            <v>05530010070198510018</v>
          </cell>
        </row>
        <row r="73">
          <cell r="B73">
            <v>3520243943553</v>
          </cell>
          <cell r="C73" t="str">
            <v>3rd Tranche</v>
          </cell>
          <cell r="D73">
            <v>68</v>
          </cell>
          <cell r="E73" t="str">
            <v>Muhammad Ahtesham</v>
          </cell>
          <cell r="F73" t="str">
            <v>Sahulat Bazaar Supervisor</v>
          </cell>
          <cell r="G73">
            <v>41604</v>
          </cell>
          <cell r="H73">
            <v>0</v>
          </cell>
          <cell r="I73" t="str">
            <v>SB Hafizabad</v>
          </cell>
          <cell r="J73" t="str">
            <v>03910010045816320019</v>
          </cell>
        </row>
        <row r="74">
          <cell r="B74">
            <v>3830120284865</v>
          </cell>
          <cell r="C74" t="str">
            <v>3rd Tranche</v>
          </cell>
          <cell r="D74">
            <v>69</v>
          </cell>
          <cell r="E74" t="str">
            <v>Ijaz Ahmed</v>
          </cell>
          <cell r="F74" t="str">
            <v>Sahulat Bazaar Supervisor (Look After charge of Incharge)</v>
          </cell>
          <cell r="G74">
            <v>41989</v>
          </cell>
          <cell r="H74">
            <v>0</v>
          </cell>
          <cell r="I74" t="str">
            <v>STOG Madr-e-Millat</v>
          </cell>
          <cell r="J74" t="str">
            <v>09410010045980070016</v>
          </cell>
        </row>
        <row r="75">
          <cell r="B75">
            <v>3520241202493</v>
          </cell>
          <cell r="C75" t="str">
            <v>3rd Tranche</v>
          </cell>
          <cell r="D75">
            <v>70</v>
          </cell>
          <cell r="E75" t="str">
            <v>Salman Raza</v>
          </cell>
          <cell r="F75" t="str">
            <v>Sahulat Bazaar Supervisor</v>
          </cell>
          <cell r="G75">
            <v>42953</v>
          </cell>
          <cell r="H75">
            <v>0</v>
          </cell>
          <cell r="I75" t="str">
            <v>SB Township</v>
          </cell>
          <cell r="J75" t="str">
            <v>01530010018110400027</v>
          </cell>
        </row>
        <row r="76">
          <cell r="B76">
            <v>3110443214567</v>
          </cell>
          <cell r="C76" t="str">
            <v>3rd Tranche</v>
          </cell>
          <cell r="D76">
            <v>71</v>
          </cell>
          <cell r="E76" t="str">
            <v>Kafeel Ahmad</v>
          </cell>
          <cell r="F76" t="str">
            <v>Sahulat Bazaar Supervisor</v>
          </cell>
          <cell r="G76">
            <v>40918</v>
          </cell>
          <cell r="H76">
            <v>0</v>
          </cell>
          <cell r="I76" t="str">
            <v>SB Township</v>
          </cell>
          <cell r="J76" t="str">
            <v>01530010045860110018</v>
          </cell>
        </row>
        <row r="77">
          <cell r="B77">
            <v>3520225571403</v>
          </cell>
          <cell r="C77" t="str">
            <v>3rd Tranche</v>
          </cell>
          <cell r="D77">
            <v>72</v>
          </cell>
          <cell r="E77" t="str">
            <v>Syed Azhar Abbas Zaidi</v>
          </cell>
          <cell r="F77" t="str">
            <v>Sahulat Bazaar Supervisor</v>
          </cell>
          <cell r="G77">
            <v>43678</v>
          </cell>
          <cell r="H77">
            <v>0</v>
          </cell>
          <cell r="I77" t="str">
            <v>SB Sabzazaar</v>
          </cell>
          <cell r="J77" t="str">
            <v>51210020060873270010</v>
          </cell>
        </row>
        <row r="78">
          <cell r="B78">
            <v>3540194358245</v>
          </cell>
          <cell r="C78" t="str">
            <v>2nd Tranche</v>
          </cell>
          <cell r="D78">
            <v>73</v>
          </cell>
          <cell r="E78" t="str">
            <v>Rehmat Ali</v>
          </cell>
          <cell r="F78" t="str">
            <v>Security &amp; Parking Attendant</v>
          </cell>
          <cell r="G78">
            <v>43678</v>
          </cell>
          <cell r="H78">
            <v>0</v>
          </cell>
          <cell r="I78" t="str">
            <v>SB Township</v>
          </cell>
          <cell r="J78" t="str">
            <v>51560020061252150011</v>
          </cell>
        </row>
        <row r="79">
          <cell r="B79">
            <v>1120103677095</v>
          </cell>
          <cell r="C79" t="str">
            <v>3rd Tranche</v>
          </cell>
          <cell r="D79">
            <v>74</v>
          </cell>
          <cell r="E79" t="str">
            <v>Shaukat Ullah Khan</v>
          </cell>
          <cell r="F79" t="str">
            <v>Record Keeper</v>
          </cell>
          <cell r="G79">
            <v>41971</v>
          </cell>
          <cell r="H79">
            <v>0</v>
          </cell>
          <cell r="I79" t="str">
            <v>SB Gujranwala</v>
          </cell>
          <cell r="J79" t="str">
            <v>07300010012132790020</v>
          </cell>
        </row>
        <row r="80">
          <cell r="B80">
            <v>3310230362290</v>
          </cell>
          <cell r="C80" t="str">
            <v>3rd Tranche</v>
          </cell>
          <cell r="D80">
            <v>75</v>
          </cell>
          <cell r="E80" t="str">
            <v>Tayyaba Yasmeen</v>
          </cell>
          <cell r="F80" t="str">
            <v>Sahulat Bazaar Supervisor</v>
          </cell>
          <cell r="G80">
            <v>42522</v>
          </cell>
          <cell r="H80">
            <v>0</v>
          </cell>
          <cell r="I80" t="str">
            <v>SB Jhang Road (FSD)</v>
          </cell>
          <cell r="J80" t="str">
            <v>00660010060006640032</v>
          </cell>
        </row>
        <row r="81">
          <cell r="B81">
            <v>3840322595515</v>
          </cell>
          <cell r="C81" t="str">
            <v>2nd Tranche</v>
          </cell>
          <cell r="D81">
            <v>76</v>
          </cell>
          <cell r="E81" t="str">
            <v>Hafiz Muhammad Tahir</v>
          </cell>
          <cell r="F81" t="str">
            <v>Security &amp; Parking Attendant</v>
          </cell>
          <cell r="G81">
            <v>41337</v>
          </cell>
          <cell r="H81">
            <v>0</v>
          </cell>
          <cell r="I81" t="str">
            <v>SB Sargodha</v>
          </cell>
          <cell r="J81" t="str">
            <v>07980010045812320010</v>
          </cell>
        </row>
        <row r="82">
          <cell r="B82">
            <v>3650105740123</v>
          </cell>
          <cell r="C82" t="str">
            <v>3rd Tranche</v>
          </cell>
          <cell r="D82">
            <v>77</v>
          </cell>
          <cell r="E82" t="str">
            <v>Razan Khalid</v>
          </cell>
          <cell r="F82" t="str">
            <v>Sahulat Bazaar Supervisor (Look After charge of Incharge)</v>
          </cell>
          <cell r="G82">
            <v>44228</v>
          </cell>
          <cell r="H82">
            <v>0</v>
          </cell>
          <cell r="I82" t="str">
            <v>SB Jhang Road (FSD)</v>
          </cell>
          <cell r="J82" t="str">
            <v>00660010071291680016</v>
          </cell>
        </row>
        <row r="83">
          <cell r="B83">
            <v>3120202847237</v>
          </cell>
          <cell r="C83" t="str">
            <v>3rd Tranche</v>
          </cell>
          <cell r="D83">
            <v>78</v>
          </cell>
          <cell r="E83" t="str">
            <v>Muhammad Shahzaib</v>
          </cell>
          <cell r="F83" t="str">
            <v>Electrician</v>
          </cell>
          <cell r="G83">
            <v>40756</v>
          </cell>
          <cell r="H83">
            <v>0</v>
          </cell>
          <cell r="I83" t="str">
            <v>SB Bahawalpur</v>
          </cell>
          <cell r="J83" t="str">
            <v>09630010045766740019</v>
          </cell>
        </row>
        <row r="84">
          <cell r="B84">
            <v>3840185402347</v>
          </cell>
          <cell r="C84" t="str">
            <v>2nd Tranche</v>
          </cell>
          <cell r="D84">
            <v>79</v>
          </cell>
          <cell r="E84" t="str">
            <v>Rana Qadir Nawaz</v>
          </cell>
          <cell r="F84" t="str">
            <v>Security &amp; Parking Attendant</v>
          </cell>
          <cell r="G84">
            <v>42516</v>
          </cell>
          <cell r="H84">
            <v>0</v>
          </cell>
          <cell r="I84" t="str">
            <v>SB Bhera</v>
          </cell>
          <cell r="J84" t="str">
            <v>06150010045924700010</v>
          </cell>
        </row>
        <row r="85">
          <cell r="B85">
            <v>3520232223647</v>
          </cell>
          <cell r="C85" t="str">
            <v>3rd Tranche</v>
          </cell>
          <cell r="D85">
            <v>80</v>
          </cell>
          <cell r="E85" t="str">
            <v>Muhammad Azeem Butt</v>
          </cell>
          <cell r="F85" t="str">
            <v>Electrician</v>
          </cell>
          <cell r="G85">
            <v>43101</v>
          </cell>
          <cell r="H85">
            <v>0</v>
          </cell>
          <cell r="I85" t="str">
            <v>SB Johar Town</v>
          </cell>
          <cell r="J85" t="str">
            <v>02880010049391100012</v>
          </cell>
        </row>
        <row r="86">
          <cell r="B86">
            <v>3410124517229</v>
          </cell>
          <cell r="C86" t="str">
            <v>2nd Tranche</v>
          </cell>
          <cell r="D86">
            <v>81</v>
          </cell>
          <cell r="E86" t="str">
            <v>Abdul Waheed</v>
          </cell>
          <cell r="F86" t="str">
            <v>Security &amp; Parking Attendant</v>
          </cell>
          <cell r="G86">
            <v>40640</v>
          </cell>
          <cell r="H86">
            <v>0</v>
          </cell>
          <cell r="I86" t="str">
            <v>SB Gujranwala</v>
          </cell>
          <cell r="J86" t="str">
            <v>07300010045719990012</v>
          </cell>
        </row>
        <row r="87">
          <cell r="B87">
            <v>3520274748097</v>
          </cell>
          <cell r="C87" t="str">
            <v>3rd Tranche</v>
          </cell>
          <cell r="D87">
            <v>82</v>
          </cell>
          <cell r="E87" t="str">
            <v>Atta Ullah</v>
          </cell>
          <cell r="F87" t="str">
            <v>Sahulat Bazaar Supervisor</v>
          </cell>
          <cell r="G87">
            <v>42767</v>
          </cell>
          <cell r="H87">
            <v>0</v>
          </cell>
          <cell r="I87" t="str">
            <v>SB Johar Town</v>
          </cell>
          <cell r="J87" t="str">
            <v>02880010045856290029</v>
          </cell>
        </row>
        <row r="88">
          <cell r="B88">
            <v>3520102060687</v>
          </cell>
          <cell r="C88" t="str">
            <v>2nd Tranche</v>
          </cell>
          <cell r="D88">
            <v>83</v>
          </cell>
          <cell r="E88" t="str">
            <v>Muhammad Imran</v>
          </cell>
          <cell r="F88" t="str">
            <v>Security &amp; Parking Attendant</v>
          </cell>
          <cell r="G88">
            <v>42370</v>
          </cell>
          <cell r="H88">
            <v>0</v>
          </cell>
          <cell r="I88" t="str">
            <v>SB Harbanspura</v>
          </cell>
          <cell r="J88" t="str">
            <v>01260010045934980023</v>
          </cell>
        </row>
        <row r="89">
          <cell r="B89">
            <v>3320269871297</v>
          </cell>
          <cell r="C89" t="str">
            <v>3rd Tranche</v>
          </cell>
          <cell r="D89">
            <v>84</v>
          </cell>
          <cell r="E89" t="str">
            <v>Umar Daraz</v>
          </cell>
          <cell r="F89" t="str">
            <v>Electrician</v>
          </cell>
          <cell r="G89">
            <v>43183</v>
          </cell>
          <cell r="H89">
            <v>0</v>
          </cell>
          <cell r="I89" t="str">
            <v>SB Jhang</v>
          </cell>
          <cell r="J89" t="str">
            <v>06480010050994410016</v>
          </cell>
        </row>
        <row r="90">
          <cell r="B90">
            <v>3310007365737</v>
          </cell>
          <cell r="C90" t="str">
            <v>3rd Tranche</v>
          </cell>
          <cell r="D90">
            <v>85</v>
          </cell>
          <cell r="E90" t="str">
            <v xml:space="preserve">Nisar Ahmad </v>
          </cell>
          <cell r="F90" t="str">
            <v>Electrician</v>
          </cell>
          <cell r="G90">
            <v>42767</v>
          </cell>
          <cell r="H90">
            <v>0</v>
          </cell>
          <cell r="I90" t="str">
            <v>SB Jhang Road (FSD)</v>
          </cell>
          <cell r="J90" t="str">
            <v>00660010060006500010</v>
          </cell>
        </row>
        <row r="91">
          <cell r="B91">
            <v>3510261075203</v>
          </cell>
          <cell r="C91" t="str">
            <v>3rd Tranche</v>
          </cell>
          <cell r="D91">
            <v>86</v>
          </cell>
          <cell r="E91" t="str">
            <v xml:space="preserve">Nawaz Ahmad </v>
          </cell>
          <cell r="F91" t="str">
            <v>Electrician</v>
          </cell>
          <cell r="G91">
            <v>41913</v>
          </cell>
          <cell r="H91">
            <v>0</v>
          </cell>
          <cell r="I91" t="str">
            <v>SB Kasur</v>
          </cell>
          <cell r="J91" t="str">
            <v>05390010045769430015</v>
          </cell>
        </row>
        <row r="92">
          <cell r="B92">
            <v>3520280100181</v>
          </cell>
          <cell r="C92" t="str">
            <v>3rd Tranche</v>
          </cell>
          <cell r="D92">
            <v>87</v>
          </cell>
          <cell r="E92" t="str">
            <v>Riaz-ul-Hassan</v>
          </cell>
          <cell r="F92" t="str">
            <v>Electrician</v>
          </cell>
          <cell r="G92">
            <v>42767</v>
          </cell>
          <cell r="H92">
            <v>0</v>
          </cell>
          <cell r="I92" t="str">
            <v>SB Raiwind</v>
          </cell>
          <cell r="J92" t="str">
            <v>03910010045893580010</v>
          </cell>
        </row>
        <row r="93">
          <cell r="B93">
            <v>3650263459165</v>
          </cell>
          <cell r="C93" t="str">
            <v>3rd Tranche</v>
          </cell>
          <cell r="D93">
            <v>88</v>
          </cell>
          <cell r="E93" t="str">
            <v>Muhammad Ramzan Akbar</v>
          </cell>
          <cell r="F93" t="str">
            <v>Electrician</v>
          </cell>
          <cell r="G93">
            <v>40550</v>
          </cell>
          <cell r="H93">
            <v>0</v>
          </cell>
          <cell r="I93" t="str">
            <v>SB Sahiwal</v>
          </cell>
          <cell r="J93" t="str">
            <v>03520010048175150016</v>
          </cell>
        </row>
        <row r="94">
          <cell r="B94">
            <v>3840393994855</v>
          </cell>
          <cell r="C94" t="str">
            <v>2nd Tranche</v>
          </cell>
          <cell r="D94">
            <v>89</v>
          </cell>
          <cell r="E94" t="str">
            <v>Anser Masih</v>
          </cell>
          <cell r="F94" t="str">
            <v>Security &amp; Parking Attendant</v>
          </cell>
          <cell r="G94">
            <v>41034</v>
          </cell>
          <cell r="H94">
            <v>0</v>
          </cell>
          <cell r="I94" t="str">
            <v>SB Sargodha</v>
          </cell>
          <cell r="J94" t="str">
            <v>07980010010516570015</v>
          </cell>
        </row>
        <row r="95">
          <cell r="B95">
            <v>3330353934573</v>
          </cell>
          <cell r="C95" t="str">
            <v>2nd Tranche</v>
          </cell>
          <cell r="D95">
            <v>90</v>
          </cell>
          <cell r="E95" t="str">
            <v>Zaheer Abbas</v>
          </cell>
          <cell r="F95" t="str">
            <v>Security &amp; Parking Attendant</v>
          </cell>
          <cell r="G95">
            <v>41093</v>
          </cell>
          <cell r="H95">
            <v>0</v>
          </cell>
          <cell r="I95" t="str">
            <v>SB Toba Tek Singh</v>
          </cell>
          <cell r="J95" t="str">
            <v>04060010067219000014</v>
          </cell>
        </row>
        <row r="96">
          <cell r="B96">
            <v>3520265263409</v>
          </cell>
          <cell r="C96" t="str">
            <v>3rd Tranche</v>
          </cell>
          <cell r="D96">
            <v>91</v>
          </cell>
          <cell r="E96" t="str">
            <v>Hafiz Muhammad Saleem</v>
          </cell>
          <cell r="F96" t="str">
            <v>Sub Engineer (Electrical)</v>
          </cell>
          <cell r="G96">
            <v>42367</v>
          </cell>
          <cell r="H96">
            <v>0</v>
          </cell>
          <cell r="I96" t="str">
            <v>SB Township</v>
          </cell>
          <cell r="J96" t="str">
            <v>02880010045781520019</v>
          </cell>
        </row>
        <row r="97">
          <cell r="B97">
            <v>3640255955373</v>
          </cell>
          <cell r="C97" t="str">
            <v>3rd Tranche</v>
          </cell>
          <cell r="D97">
            <v>92</v>
          </cell>
          <cell r="E97" t="str">
            <v>Abdul Mutlab</v>
          </cell>
          <cell r="F97" t="str">
            <v>Sahulat Bazaar Supervisor (Look After charge of Incharge)</v>
          </cell>
          <cell r="G97">
            <v>41604</v>
          </cell>
          <cell r="H97">
            <v>0</v>
          </cell>
          <cell r="I97" t="str">
            <v>SB Sahiwal</v>
          </cell>
          <cell r="J97" t="str">
            <v>02880010045927700014</v>
          </cell>
        </row>
        <row r="98">
          <cell r="B98">
            <v>3840124962747</v>
          </cell>
          <cell r="C98" t="str">
            <v>3rd Tranche</v>
          </cell>
          <cell r="D98">
            <v>93</v>
          </cell>
          <cell r="E98" t="str">
            <v>Muhammad Afzal</v>
          </cell>
          <cell r="F98" t="str">
            <v>Gardener</v>
          </cell>
          <cell r="G98">
            <v>43132</v>
          </cell>
          <cell r="H98">
            <v>0</v>
          </cell>
          <cell r="I98" t="str">
            <v>SB Bhera</v>
          </cell>
          <cell r="J98" t="str">
            <v>06150010031221120025</v>
          </cell>
        </row>
        <row r="99">
          <cell r="B99">
            <v>3840189529673</v>
          </cell>
          <cell r="C99" t="str">
            <v>3rd Tranche</v>
          </cell>
          <cell r="D99">
            <v>94</v>
          </cell>
          <cell r="E99" t="str">
            <v>Yousaf Kamal</v>
          </cell>
          <cell r="F99" t="str">
            <v>Gardener</v>
          </cell>
          <cell r="G99">
            <v>43678</v>
          </cell>
          <cell r="H99">
            <v>0</v>
          </cell>
          <cell r="I99" t="str">
            <v>SB Chakwal</v>
          </cell>
          <cell r="J99" t="str">
            <v>00600010053697520012</v>
          </cell>
        </row>
        <row r="100">
          <cell r="B100">
            <v>3210226914835</v>
          </cell>
          <cell r="C100" t="str">
            <v>3rd Tranche</v>
          </cell>
          <cell r="D100">
            <v>95</v>
          </cell>
          <cell r="E100" t="str">
            <v xml:space="preserve">Abdul Majeed </v>
          </cell>
          <cell r="F100" t="str">
            <v>Gardener</v>
          </cell>
          <cell r="G100">
            <v>42616</v>
          </cell>
          <cell r="H100">
            <v>0</v>
          </cell>
          <cell r="I100" t="str">
            <v>SB DG Khan</v>
          </cell>
          <cell r="J100" t="str">
            <v>00720010046368860012</v>
          </cell>
        </row>
        <row r="101">
          <cell r="B101">
            <v>3210202662993</v>
          </cell>
          <cell r="C101" t="str">
            <v>3rd Tranche</v>
          </cell>
          <cell r="D101">
            <v>96</v>
          </cell>
          <cell r="E101" t="str">
            <v>Farhat Abbas</v>
          </cell>
          <cell r="F101" t="str">
            <v>Gardener</v>
          </cell>
          <cell r="G101">
            <v>42948</v>
          </cell>
          <cell r="H101">
            <v>0</v>
          </cell>
          <cell r="I101" t="str">
            <v>SB DG Khan</v>
          </cell>
          <cell r="J101" t="str">
            <v>00720010046410120010</v>
          </cell>
        </row>
        <row r="102">
          <cell r="B102">
            <v>3540408284335</v>
          </cell>
          <cell r="C102" t="str">
            <v>3rd Tranche</v>
          </cell>
          <cell r="D102">
            <v>97</v>
          </cell>
          <cell r="E102" t="str">
            <v xml:space="preserve">Qaisar Nadeem </v>
          </cell>
          <cell r="F102" t="str">
            <v>Gardener</v>
          </cell>
          <cell r="G102">
            <v>43678</v>
          </cell>
          <cell r="H102">
            <v>0</v>
          </cell>
          <cell r="I102" t="str">
            <v>SB Farooqabad</v>
          </cell>
          <cell r="J102" t="str">
            <v>06200010052467880017</v>
          </cell>
        </row>
        <row r="103">
          <cell r="B103">
            <v>3410204252249</v>
          </cell>
          <cell r="C103" t="str">
            <v>3rd Tranche</v>
          </cell>
          <cell r="D103">
            <v>98</v>
          </cell>
          <cell r="E103" t="str">
            <v>Muhammad Bilal</v>
          </cell>
          <cell r="F103" t="str">
            <v>Gardener</v>
          </cell>
          <cell r="G103">
            <v>41096</v>
          </cell>
          <cell r="H103">
            <v>0</v>
          </cell>
          <cell r="I103" t="str">
            <v>SB Gujranwala</v>
          </cell>
          <cell r="J103" t="str">
            <v>07300010045672670013</v>
          </cell>
        </row>
        <row r="104">
          <cell r="B104">
            <v>3420164552369</v>
          </cell>
          <cell r="C104" t="str">
            <v>3rd Tranche</v>
          </cell>
          <cell r="D104">
            <v>99</v>
          </cell>
          <cell r="E104" t="str">
            <v>Riaz Ahmad</v>
          </cell>
          <cell r="F104" t="str">
            <v>Gardener</v>
          </cell>
          <cell r="G104">
            <v>42948</v>
          </cell>
          <cell r="H104">
            <v>0</v>
          </cell>
          <cell r="I104" t="str">
            <v>SB Gujrat</v>
          </cell>
          <cell r="J104" t="str">
            <v>51040020045638450020</v>
          </cell>
        </row>
        <row r="105">
          <cell r="B105">
            <v>3520125091273</v>
          </cell>
          <cell r="C105" t="str">
            <v>3rd Tranche</v>
          </cell>
          <cell r="D105">
            <v>100</v>
          </cell>
          <cell r="E105" t="str">
            <v>Sabir Masih</v>
          </cell>
          <cell r="F105" t="str">
            <v>Gardener</v>
          </cell>
          <cell r="G105">
            <v>42146</v>
          </cell>
          <cell r="H105">
            <v>0</v>
          </cell>
          <cell r="I105" t="str">
            <v>SB China Scheme</v>
          </cell>
          <cell r="J105" t="str">
            <v>07040010045921700017</v>
          </cell>
        </row>
        <row r="106">
          <cell r="B106">
            <v>3530255412751</v>
          </cell>
          <cell r="C106" t="str">
            <v>3rd Tranche</v>
          </cell>
          <cell r="D106">
            <v>101</v>
          </cell>
          <cell r="E106" t="str">
            <v>Ghafoor Hussain</v>
          </cell>
          <cell r="F106" t="str">
            <v>Gardener</v>
          </cell>
          <cell r="G106">
            <v>41777</v>
          </cell>
          <cell r="H106">
            <v>0</v>
          </cell>
          <cell r="I106" t="str">
            <v>SB Harbanspura</v>
          </cell>
          <cell r="J106" t="str">
            <v>01260010045855420010</v>
          </cell>
        </row>
        <row r="107">
          <cell r="B107">
            <v>3310263841469</v>
          </cell>
          <cell r="C107" t="str">
            <v>3rd Tranche</v>
          </cell>
          <cell r="D107">
            <v>102</v>
          </cell>
          <cell r="E107" t="str">
            <v xml:space="preserve">Amjad Ali </v>
          </cell>
          <cell r="F107" t="str">
            <v>Gardener</v>
          </cell>
          <cell r="G107">
            <v>41664</v>
          </cell>
          <cell r="H107">
            <v>0</v>
          </cell>
          <cell r="I107" t="str">
            <v>SB Jhang Road (FSD)</v>
          </cell>
          <cell r="J107" t="str">
            <v>04930010045908730010</v>
          </cell>
        </row>
        <row r="108">
          <cell r="B108">
            <v>3310007437631</v>
          </cell>
          <cell r="C108" t="str">
            <v>3rd Tranche</v>
          </cell>
          <cell r="D108">
            <v>103</v>
          </cell>
          <cell r="E108" t="str">
            <v xml:space="preserve">Irfan Mehmood </v>
          </cell>
          <cell r="F108" t="str">
            <v>Gardener</v>
          </cell>
          <cell r="G108">
            <v>42767</v>
          </cell>
          <cell r="H108">
            <v>0</v>
          </cell>
          <cell r="I108" t="str">
            <v>SB Jhang Road (FSD)</v>
          </cell>
          <cell r="J108" t="str">
            <v>00660010060006840015</v>
          </cell>
        </row>
        <row r="109">
          <cell r="B109">
            <v>3310018116819</v>
          </cell>
          <cell r="C109" t="str">
            <v>3rd Tranche</v>
          </cell>
          <cell r="D109">
            <v>104</v>
          </cell>
          <cell r="E109" t="str">
            <v xml:space="preserve">Asghar Ali </v>
          </cell>
          <cell r="F109" t="str">
            <v>Gardener</v>
          </cell>
          <cell r="G109">
            <v>42767</v>
          </cell>
          <cell r="H109">
            <v>0</v>
          </cell>
          <cell r="I109" t="str">
            <v>SB Jhang Road (FSD)</v>
          </cell>
          <cell r="J109" t="str">
            <v>00660010060006850014</v>
          </cell>
        </row>
        <row r="110">
          <cell r="B110">
            <v>3310001464245</v>
          </cell>
          <cell r="C110" t="str">
            <v>3rd Tranche</v>
          </cell>
          <cell r="D110">
            <v>105</v>
          </cell>
          <cell r="E110" t="str">
            <v>Awais Masih</v>
          </cell>
          <cell r="F110" t="str">
            <v>Gardener</v>
          </cell>
          <cell r="G110">
            <v>42767</v>
          </cell>
          <cell r="H110">
            <v>0</v>
          </cell>
          <cell r="I110" t="str">
            <v>SB Jhang Road (FSD)</v>
          </cell>
          <cell r="J110" t="str">
            <v>04930010045923060011</v>
          </cell>
        </row>
        <row r="111">
          <cell r="B111">
            <v>3520261732831</v>
          </cell>
          <cell r="C111" t="str">
            <v>3rd Tranche</v>
          </cell>
          <cell r="D111">
            <v>106</v>
          </cell>
          <cell r="E111" t="str">
            <v>Manzoor Ahmad</v>
          </cell>
          <cell r="F111" t="str">
            <v>Gardener</v>
          </cell>
          <cell r="G111">
            <v>42156</v>
          </cell>
          <cell r="H111">
            <v>0</v>
          </cell>
          <cell r="I111" t="str">
            <v>SB Township</v>
          </cell>
          <cell r="J111" t="str">
            <v>02880010045875320013</v>
          </cell>
        </row>
        <row r="112">
          <cell r="B112">
            <v>3510283684975</v>
          </cell>
          <cell r="C112" t="str">
            <v>3rd Tranche</v>
          </cell>
          <cell r="D112">
            <v>107</v>
          </cell>
          <cell r="E112" t="str">
            <v xml:space="preserve">Muhammad Saleem </v>
          </cell>
          <cell r="F112" t="str">
            <v>Gardener</v>
          </cell>
          <cell r="G112">
            <v>42615</v>
          </cell>
          <cell r="H112">
            <v>0</v>
          </cell>
          <cell r="I112" t="str">
            <v>SB Kasur</v>
          </cell>
          <cell r="J112" t="str">
            <v>05390010045868040019</v>
          </cell>
        </row>
        <row r="113">
          <cell r="B113">
            <v>3820212507561</v>
          </cell>
          <cell r="C113" t="str">
            <v>3rd Tranche</v>
          </cell>
          <cell r="D113">
            <v>108</v>
          </cell>
          <cell r="E113" t="str">
            <v>Jammat Ali Shah</v>
          </cell>
          <cell r="F113" t="str">
            <v>Gardener</v>
          </cell>
          <cell r="G113">
            <v>42948</v>
          </cell>
          <cell r="H113">
            <v>0</v>
          </cell>
          <cell r="I113" t="str">
            <v>SB Khushab</v>
          </cell>
          <cell r="J113" t="str">
            <v>01220010045888170015</v>
          </cell>
        </row>
        <row r="114">
          <cell r="B114">
            <v>3510327009991</v>
          </cell>
          <cell r="C114" t="str">
            <v>3rd Tranche</v>
          </cell>
          <cell r="D114">
            <v>109</v>
          </cell>
          <cell r="E114" t="str">
            <v> Muhammad Alam Sher</v>
          </cell>
          <cell r="F114" t="str">
            <v>Gardener</v>
          </cell>
          <cell r="G114">
            <v>43678</v>
          </cell>
          <cell r="H114">
            <v>0</v>
          </cell>
          <cell r="I114" t="str">
            <v>SB Lodhran</v>
          </cell>
          <cell r="J114" t="str">
            <v>08390010051908890018</v>
          </cell>
        </row>
        <row r="115">
          <cell r="B115">
            <v>3520247421985</v>
          </cell>
          <cell r="C115" t="str">
            <v>3rd Tranche</v>
          </cell>
          <cell r="D115">
            <v>110</v>
          </cell>
          <cell r="E115" t="str">
            <v>Muhammad Latif</v>
          </cell>
          <cell r="F115" t="str">
            <v>Gardener</v>
          </cell>
          <cell r="G115">
            <v>41641</v>
          </cell>
          <cell r="H115">
            <v>0</v>
          </cell>
          <cell r="I115" t="str">
            <v>SB Raiwind</v>
          </cell>
          <cell r="J115" t="str">
            <v>03910010045877050011</v>
          </cell>
        </row>
        <row r="116">
          <cell r="B116">
            <v>3520299861075</v>
          </cell>
          <cell r="C116" t="str">
            <v>3rd Tranche</v>
          </cell>
          <cell r="D116">
            <v>111</v>
          </cell>
          <cell r="E116" t="str">
            <v>Muhammad Riaz</v>
          </cell>
          <cell r="F116" t="str">
            <v>Gardener</v>
          </cell>
          <cell r="G116">
            <v>41978</v>
          </cell>
          <cell r="H116">
            <v>0</v>
          </cell>
          <cell r="I116" t="str">
            <v>STOG Shadman</v>
          </cell>
          <cell r="J116" t="str">
            <v>09410010045978280019</v>
          </cell>
        </row>
        <row r="117">
          <cell r="B117">
            <v>3650298520967</v>
          </cell>
          <cell r="C117" t="str">
            <v>3rd Tranche</v>
          </cell>
          <cell r="D117">
            <v>112</v>
          </cell>
          <cell r="E117" t="str">
            <v>Tariq Manzoor</v>
          </cell>
          <cell r="F117" t="str">
            <v>Gardener</v>
          </cell>
          <cell r="G117">
            <v>42861</v>
          </cell>
          <cell r="H117">
            <v>0</v>
          </cell>
          <cell r="I117" t="str">
            <v>SB Sahiwal</v>
          </cell>
          <cell r="J117" t="str">
            <v>03530010094352890014</v>
          </cell>
        </row>
        <row r="118">
          <cell r="B118">
            <v>3520202008597</v>
          </cell>
          <cell r="C118" t="str">
            <v>3rd Tranche</v>
          </cell>
          <cell r="D118">
            <v>113</v>
          </cell>
          <cell r="E118" t="str">
            <v>Tahir</v>
          </cell>
          <cell r="F118" t="str">
            <v>Gardener</v>
          </cell>
          <cell r="G118">
            <v>42921</v>
          </cell>
          <cell r="H118">
            <v>0</v>
          </cell>
          <cell r="I118" t="str">
            <v>SB Sher Sha Colony</v>
          </cell>
          <cell r="J118" t="str">
            <v>02880010046322160013</v>
          </cell>
        </row>
        <row r="119">
          <cell r="B119">
            <v>3330391078967</v>
          </cell>
          <cell r="C119" t="str">
            <v>3rd Tranche</v>
          </cell>
          <cell r="D119">
            <v>114</v>
          </cell>
          <cell r="E119" t="str">
            <v>Muazzam Riaz</v>
          </cell>
          <cell r="F119" t="str">
            <v>Gardener</v>
          </cell>
          <cell r="G119">
            <v>41174</v>
          </cell>
          <cell r="H119">
            <v>0</v>
          </cell>
          <cell r="I119" t="str">
            <v>SB Toba Tek Singh</v>
          </cell>
          <cell r="J119" t="str">
            <v>04060010045771880013</v>
          </cell>
        </row>
        <row r="120">
          <cell r="B120">
            <v>3520277893991</v>
          </cell>
          <cell r="C120" t="str">
            <v>3rd Tranche</v>
          </cell>
          <cell r="D120">
            <v>115</v>
          </cell>
          <cell r="E120" t="str">
            <v>Fayaz Masih</v>
          </cell>
          <cell r="F120" t="str">
            <v>Gardener</v>
          </cell>
          <cell r="G120">
            <v>41978</v>
          </cell>
          <cell r="H120">
            <v>0</v>
          </cell>
          <cell r="I120" t="str">
            <v>SB Sher Sha Colony</v>
          </cell>
          <cell r="J120" t="str">
            <v>09410010047309960014</v>
          </cell>
        </row>
        <row r="121">
          <cell r="B121">
            <v>3520224186449</v>
          </cell>
          <cell r="C121" t="str">
            <v>3rd Tranche</v>
          </cell>
          <cell r="D121">
            <v>116</v>
          </cell>
          <cell r="E121" t="str">
            <v>Adnan</v>
          </cell>
          <cell r="F121" t="str">
            <v>Gardener</v>
          </cell>
          <cell r="G121">
            <v>41275</v>
          </cell>
          <cell r="H121">
            <v>0</v>
          </cell>
          <cell r="I121" t="str">
            <v>SB Township</v>
          </cell>
          <cell r="J121" t="str">
            <v>01530010045845490015</v>
          </cell>
        </row>
        <row r="122">
          <cell r="B122">
            <v>3520232591447</v>
          </cell>
          <cell r="C122" t="str">
            <v>3rd Tranche</v>
          </cell>
          <cell r="D122">
            <v>117</v>
          </cell>
          <cell r="E122" t="str">
            <v>Ali Sher</v>
          </cell>
          <cell r="F122" t="str">
            <v>Gardener</v>
          </cell>
          <cell r="G122">
            <v>42767</v>
          </cell>
          <cell r="H122">
            <v>0</v>
          </cell>
          <cell r="I122" t="str">
            <v>SB Township</v>
          </cell>
          <cell r="J122" t="str">
            <v>01530010045879180010</v>
          </cell>
        </row>
        <row r="123">
          <cell r="B123">
            <v>3520244228179</v>
          </cell>
          <cell r="C123" t="str">
            <v>3rd Tranche</v>
          </cell>
          <cell r="D123">
            <v>118</v>
          </cell>
          <cell r="E123" t="str">
            <v>Waseem Khalil</v>
          </cell>
          <cell r="F123" t="str">
            <v>Office Attendant</v>
          </cell>
          <cell r="G123">
            <v>42767</v>
          </cell>
          <cell r="H123">
            <v>0</v>
          </cell>
          <cell r="I123" t="str">
            <v>SB Township</v>
          </cell>
          <cell r="J123" t="str">
            <v>02880010045639960011</v>
          </cell>
        </row>
        <row r="124">
          <cell r="B124">
            <v>3620117613839</v>
          </cell>
          <cell r="C124" t="str">
            <v>2nd Tranche</v>
          </cell>
          <cell r="D124">
            <v>119</v>
          </cell>
          <cell r="E124" t="str">
            <v>Muhammad Sarfraz</v>
          </cell>
          <cell r="F124" t="str">
            <v>Security &amp; Parking Attendant</v>
          </cell>
          <cell r="G124">
            <v>42767</v>
          </cell>
          <cell r="H124">
            <v>0</v>
          </cell>
          <cell r="I124" t="str">
            <v>SB Bahawalpur</v>
          </cell>
          <cell r="J124" t="str">
            <v>09630010045841480018</v>
          </cell>
        </row>
        <row r="125">
          <cell r="B125">
            <v>3120277075377</v>
          </cell>
          <cell r="C125" t="str">
            <v>2nd Tranche</v>
          </cell>
          <cell r="D125">
            <v>120</v>
          </cell>
          <cell r="E125" t="str">
            <v>Muhammad Khazar Hyat</v>
          </cell>
          <cell r="F125" t="str">
            <v>Security &amp; Parking Attendant</v>
          </cell>
          <cell r="G125">
            <v>43145</v>
          </cell>
          <cell r="H125">
            <v>0</v>
          </cell>
          <cell r="I125" t="str">
            <v>SB Bahawalpur</v>
          </cell>
          <cell r="J125" t="str">
            <v>09630010050284210012</v>
          </cell>
        </row>
        <row r="126">
          <cell r="B126">
            <v>3840145592665</v>
          </cell>
          <cell r="C126" t="str">
            <v>2nd Tranche</v>
          </cell>
          <cell r="D126">
            <v>121</v>
          </cell>
          <cell r="E126" t="str">
            <v>Shahid Imran</v>
          </cell>
          <cell r="F126" t="str">
            <v>Security &amp; Parking Attendant</v>
          </cell>
          <cell r="G126">
            <v>42516</v>
          </cell>
          <cell r="H126">
            <v>0</v>
          </cell>
          <cell r="I126" t="str">
            <v>SB Bhalwal</v>
          </cell>
          <cell r="J126" t="str">
            <v>06150010045958150012</v>
          </cell>
        </row>
        <row r="127">
          <cell r="B127">
            <v>3840158466257</v>
          </cell>
          <cell r="C127" t="str">
            <v>2nd Tranche</v>
          </cell>
          <cell r="D127">
            <v>122</v>
          </cell>
          <cell r="E127" t="str">
            <v>Abdul Rauf</v>
          </cell>
          <cell r="F127" t="str">
            <v>Security &amp; Parking Attendant</v>
          </cell>
          <cell r="G127">
            <v>42516</v>
          </cell>
          <cell r="H127">
            <v>0</v>
          </cell>
          <cell r="I127" t="str">
            <v>SB Bhera</v>
          </cell>
          <cell r="J127" t="str">
            <v>06150010045961110012</v>
          </cell>
        </row>
        <row r="128">
          <cell r="B128">
            <v>3840110247015</v>
          </cell>
          <cell r="C128" t="str">
            <v>2nd Tranche</v>
          </cell>
          <cell r="D128">
            <v>123</v>
          </cell>
          <cell r="E128" t="str">
            <v>Muhammad Haseeb Amin</v>
          </cell>
          <cell r="F128" t="str">
            <v>Security &amp; Parking Attendant</v>
          </cell>
          <cell r="G128">
            <v>42516</v>
          </cell>
          <cell r="H128">
            <v>0</v>
          </cell>
          <cell r="I128" t="str">
            <v>SB Bhera</v>
          </cell>
          <cell r="J128" t="str">
            <v>06150010045921430016</v>
          </cell>
        </row>
        <row r="129">
          <cell r="B129">
            <v>3840115327759</v>
          </cell>
          <cell r="C129" t="str">
            <v>2nd Tranche</v>
          </cell>
          <cell r="D129">
            <v>124</v>
          </cell>
          <cell r="E129" t="str">
            <v>Khurram Shehzad</v>
          </cell>
          <cell r="F129" t="str">
            <v>Security &amp; Parking Attendant</v>
          </cell>
          <cell r="G129">
            <v>42970</v>
          </cell>
          <cell r="H129">
            <v>0</v>
          </cell>
          <cell r="I129" t="str">
            <v>SB Bhera</v>
          </cell>
          <cell r="J129" t="str">
            <v>06150010046550550010</v>
          </cell>
        </row>
        <row r="130">
          <cell r="B130">
            <v>3840171876235</v>
          </cell>
          <cell r="C130" t="str">
            <v>2nd Tranche</v>
          </cell>
          <cell r="D130">
            <v>125</v>
          </cell>
          <cell r="E130" t="str">
            <v>Muhammad Kamran</v>
          </cell>
          <cell r="F130" t="str">
            <v>Security &amp; Parking Attendant</v>
          </cell>
          <cell r="G130">
            <v>42970</v>
          </cell>
          <cell r="H130">
            <v>0</v>
          </cell>
          <cell r="I130" t="str">
            <v>SB Bhera</v>
          </cell>
          <cell r="J130" t="str">
            <v>06150010046548990016</v>
          </cell>
        </row>
        <row r="131">
          <cell r="B131">
            <v>3840180145179</v>
          </cell>
          <cell r="C131" t="str">
            <v>2nd Tranche</v>
          </cell>
          <cell r="D131">
            <v>126</v>
          </cell>
          <cell r="E131" t="str">
            <v>Malik Sajjad Umar</v>
          </cell>
          <cell r="F131" t="str">
            <v>Security &amp; Parking Attendant</v>
          </cell>
          <cell r="G131">
            <v>42970</v>
          </cell>
          <cell r="H131">
            <v>0</v>
          </cell>
          <cell r="I131" t="str">
            <v>SB Bhera</v>
          </cell>
          <cell r="J131" t="str">
            <v>06150010046634730010</v>
          </cell>
        </row>
        <row r="132">
          <cell r="B132">
            <v>3840150703355</v>
          </cell>
          <cell r="C132" t="str">
            <v>2nd Tranche</v>
          </cell>
          <cell r="D132">
            <v>127</v>
          </cell>
          <cell r="E132" t="str">
            <v xml:space="preserve">Muhammad Yasir </v>
          </cell>
          <cell r="F132" t="str">
            <v>Security &amp; Parking Attendant</v>
          </cell>
          <cell r="G132">
            <v>42516</v>
          </cell>
          <cell r="H132">
            <v>0</v>
          </cell>
          <cell r="I132" t="str">
            <v>SB Bhera</v>
          </cell>
          <cell r="J132" t="str">
            <v>06150010045939070016</v>
          </cell>
        </row>
        <row r="133">
          <cell r="B133">
            <v>3840124055439</v>
          </cell>
          <cell r="C133" t="str">
            <v>3rd Tranche</v>
          </cell>
          <cell r="D133">
            <v>128</v>
          </cell>
          <cell r="E133" t="str">
            <v>Muhammad Sohail Anjum</v>
          </cell>
          <cell r="F133" t="str">
            <v>Sahulat Bazaar Supervisor</v>
          </cell>
          <cell r="G133">
            <v>42948</v>
          </cell>
          <cell r="H133">
            <v>0</v>
          </cell>
          <cell r="I133" t="str">
            <v>SB Chakwal</v>
          </cell>
          <cell r="J133" t="str">
            <v>06150010045900860013</v>
          </cell>
        </row>
        <row r="134">
          <cell r="B134">
            <v>3720117880875</v>
          </cell>
          <cell r="C134" t="str">
            <v>2nd Tranche</v>
          </cell>
          <cell r="D134">
            <v>129</v>
          </cell>
          <cell r="E134" t="str">
            <v>Muhammad Rizwan</v>
          </cell>
          <cell r="F134" t="str">
            <v>Security &amp; Parking Attendant</v>
          </cell>
          <cell r="G134">
            <v>43678</v>
          </cell>
          <cell r="H134">
            <v>0</v>
          </cell>
          <cell r="I134" t="str">
            <v>SB Chakwal</v>
          </cell>
          <cell r="J134" t="str">
            <v>08160010042489880023</v>
          </cell>
        </row>
        <row r="135">
          <cell r="B135">
            <v>3840148104583</v>
          </cell>
          <cell r="C135" t="str">
            <v>2nd Tranche</v>
          </cell>
          <cell r="D135">
            <v>130</v>
          </cell>
          <cell r="E135" t="str">
            <v>M. Usman Mumtaz</v>
          </cell>
          <cell r="F135" t="str">
            <v>Security &amp; Parking Attendant</v>
          </cell>
          <cell r="G135">
            <v>43678</v>
          </cell>
          <cell r="H135">
            <v>0</v>
          </cell>
          <cell r="I135" t="str">
            <v>SB Bhalwal</v>
          </cell>
          <cell r="J135" t="str">
            <v>00600010053698370017</v>
          </cell>
        </row>
        <row r="136">
          <cell r="B136">
            <v>3520262488751</v>
          </cell>
          <cell r="C136" t="str">
            <v>Suspended 20-04-26</v>
          </cell>
          <cell r="D136">
            <v>131</v>
          </cell>
          <cell r="E136" t="str">
            <v>Kamran</v>
          </cell>
          <cell r="F136" t="str">
            <v>Security &amp; Parking Attendant</v>
          </cell>
          <cell r="G136">
            <v>42251</v>
          </cell>
          <cell r="H136">
            <v>0</v>
          </cell>
          <cell r="I136" t="str">
            <v>SB China Scheme</v>
          </cell>
          <cell r="J136" t="str">
            <v>07040010046257130013</v>
          </cell>
        </row>
        <row r="137">
          <cell r="B137">
            <v>3520294525917</v>
          </cell>
          <cell r="C137" t="str">
            <v>3rd Tranche</v>
          </cell>
          <cell r="D137">
            <v>132</v>
          </cell>
          <cell r="E137" t="str">
            <v>Muhammad Nawaz</v>
          </cell>
          <cell r="F137" t="str">
            <v>Office Attendant</v>
          </cell>
          <cell r="G137">
            <v>42252</v>
          </cell>
          <cell r="H137">
            <v>0</v>
          </cell>
          <cell r="I137" t="str">
            <v>SB China Scheme</v>
          </cell>
          <cell r="J137" t="str">
            <v>07040010045931490019</v>
          </cell>
        </row>
        <row r="138">
          <cell r="B138">
            <v>3520113308163</v>
          </cell>
          <cell r="C138" t="str">
            <v>2nd Tranche</v>
          </cell>
          <cell r="D138">
            <v>133</v>
          </cell>
          <cell r="E138" t="str">
            <v>Muhammad Ramzan S/O  Khair Din</v>
          </cell>
          <cell r="F138" t="str">
            <v>Security &amp; Parking Attendant</v>
          </cell>
          <cell r="G138">
            <v>42041</v>
          </cell>
          <cell r="H138">
            <v>0</v>
          </cell>
          <cell r="I138" t="str">
            <v>SB China Scheme</v>
          </cell>
          <cell r="J138" t="str">
            <v>07040010046246220014</v>
          </cell>
        </row>
        <row r="139">
          <cell r="B139">
            <v>3520130295429</v>
          </cell>
          <cell r="C139" t="str">
            <v>2nd Tranche</v>
          </cell>
          <cell r="D139">
            <v>134</v>
          </cell>
          <cell r="E139" t="str">
            <v>Muhammaz Shahbaz</v>
          </cell>
          <cell r="F139" t="str">
            <v>Security &amp; Parking Attendant</v>
          </cell>
          <cell r="G139">
            <v>42242</v>
          </cell>
          <cell r="H139">
            <v>0</v>
          </cell>
          <cell r="I139" t="str">
            <v>SB China Scheme</v>
          </cell>
          <cell r="J139" t="str">
            <v>01260010046464490010</v>
          </cell>
        </row>
        <row r="140">
          <cell r="B140">
            <v>3520250736311</v>
          </cell>
          <cell r="C140" t="str">
            <v>2nd Tranche</v>
          </cell>
          <cell r="D140">
            <v>135</v>
          </cell>
          <cell r="E140" t="str">
            <v>Arslan Aslam</v>
          </cell>
          <cell r="F140" t="str">
            <v>Security &amp; Parking Attendant</v>
          </cell>
          <cell r="G140">
            <v>41997</v>
          </cell>
          <cell r="H140">
            <v>0</v>
          </cell>
          <cell r="I140" t="str">
            <v>SB China Scheme</v>
          </cell>
          <cell r="J140" t="str">
            <v>05450010045942770011</v>
          </cell>
        </row>
        <row r="141">
          <cell r="B141">
            <v>3520103150553</v>
          </cell>
          <cell r="C141" t="str">
            <v>2nd Tranche</v>
          </cell>
          <cell r="D141">
            <v>136</v>
          </cell>
          <cell r="E141" t="str">
            <v>Muhammad Ishfaq</v>
          </cell>
          <cell r="F141" t="str">
            <v>Security &amp; Parking Attendant</v>
          </cell>
          <cell r="G141">
            <v>44317</v>
          </cell>
          <cell r="H141">
            <v>0</v>
          </cell>
          <cell r="I141" t="str">
            <v>SB China Scheme</v>
          </cell>
          <cell r="J141" t="str">
            <v>01260010065368820013</v>
          </cell>
        </row>
        <row r="142">
          <cell r="B142">
            <v>3520228836713</v>
          </cell>
          <cell r="C142" t="str">
            <v>2nd Tranche</v>
          </cell>
          <cell r="D142">
            <v>137</v>
          </cell>
          <cell r="E142" t="str">
            <v xml:space="preserve">Abbas Ali   </v>
          </cell>
          <cell r="F142" t="str">
            <v>Security &amp; Parking Attendant</v>
          </cell>
          <cell r="G142">
            <v>42213</v>
          </cell>
          <cell r="H142">
            <v>0</v>
          </cell>
          <cell r="I142" t="str">
            <v>SB Chung</v>
          </cell>
          <cell r="J142" t="str">
            <v>09650010045793600010</v>
          </cell>
        </row>
        <row r="143">
          <cell r="B143">
            <v>3520237239953</v>
          </cell>
          <cell r="C143" t="str">
            <v>2nd Tranche</v>
          </cell>
          <cell r="D143">
            <v>138</v>
          </cell>
          <cell r="E143" t="str">
            <v>Ali Ahmed</v>
          </cell>
          <cell r="F143" t="str">
            <v>Security &amp; Parking Attendant</v>
          </cell>
          <cell r="G143">
            <v>42229</v>
          </cell>
          <cell r="H143">
            <v>0</v>
          </cell>
          <cell r="I143" t="str">
            <v>SB Chung</v>
          </cell>
          <cell r="J143" t="str">
            <v>02880010046061080017</v>
          </cell>
        </row>
        <row r="144">
          <cell r="B144">
            <v>3520252080177</v>
          </cell>
          <cell r="C144" t="str">
            <v>Paid</v>
          </cell>
          <cell r="D144">
            <v>139</v>
          </cell>
          <cell r="E144" t="str">
            <v>Muhammad Riaz</v>
          </cell>
          <cell r="F144" t="str">
            <v>Security &amp; Parking Attendant</v>
          </cell>
          <cell r="G144">
            <v>42614</v>
          </cell>
          <cell r="H144">
            <v>0</v>
          </cell>
          <cell r="I144" t="str">
            <v>SB Township</v>
          </cell>
          <cell r="J144" t="str">
            <v>02880010045882580018</v>
          </cell>
        </row>
        <row r="145">
          <cell r="B145">
            <v>3520257062327</v>
          </cell>
          <cell r="C145" t="str">
            <v>2nd Tranche</v>
          </cell>
          <cell r="D145">
            <v>140</v>
          </cell>
          <cell r="E145" t="str">
            <v>Nadeem Hussain</v>
          </cell>
          <cell r="F145" t="str">
            <v>Security &amp; Parking Attendant</v>
          </cell>
          <cell r="G145">
            <v>42861</v>
          </cell>
          <cell r="H145">
            <v>0</v>
          </cell>
          <cell r="I145" t="str">
            <v>SB Chung</v>
          </cell>
          <cell r="J145" t="str">
            <v>09650010045822050018</v>
          </cell>
        </row>
        <row r="146">
          <cell r="B146">
            <v>3510328732451</v>
          </cell>
          <cell r="C146" t="str">
            <v>2nd Tranche</v>
          </cell>
          <cell r="D146">
            <v>141</v>
          </cell>
          <cell r="E146" t="str">
            <v>M.Shoaib</v>
          </cell>
          <cell r="F146" t="str">
            <v>Security &amp; Parking Attendant</v>
          </cell>
          <cell r="G146">
            <v>43090</v>
          </cell>
          <cell r="H146">
            <v>0</v>
          </cell>
          <cell r="I146" t="str">
            <v>SB Chung</v>
          </cell>
          <cell r="J146" t="str">
            <v>07890010049240500018</v>
          </cell>
        </row>
        <row r="147">
          <cell r="B147">
            <v>3210403617661</v>
          </cell>
          <cell r="C147" t="str">
            <v>3rd Tranche</v>
          </cell>
          <cell r="D147">
            <v>142</v>
          </cell>
          <cell r="E147" t="str">
            <v>Shahid Aziz</v>
          </cell>
          <cell r="F147" t="str">
            <v>Sahulat Bazaar Incharge</v>
          </cell>
          <cell r="G147">
            <v>42515</v>
          </cell>
          <cell r="H147">
            <v>0</v>
          </cell>
          <cell r="I147" t="str">
            <v>SB DG Khan</v>
          </cell>
          <cell r="J147" t="str">
            <v>00720010046056810010</v>
          </cell>
        </row>
        <row r="148">
          <cell r="B148">
            <v>3210225610865</v>
          </cell>
          <cell r="C148" t="str">
            <v>2nd Tranche</v>
          </cell>
          <cell r="D148">
            <v>143</v>
          </cell>
          <cell r="E148" t="str">
            <v>Naimat ullah</v>
          </cell>
          <cell r="F148" t="str">
            <v>Security &amp; Parking Attendant</v>
          </cell>
          <cell r="G148">
            <v>42516</v>
          </cell>
          <cell r="H148">
            <v>0</v>
          </cell>
          <cell r="I148" t="str">
            <v>SB DG Khan</v>
          </cell>
          <cell r="J148" t="str">
            <v>00720010045896860014</v>
          </cell>
        </row>
        <row r="149">
          <cell r="B149">
            <v>3220380826167</v>
          </cell>
          <cell r="C149" t="str">
            <v>2nd Tranche</v>
          </cell>
          <cell r="D149">
            <v>144</v>
          </cell>
          <cell r="E149" t="str">
            <v>Shaukat Ali</v>
          </cell>
          <cell r="F149" t="str">
            <v>Security &amp; Parking Attendant</v>
          </cell>
          <cell r="G149">
            <v>42616</v>
          </cell>
          <cell r="H149">
            <v>0</v>
          </cell>
          <cell r="I149" t="str">
            <v>SB Layyah</v>
          </cell>
          <cell r="J149" t="str">
            <v>00720010045857400010</v>
          </cell>
        </row>
        <row r="150">
          <cell r="B150">
            <v>3120283341603</v>
          </cell>
          <cell r="C150" t="str">
            <v>2nd Tranche</v>
          </cell>
          <cell r="D150">
            <v>145</v>
          </cell>
          <cell r="E150" t="str">
            <v>Muhammad Ramzan</v>
          </cell>
          <cell r="F150" t="str">
            <v>Security &amp; Parking Attendant</v>
          </cell>
          <cell r="G150">
            <v>42948</v>
          </cell>
          <cell r="H150">
            <v>0</v>
          </cell>
          <cell r="I150" t="str">
            <v>SB Bahawalpur</v>
          </cell>
          <cell r="J150" t="str">
            <v>09630010045874260012</v>
          </cell>
        </row>
        <row r="151">
          <cell r="B151">
            <v>3210210277205</v>
          </cell>
          <cell r="C151" t="str">
            <v>2nd Tranche</v>
          </cell>
          <cell r="D151">
            <v>146</v>
          </cell>
          <cell r="E151" t="str">
            <v>Mazhar Hassan</v>
          </cell>
          <cell r="F151" t="str">
            <v>Security &amp; Parking Attendant</v>
          </cell>
          <cell r="G151">
            <v>43678</v>
          </cell>
          <cell r="H151">
            <v>0</v>
          </cell>
          <cell r="I151" t="str">
            <v>SB DG Khan</v>
          </cell>
          <cell r="J151" t="str">
            <v>00720010058985250012</v>
          </cell>
        </row>
        <row r="152">
          <cell r="B152">
            <v>3210224482597</v>
          </cell>
          <cell r="C152" t="str">
            <v>2nd Tranche</v>
          </cell>
          <cell r="D152">
            <v>147</v>
          </cell>
          <cell r="E152" t="str">
            <v>Abdul Rasheed</v>
          </cell>
          <cell r="F152" t="str">
            <v>Security &amp; Parking Attendant</v>
          </cell>
          <cell r="G152">
            <v>43678</v>
          </cell>
          <cell r="H152">
            <v>0</v>
          </cell>
          <cell r="I152" t="str">
            <v>SB DG Khan</v>
          </cell>
          <cell r="J152" t="str">
            <v>00720010058997950019</v>
          </cell>
        </row>
        <row r="153">
          <cell r="B153">
            <v>3210261900949</v>
          </cell>
          <cell r="C153" t="str">
            <v>2nd Tranche</v>
          </cell>
          <cell r="D153">
            <v>148</v>
          </cell>
          <cell r="E153" t="str">
            <v>Ghulam Muhammad</v>
          </cell>
          <cell r="F153" t="str">
            <v>Security &amp; Parking Attendant</v>
          </cell>
          <cell r="G153">
            <v>43678</v>
          </cell>
          <cell r="H153">
            <v>0</v>
          </cell>
          <cell r="I153" t="str">
            <v>SB DG Khan</v>
          </cell>
          <cell r="J153" t="str">
            <v>00720010059923820017</v>
          </cell>
        </row>
        <row r="154">
          <cell r="B154">
            <v>3210280646071</v>
          </cell>
          <cell r="C154" t="str">
            <v>3rd Tranche</v>
          </cell>
          <cell r="D154">
            <v>149</v>
          </cell>
          <cell r="E154" t="str">
            <v>Nasir Abas</v>
          </cell>
          <cell r="F154" t="str">
            <v>Sahulat Bazaar Supervisor</v>
          </cell>
          <cell r="G154">
            <v>43678</v>
          </cell>
          <cell r="H154">
            <v>0</v>
          </cell>
          <cell r="I154" t="str">
            <v>SB Jampur</v>
          </cell>
          <cell r="J154" t="str">
            <v>03660010060337850020</v>
          </cell>
        </row>
        <row r="155">
          <cell r="B155">
            <v>3210259736709</v>
          </cell>
          <cell r="C155" t="str">
            <v>2nd Tranche</v>
          </cell>
          <cell r="D155">
            <v>150</v>
          </cell>
          <cell r="E155" t="str">
            <v>Taimoor Tahir</v>
          </cell>
          <cell r="F155" t="str">
            <v>Security &amp; Parking Attendant</v>
          </cell>
          <cell r="G155">
            <v>44317</v>
          </cell>
          <cell r="H155">
            <v>0</v>
          </cell>
          <cell r="I155" t="str">
            <v>SB DG Khan</v>
          </cell>
          <cell r="J155" t="str">
            <v>00720010066374340011</v>
          </cell>
        </row>
        <row r="156">
          <cell r="B156">
            <v>3510266725973</v>
          </cell>
          <cell r="C156" t="str">
            <v>2nd Tranche</v>
          </cell>
          <cell r="D156">
            <v>151</v>
          </cell>
          <cell r="E156" t="str">
            <v>Anser Ali</v>
          </cell>
          <cell r="F156" t="str">
            <v>Security &amp; Parking Attendant</v>
          </cell>
          <cell r="G156">
            <v>43115</v>
          </cell>
          <cell r="H156">
            <v>0</v>
          </cell>
          <cell r="I156" t="str">
            <v>SB Pattoki</v>
          </cell>
          <cell r="J156" t="str">
            <v>52060020049469940012</v>
          </cell>
        </row>
        <row r="157">
          <cell r="B157">
            <v>3540494630851</v>
          </cell>
          <cell r="C157" t="str">
            <v>2nd Tranche</v>
          </cell>
          <cell r="D157">
            <v>152</v>
          </cell>
          <cell r="E157" t="str">
            <v xml:space="preserve">Yousaf Ali </v>
          </cell>
          <cell r="F157" t="str">
            <v>Security &amp; Parking Attendant</v>
          </cell>
          <cell r="G157">
            <v>43678</v>
          </cell>
          <cell r="H157">
            <v>0</v>
          </cell>
          <cell r="I157" t="str">
            <v>SB Farooqabad</v>
          </cell>
          <cell r="J157" t="str">
            <v>06200010052452060016</v>
          </cell>
        </row>
        <row r="158">
          <cell r="B158">
            <v>3540424615137</v>
          </cell>
          <cell r="C158" t="str">
            <v>2nd Tranche</v>
          </cell>
          <cell r="D158">
            <v>153</v>
          </cell>
          <cell r="E158" t="str">
            <v>Muhammad Imtiaz Shareef</v>
          </cell>
          <cell r="F158" t="str">
            <v>Security &amp; Parking Attendant</v>
          </cell>
          <cell r="G158">
            <v>43678</v>
          </cell>
          <cell r="H158">
            <v>0</v>
          </cell>
          <cell r="I158" t="str">
            <v>SB Farooqabad</v>
          </cell>
          <cell r="J158" t="str">
            <v>06200010058608360012</v>
          </cell>
        </row>
        <row r="159">
          <cell r="B159">
            <v>3540460285967</v>
          </cell>
          <cell r="C159" t="str">
            <v>2nd Tranche</v>
          </cell>
          <cell r="D159">
            <v>154</v>
          </cell>
          <cell r="E159" t="str">
            <v>Muhammad Usama</v>
          </cell>
          <cell r="F159" t="str">
            <v>Security &amp; Parking Attendant</v>
          </cell>
          <cell r="G159">
            <v>43678</v>
          </cell>
          <cell r="H159">
            <v>0</v>
          </cell>
          <cell r="I159" t="str">
            <v>SB Farooqabad</v>
          </cell>
          <cell r="J159" t="str">
            <v>06200010058639520010</v>
          </cell>
        </row>
        <row r="160">
          <cell r="B160">
            <v>3540439918841</v>
          </cell>
          <cell r="C160" t="str">
            <v>2nd Tranche</v>
          </cell>
          <cell r="D160">
            <v>155</v>
          </cell>
          <cell r="E160" t="str">
            <v>Muhammad Hamza</v>
          </cell>
          <cell r="F160" t="str">
            <v>Security &amp; Parking Attendant</v>
          </cell>
          <cell r="G160">
            <v>44317</v>
          </cell>
          <cell r="H160">
            <v>0</v>
          </cell>
          <cell r="I160" t="str">
            <v>SB Farooqabad</v>
          </cell>
          <cell r="J160" t="str">
            <v>07300010074221560019</v>
          </cell>
        </row>
        <row r="161">
          <cell r="B161">
            <v>3410304865923</v>
          </cell>
          <cell r="C161" t="str">
            <v>2nd Tranche</v>
          </cell>
          <cell r="D161">
            <v>156</v>
          </cell>
          <cell r="E161" t="str">
            <v>Muhammad Asif</v>
          </cell>
          <cell r="F161" t="str">
            <v>Security &amp; Parking Attendant</v>
          </cell>
          <cell r="G161">
            <v>42963</v>
          </cell>
          <cell r="H161">
            <v>0</v>
          </cell>
          <cell r="I161" t="str">
            <v>SB Gujranwala</v>
          </cell>
          <cell r="J161" t="str">
            <v>07300010046567330017</v>
          </cell>
        </row>
        <row r="162">
          <cell r="B162">
            <v>3410125937021</v>
          </cell>
          <cell r="C162" t="str">
            <v>2nd Tranche</v>
          </cell>
          <cell r="D162">
            <v>157</v>
          </cell>
          <cell r="E162" t="str">
            <v>Muhammad Asif</v>
          </cell>
          <cell r="F162" t="str">
            <v>Security &amp; Parking Attendant</v>
          </cell>
          <cell r="G162">
            <v>43115</v>
          </cell>
          <cell r="H162">
            <v>0</v>
          </cell>
          <cell r="I162" t="str">
            <v>SB Gujranwala</v>
          </cell>
          <cell r="J162" t="str">
            <v>07300010049470700018</v>
          </cell>
        </row>
        <row r="163">
          <cell r="B163">
            <v>3540475738465</v>
          </cell>
          <cell r="C163" t="str">
            <v>2nd Tranche</v>
          </cell>
          <cell r="D163">
            <v>158</v>
          </cell>
          <cell r="E163" t="str">
            <v>Nabeel Ahmed</v>
          </cell>
          <cell r="F163" t="str">
            <v>Security &amp; Parking Attendant</v>
          </cell>
          <cell r="G163">
            <v>43678</v>
          </cell>
          <cell r="H163">
            <v>0</v>
          </cell>
          <cell r="I163" t="str">
            <v>SB Farooqabad</v>
          </cell>
          <cell r="J163" t="str">
            <v>06200010060334820029</v>
          </cell>
        </row>
        <row r="164">
          <cell r="B164">
            <v>3430117435753</v>
          </cell>
          <cell r="C164" t="str">
            <v>2nd Tranche</v>
          </cell>
          <cell r="D164">
            <v>159</v>
          </cell>
          <cell r="E164" t="str">
            <v>Muhammad Ameen</v>
          </cell>
          <cell r="F164" t="str">
            <v>Security &amp; Parking Attendant</v>
          </cell>
          <cell r="G164">
            <v>43678</v>
          </cell>
          <cell r="H164">
            <v>0</v>
          </cell>
          <cell r="I164" t="str">
            <v>SB Gujranwala</v>
          </cell>
          <cell r="J164" t="str">
            <v>07300010060451720012</v>
          </cell>
        </row>
        <row r="165">
          <cell r="B165">
            <v>3410333256103</v>
          </cell>
          <cell r="C165" t="str">
            <v>2nd Tranche</v>
          </cell>
          <cell r="D165">
            <v>160</v>
          </cell>
          <cell r="E165" t="str">
            <v>Muhammad Nazir</v>
          </cell>
          <cell r="F165" t="str">
            <v>Security &amp; Parking Attendant</v>
          </cell>
          <cell r="G165">
            <v>43678</v>
          </cell>
          <cell r="H165">
            <v>0</v>
          </cell>
          <cell r="I165" t="str">
            <v>SB Gujranwala</v>
          </cell>
          <cell r="J165" t="str">
            <v>07300010060704590013</v>
          </cell>
        </row>
        <row r="166">
          <cell r="B166">
            <v>3410126310909</v>
          </cell>
          <cell r="C166" t="str">
            <v>2nd Tranche</v>
          </cell>
          <cell r="D166">
            <v>161</v>
          </cell>
          <cell r="E166" t="str">
            <v>Ashfaq Hussain</v>
          </cell>
          <cell r="F166" t="str">
            <v>Security &amp; Parking Attendant</v>
          </cell>
          <cell r="G166">
            <v>44317</v>
          </cell>
          <cell r="H166">
            <v>0</v>
          </cell>
          <cell r="I166" t="str">
            <v>SB Gujranwala</v>
          </cell>
          <cell r="J166" t="str">
            <v>07300010065363430019</v>
          </cell>
        </row>
        <row r="167">
          <cell r="B167">
            <v>3410175867815</v>
          </cell>
          <cell r="C167" t="str">
            <v>2nd Tranche</v>
          </cell>
          <cell r="D167">
            <v>162</v>
          </cell>
          <cell r="E167" t="str">
            <v xml:space="preserve">Babar Sohail </v>
          </cell>
          <cell r="F167" t="str">
            <v>Security &amp; Parking Attendant</v>
          </cell>
          <cell r="G167">
            <v>44317</v>
          </cell>
          <cell r="H167">
            <v>0</v>
          </cell>
          <cell r="I167" t="str">
            <v>SB Gujranwala</v>
          </cell>
          <cell r="J167" t="str">
            <v>07300010072092300013</v>
          </cell>
        </row>
        <row r="168">
          <cell r="B168">
            <v>3320299947511</v>
          </cell>
          <cell r="C168" t="str">
            <v>2nd Tranche</v>
          </cell>
          <cell r="D168">
            <v>163</v>
          </cell>
          <cell r="E168" t="str">
            <v>Muhammad Arif</v>
          </cell>
          <cell r="F168" t="str">
            <v>Security &amp; Parking Attendant</v>
          </cell>
          <cell r="G168">
            <v>44317</v>
          </cell>
          <cell r="H168">
            <v>0</v>
          </cell>
          <cell r="I168" t="str">
            <v>SB Gujranwala</v>
          </cell>
          <cell r="J168" t="str">
            <v>05400010074238760014</v>
          </cell>
        </row>
        <row r="169">
          <cell r="B169">
            <v>3410392482501</v>
          </cell>
          <cell r="C169" t="str">
            <v>2nd Tranche</v>
          </cell>
          <cell r="D169">
            <v>164</v>
          </cell>
          <cell r="E169" t="str">
            <v>Asad Ali Shah</v>
          </cell>
          <cell r="F169" t="str">
            <v>Security &amp; Parking Attendant</v>
          </cell>
          <cell r="G169">
            <v>44317</v>
          </cell>
          <cell r="H169">
            <v>0</v>
          </cell>
          <cell r="I169" t="str">
            <v>SB Gujranwala</v>
          </cell>
          <cell r="J169" t="str">
            <v>07300010076509930010</v>
          </cell>
        </row>
        <row r="170">
          <cell r="B170">
            <v>3840105282839</v>
          </cell>
          <cell r="C170" t="str">
            <v>2nd Tranche</v>
          </cell>
          <cell r="D170">
            <v>165</v>
          </cell>
          <cell r="E170" t="str">
            <v>Muhammad Ibrar</v>
          </cell>
          <cell r="F170" t="str">
            <v>Security &amp; Parking Attendant</v>
          </cell>
          <cell r="G170">
            <v>43678</v>
          </cell>
          <cell r="H170">
            <v>0</v>
          </cell>
          <cell r="I170" t="str">
            <v>SB Sargodha</v>
          </cell>
          <cell r="J170" t="str">
            <v>06150010054925980021</v>
          </cell>
        </row>
        <row r="171">
          <cell r="B171">
            <v>3430116983419</v>
          </cell>
          <cell r="C171" t="str">
            <v>2nd Tranche</v>
          </cell>
          <cell r="D171">
            <v>166</v>
          </cell>
          <cell r="E171" t="str">
            <v>Qadeer Ahmad</v>
          </cell>
          <cell r="F171" t="str">
            <v>Security &amp; Parking Attendant</v>
          </cell>
          <cell r="G171">
            <v>42614</v>
          </cell>
          <cell r="H171">
            <v>0</v>
          </cell>
          <cell r="I171" t="str">
            <v>SB Hafizabad</v>
          </cell>
          <cell r="J171" t="str">
            <v>07940010045995620018</v>
          </cell>
        </row>
        <row r="172">
          <cell r="B172">
            <v>3430173334537</v>
          </cell>
          <cell r="C172" t="str">
            <v>2nd Tranche</v>
          </cell>
          <cell r="D172">
            <v>167</v>
          </cell>
          <cell r="E172" t="str">
            <v>Zaheer Abbas</v>
          </cell>
          <cell r="F172" t="str">
            <v>Security &amp; Parking Attendant</v>
          </cell>
          <cell r="G172">
            <v>42614</v>
          </cell>
          <cell r="H172">
            <v>0</v>
          </cell>
          <cell r="I172" t="str">
            <v>SB Hafizabad</v>
          </cell>
          <cell r="J172" t="str">
            <v>07940010045943240015</v>
          </cell>
        </row>
        <row r="173">
          <cell r="B173">
            <v>3430144342123</v>
          </cell>
          <cell r="C173" t="str">
            <v>2nd Tranche</v>
          </cell>
          <cell r="D173">
            <v>168</v>
          </cell>
          <cell r="E173" t="str">
            <v>Zaheer Ahmad</v>
          </cell>
          <cell r="F173" t="str">
            <v>Security &amp; Parking Attendant</v>
          </cell>
          <cell r="G173">
            <v>42614</v>
          </cell>
          <cell r="H173">
            <v>0</v>
          </cell>
          <cell r="I173" t="str">
            <v>SB Hafizabad</v>
          </cell>
          <cell r="J173" t="str">
            <v>07940010045930040018</v>
          </cell>
        </row>
        <row r="174">
          <cell r="B174">
            <v>3430177583001</v>
          </cell>
          <cell r="C174" t="str">
            <v>2nd Tranche</v>
          </cell>
          <cell r="D174">
            <v>169</v>
          </cell>
          <cell r="E174" t="str">
            <v>Zaka Ullah</v>
          </cell>
          <cell r="F174" t="str">
            <v>Security &amp; Parking Attendant</v>
          </cell>
          <cell r="G174">
            <v>43617</v>
          </cell>
          <cell r="H174">
            <v>0</v>
          </cell>
          <cell r="I174" t="str">
            <v>SB Hafizabad</v>
          </cell>
          <cell r="J174" t="str">
            <v>07940010058351050014</v>
          </cell>
        </row>
        <row r="175">
          <cell r="B175">
            <v>3430187544043</v>
          </cell>
          <cell r="C175" t="str">
            <v>2nd Tranche</v>
          </cell>
          <cell r="D175">
            <v>170</v>
          </cell>
          <cell r="E175" t="str">
            <v xml:space="preserve">Iftikhar Ahmad </v>
          </cell>
          <cell r="F175" t="str">
            <v>Security &amp; Parking Attendant</v>
          </cell>
          <cell r="G175">
            <v>44317</v>
          </cell>
          <cell r="H175">
            <v>0</v>
          </cell>
          <cell r="I175" t="str">
            <v>SB Hafizabad</v>
          </cell>
          <cell r="J175" t="str">
            <v>07940010067136200012</v>
          </cell>
        </row>
        <row r="176">
          <cell r="B176">
            <v>3520250350453</v>
          </cell>
          <cell r="C176" t="str">
            <v>2nd Tranche</v>
          </cell>
          <cell r="D176">
            <v>171</v>
          </cell>
          <cell r="E176" t="str">
            <v>Usman Shahzad</v>
          </cell>
          <cell r="F176" t="str">
            <v>Security &amp; Parking Attendant</v>
          </cell>
          <cell r="G176">
            <v>42347</v>
          </cell>
          <cell r="H176">
            <v>0</v>
          </cell>
          <cell r="I176" t="str">
            <v>SB China Scheme</v>
          </cell>
          <cell r="J176" t="str">
            <v>07040010046387290015</v>
          </cell>
        </row>
        <row r="177">
          <cell r="B177">
            <v>3450229600399</v>
          </cell>
          <cell r="C177" t="str">
            <v>2nd Tranche</v>
          </cell>
          <cell r="D177">
            <v>172</v>
          </cell>
          <cell r="E177" t="str">
            <v>Muhammad Naveed</v>
          </cell>
          <cell r="F177" t="str">
            <v>Security &amp; Parking Attendant</v>
          </cell>
          <cell r="G177">
            <v>41997</v>
          </cell>
          <cell r="H177">
            <v>0</v>
          </cell>
          <cell r="I177" t="str">
            <v>SB Sabzazaar</v>
          </cell>
          <cell r="J177" t="str">
            <v>07040010045992400010</v>
          </cell>
        </row>
        <row r="178">
          <cell r="B178">
            <v>3410312157957</v>
          </cell>
          <cell r="C178" t="str">
            <v>2nd Tranche</v>
          </cell>
          <cell r="D178">
            <v>173</v>
          </cell>
          <cell r="E178" t="str">
            <v>Muhammad Ishaq</v>
          </cell>
          <cell r="F178" t="str">
            <v>Security &amp; Parking Attendant</v>
          </cell>
          <cell r="G178">
            <v>42116</v>
          </cell>
          <cell r="H178">
            <v>0</v>
          </cell>
          <cell r="I178" t="str">
            <v>SB Harbanspura</v>
          </cell>
          <cell r="J178" t="str">
            <v>08770010015946490013</v>
          </cell>
        </row>
        <row r="179">
          <cell r="B179">
            <v>3520153060483</v>
          </cell>
          <cell r="C179" t="str">
            <v>2nd Tranche</v>
          </cell>
          <cell r="D179">
            <v>174</v>
          </cell>
          <cell r="E179" t="str">
            <v>Umer Zareen</v>
          </cell>
          <cell r="F179" t="str">
            <v>Security &amp; Parking Attendant</v>
          </cell>
          <cell r="G179">
            <v>41774</v>
          </cell>
          <cell r="H179">
            <v>0</v>
          </cell>
          <cell r="I179" t="str">
            <v>SB Rawalpindi</v>
          </cell>
          <cell r="J179" t="str">
            <v>01260010045855960010</v>
          </cell>
        </row>
        <row r="180">
          <cell r="B180">
            <v>3520150152439</v>
          </cell>
          <cell r="C180" t="str">
            <v>2nd Tranche</v>
          </cell>
          <cell r="D180">
            <v>175</v>
          </cell>
          <cell r="E180" t="str">
            <v>Muhammad Khalid</v>
          </cell>
          <cell r="F180" t="str">
            <v>Security &amp; Parking Attendant</v>
          </cell>
          <cell r="G180">
            <v>41751</v>
          </cell>
          <cell r="H180">
            <v>0</v>
          </cell>
          <cell r="I180" t="str">
            <v>SB Harbanspura</v>
          </cell>
          <cell r="J180" t="str">
            <v>01260010045896460013</v>
          </cell>
        </row>
        <row r="181">
          <cell r="B181">
            <v>3520229446841</v>
          </cell>
          <cell r="C181" t="str">
            <v>2nd Tranche</v>
          </cell>
          <cell r="D181">
            <v>176</v>
          </cell>
          <cell r="E181" t="str">
            <v>Muhammad Amir</v>
          </cell>
          <cell r="F181" t="str">
            <v>Security &amp; Parking Attendant</v>
          </cell>
          <cell r="G181">
            <v>42159</v>
          </cell>
          <cell r="H181">
            <v>0</v>
          </cell>
          <cell r="I181" t="str">
            <v>SB Chiniot</v>
          </cell>
          <cell r="J181" t="str">
            <v>01260010045926930012</v>
          </cell>
        </row>
        <row r="182">
          <cell r="B182">
            <v>3520210374682</v>
          </cell>
          <cell r="C182" t="str">
            <v>2nd Tranche</v>
          </cell>
          <cell r="D182">
            <v>177</v>
          </cell>
          <cell r="E182" t="str">
            <v>Robina Anwar</v>
          </cell>
          <cell r="F182" t="str">
            <v>Security &amp; Parking Attendant</v>
          </cell>
          <cell r="G182">
            <v>44317</v>
          </cell>
          <cell r="H182">
            <v>0</v>
          </cell>
          <cell r="I182" t="str">
            <v>SB China Scheme</v>
          </cell>
          <cell r="J182" t="str">
            <v>01260010048903460017</v>
          </cell>
        </row>
        <row r="183">
          <cell r="B183">
            <v>3240214423533</v>
          </cell>
          <cell r="C183" t="str">
            <v>2nd Tranche</v>
          </cell>
          <cell r="D183">
            <v>178</v>
          </cell>
          <cell r="E183" t="str">
            <v>Tariq Mustafa</v>
          </cell>
          <cell r="F183" t="str">
            <v>Security &amp; Parking Attendant</v>
          </cell>
          <cell r="G183">
            <v>42145</v>
          </cell>
          <cell r="H183">
            <v>0</v>
          </cell>
          <cell r="I183" t="str">
            <v>SB Jampur</v>
          </cell>
          <cell r="J183" t="str">
            <v>08210010045700650019</v>
          </cell>
        </row>
        <row r="184">
          <cell r="B184">
            <v>3240260541111</v>
          </cell>
          <cell r="C184" t="str">
            <v>2nd Tranche</v>
          </cell>
          <cell r="D184">
            <v>179</v>
          </cell>
          <cell r="E184" t="str">
            <v>Imran Haider</v>
          </cell>
          <cell r="F184" t="str">
            <v>Security &amp; Parking Attendant</v>
          </cell>
          <cell r="G184">
            <v>42394</v>
          </cell>
          <cell r="H184">
            <v>0</v>
          </cell>
          <cell r="I184" t="str">
            <v>SB Jampur</v>
          </cell>
          <cell r="J184" t="str">
            <v>08210010045675940018</v>
          </cell>
        </row>
        <row r="185">
          <cell r="B185">
            <v>3240214376069</v>
          </cell>
          <cell r="C185" t="str">
            <v>2nd Tranche</v>
          </cell>
          <cell r="D185">
            <v>180</v>
          </cell>
          <cell r="E185" t="str">
            <v>Muhammad Amir</v>
          </cell>
          <cell r="F185" t="str">
            <v>Security &amp; Parking Attendant</v>
          </cell>
          <cell r="G185">
            <v>42394</v>
          </cell>
          <cell r="H185">
            <v>0</v>
          </cell>
          <cell r="I185" t="str">
            <v>SB Jampur</v>
          </cell>
          <cell r="J185" t="str">
            <v>08210010045756180010</v>
          </cell>
        </row>
        <row r="186">
          <cell r="B186">
            <v>3240250984451</v>
          </cell>
          <cell r="C186" t="str">
            <v>2nd Tranche</v>
          </cell>
          <cell r="D186">
            <v>181</v>
          </cell>
          <cell r="E186" t="str">
            <v>Zafar Iqbal</v>
          </cell>
          <cell r="F186" t="str">
            <v>Security &amp; Parking Attendant</v>
          </cell>
          <cell r="G186">
            <v>42145</v>
          </cell>
          <cell r="H186">
            <v>0</v>
          </cell>
          <cell r="I186" t="str">
            <v>SB Jampur</v>
          </cell>
          <cell r="J186" t="str">
            <v>08210010045672270012</v>
          </cell>
        </row>
        <row r="187">
          <cell r="B187">
            <v>3240227172721</v>
          </cell>
          <cell r="C187" t="str">
            <v>2nd Tranche</v>
          </cell>
          <cell r="D187">
            <v>182</v>
          </cell>
          <cell r="E187" t="str">
            <v>Sadaqat Ali</v>
          </cell>
          <cell r="F187" t="str">
            <v>Security &amp; Parking Attendant</v>
          </cell>
          <cell r="G187">
            <v>42948</v>
          </cell>
          <cell r="H187">
            <v>0</v>
          </cell>
          <cell r="I187" t="str">
            <v>SB Jampur</v>
          </cell>
          <cell r="J187" t="str">
            <v>08210010045743990010</v>
          </cell>
        </row>
        <row r="188">
          <cell r="B188">
            <v>3240228818949</v>
          </cell>
          <cell r="C188" t="str">
            <v>2nd Tranche</v>
          </cell>
          <cell r="D188">
            <v>183</v>
          </cell>
          <cell r="E188" t="str">
            <v>Muhammad Asif</v>
          </cell>
          <cell r="F188" t="str">
            <v>Security &amp; Parking Attendant</v>
          </cell>
          <cell r="G188">
            <v>43678</v>
          </cell>
          <cell r="H188">
            <v>0</v>
          </cell>
          <cell r="I188" t="str">
            <v>SB Jampur</v>
          </cell>
          <cell r="J188" t="str">
            <v>08210010059487180010</v>
          </cell>
        </row>
        <row r="189">
          <cell r="B189">
            <v>3240229012523</v>
          </cell>
          <cell r="C189" t="str">
            <v>2nd Tranche</v>
          </cell>
          <cell r="D189">
            <v>184</v>
          </cell>
          <cell r="E189" t="str">
            <v>Zeeshan Haider</v>
          </cell>
          <cell r="F189" t="str">
            <v>Security &amp; Parking Attendant</v>
          </cell>
          <cell r="G189">
            <v>44317</v>
          </cell>
          <cell r="H189">
            <v>0</v>
          </cell>
          <cell r="I189" t="str">
            <v>SB Jampur</v>
          </cell>
          <cell r="J189" t="str">
            <v>08210010065332590017</v>
          </cell>
        </row>
        <row r="190">
          <cell r="B190">
            <v>3240214165621</v>
          </cell>
          <cell r="C190" t="str">
            <v>2nd Tranche</v>
          </cell>
          <cell r="D190">
            <v>185</v>
          </cell>
          <cell r="E190" t="str">
            <v>Nadeem Iqbal</v>
          </cell>
          <cell r="F190" t="str">
            <v>Security &amp; Parking Attendant</v>
          </cell>
          <cell r="G190">
            <v>44317</v>
          </cell>
          <cell r="H190">
            <v>0</v>
          </cell>
          <cell r="I190" t="str">
            <v>SB Jampur</v>
          </cell>
          <cell r="J190" t="str">
            <v>08210010042011480012</v>
          </cell>
        </row>
        <row r="191">
          <cell r="B191">
            <v>3240214484733</v>
          </cell>
          <cell r="C191" t="str">
            <v>2nd Tranche</v>
          </cell>
          <cell r="D191">
            <v>186</v>
          </cell>
          <cell r="E191" t="str">
            <v>Jammal Khan</v>
          </cell>
          <cell r="F191" t="str">
            <v>Security &amp; Parking Attendant</v>
          </cell>
          <cell r="G191">
            <v>44317</v>
          </cell>
          <cell r="H191">
            <v>0</v>
          </cell>
          <cell r="I191" t="str">
            <v>SB Jampur</v>
          </cell>
          <cell r="J191" t="str">
            <v>03660010076424720019</v>
          </cell>
        </row>
        <row r="192">
          <cell r="B192">
            <v>3320217849571</v>
          </cell>
          <cell r="C192" t="str">
            <v>2nd Tranche</v>
          </cell>
          <cell r="D192">
            <v>187</v>
          </cell>
          <cell r="E192" t="str">
            <v>Imtiaz Hussain</v>
          </cell>
          <cell r="F192" t="str">
            <v>Security &amp; Parking Attendant</v>
          </cell>
          <cell r="G192">
            <v>43183</v>
          </cell>
          <cell r="H192">
            <v>0</v>
          </cell>
          <cell r="I192" t="str">
            <v>SB Jhang</v>
          </cell>
          <cell r="J192" t="str">
            <v>06480010050993240013</v>
          </cell>
        </row>
        <row r="193">
          <cell r="B193">
            <v>3320293833883</v>
          </cell>
          <cell r="C193" t="str">
            <v>2nd Tranche</v>
          </cell>
          <cell r="D193">
            <v>188</v>
          </cell>
          <cell r="E193" t="str">
            <v>Bilal Nawaz</v>
          </cell>
          <cell r="F193" t="str">
            <v>Security &amp; Parking Attendant</v>
          </cell>
          <cell r="G193">
            <v>43183</v>
          </cell>
          <cell r="H193">
            <v>0</v>
          </cell>
          <cell r="I193" t="str">
            <v>SB Jhang</v>
          </cell>
          <cell r="J193" t="str">
            <v>06480010051025300015</v>
          </cell>
        </row>
        <row r="194">
          <cell r="B194">
            <v>3320297649919</v>
          </cell>
          <cell r="C194" t="str">
            <v>2nd Tranche</v>
          </cell>
          <cell r="D194">
            <v>189</v>
          </cell>
          <cell r="E194" t="str">
            <v>Khurram Shahzad</v>
          </cell>
          <cell r="F194" t="str">
            <v>Security &amp; Parking Attendant</v>
          </cell>
          <cell r="G194">
            <v>43183</v>
          </cell>
          <cell r="H194">
            <v>0</v>
          </cell>
          <cell r="I194" t="str">
            <v>SB Jhang</v>
          </cell>
          <cell r="J194" t="str">
            <v>06480010051542840018</v>
          </cell>
        </row>
        <row r="195">
          <cell r="B195">
            <v>3330304559763</v>
          </cell>
          <cell r="C195" t="str">
            <v>2nd Tranche</v>
          </cell>
          <cell r="D195">
            <v>190</v>
          </cell>
          <cell r="E195" t="str">
            <v>Athar Khalil</v>
          </cell>
          <cell r="F195" t="str">
            <v>Security &amp; Parking Attendant</v>
          </cell>
          <cell r="G195">
            <v>43678</v>
          </cell>
          <cell r="H195">
            <v>0</v>
          </cell>
          <cell r="I195" t="str">
            <v>SB Toba Tek Singh</v>
          </cell>
          <cell r="J195" t="str">
            <v>04060010052710320016</v>
          </cell>
        </row>
        <row r="196">
          <cell r="B196">
            <v>3320211511403</v>
          </cell>
          <cell r="C196" t="str">
            <v>2nd Tranche</v>
          </cell>
          <cell r="D196">
            <v>191</v>
          </cell>
          <cell r="E196" t="str">
            <v>Ahmad Khan</v>
          </cell>
          <cell r="F196" t="str">
            <v>Security &amp; Parking Attendant</v>
          </cell>
          <cell r="G196">
            <v>42767</v>
          </cell>
          <cell r="H196">
            <v>0</v>
          </cell>
          <cell r="I196" t="str">
            <v>SB Jhang</v>
          </cell>
          <cell r="J196" t="str">
            <v>04060010045741610010</v>
          </cell>
        </row>
        <row r="197">
          <cell r="B197">
            <v>3320299435395</v>
          </cell>
          <cell r="C197" t="str">
            <v>2nd Tranche</v>
          </cell>
          <cell r="D197">
            <v>192</v>
          </cell>
          <cell r="E197" t="str">
            <v>Muhammad Usman</v>
          </cell>
          <cell r="F197" t="str">
            <v>Security &amp; Parking Attendant</v>
          </cell>
          <cell r="G197">
            <v>44317</v>
          </cell>
          <cell r="H197">
            <v>0</v>
          </cell>
          <cell r="I197" t="str">
            <v>SB Jhang</v>
          </cell>
          <cell r="J197" t="str">
            <v>06480010074152200015</v>
          </cell>
        </row>
        <row r="198">
          <cell r="B198">
            <v>3530321114015</v>
          </cell>
          <cell r="C198" t="str">
            <v>2nd Tranche</v>
          </cell>
          <cell r="D198">
            <v>193</v>
          </cell>
          <cell r="E198" t="str">
            <v xml:space="preserve">Muhammad Asif </v>
          </cell>
          <cell r="F198" t="str">
            <v>Security &amp; Parking Attendant</v>
          </cell>
          <cell r="G198">
            <v>42309</v>
          </cell>
          <cell r="H198">
            <v>0</v>
          </cell>
          <cell r="I198" t="str">
            <v>SB Jhang Road (FSD)</v>
          </cell>
          <cell r="J198" t="str">
            <v>03480010017881870013</v>
          </cell>
        </row>
        <row r="199">
          <cell r="B199">
            <v>3310009603219</v>
          </cell>
          <cell r="C199" t="str">
            <v>2nd Tranche</v>
          </cell>
          <cell r="D199">
            <v>194</v>
          </cell>
          <cell r="E199" t="str">
            <v>Muhammad Farooq s/o M. Ishaaq</v>
          </cell>
          <cell r="F199" t="str">
            <v>Security &amp; Parking Attendant</v>
          </cell>
          <cell r="G199">
            <v>41062</v>
          </cell>
          <cell r="H199">
            <v>0</v>
          </cell>
          <cell r="I199" t="str">
            <v>SB Jhang Road (FSD)</v>
          </cell>
          <cell r="J199" t="str">
            <v>00660010060006670017</v>
          </cell>
        </row>
        <row r="200">
          <cell r="B200">
            <v>3540245021441</v>
          </cell>
          <cell r="C200" t="str">
            <v>2nd Tranche</v>
          </cell>
          <cell r="D200">
            <v>195</v>
          </cell>
          <cell r="E200" t="str">
            <v>Tariq Mehmood</v>
          </cell>
          <cell r="F200" t="str">
            <v>Security &amp; Parking Attendant</v>
          </cell>
          <cell r="G200">
            <v>41071</v>
          </cell>
          <cell r="H200">
            <v>0</v>
          </cell>
          <cell r="I200" t="str">
            <v>SB Jhang Road (FSD)</v>
          </cell>
          <cell r="J200" t="str">
            <v>08990010060262890011</v>
          </cell>
        </row>
        <row r="201">
          <cell r="B201">
            <v>3310067941203</v>
          </cell>
          <cell r="C201" t="str">
            <v>2nd Tranche</v>
          </cell>
          <cell r="D201">
            <v>196</v>
          </cell>
          <cell r="E201" t="str">
            <v xml:space="preserve">Jamshed Ali </v>
          </cell>
          <cell r="F201" t="str">
            <v>Security &amp; Parking Attendant</v>
          </cell>
          <cell r="G201">
            <v>42767</v>
          </cell>
          <cell r="H201">
            <v>0</v>
          </cell>
          <cell r="I201" t="str">
            <v>SB Jhang Road (FSD)</v>
          </cell>
          <cell r="J201" t="str">
            <v>00660010060006630010</v>
          </cell>
        </row>
        <row r="202">
          <cell r="B202">
            <v>3330103831881</v>
          </cell>
          <cell r="C202" t="str">
            <v>2nd Tranche</v>
          </cell>
          <cell r="D202">
            <v>197</v>
          </cell>
          <cell r="E202" t="str">
            <v xml:space="preserve">Muhammad Imran </v>
          </cell>
          <cell r="F202" t="str">
            <v>Security &amp; Parking Attendant</v>
          </cell>
          <cell r="G202">
            <v>42767</v>
          </cell>
          <cell r="H202">
            <v>0</v>
          </cell>
          <cell r="I202" t="str">
            <v>SB Jhang Road (FSD)</v>
          </cell>
          <cell r="J202" t="str">
            <v>04980010020044070012</v>
          </cell>
        </row>
        <row r="203">
          <cell r="B203">
            <v>3310282816737</v>
          </cell>
          <cell r="C203" t="str">
            <v>2nd Tranche</v>
          </cell>
          <cell r="D203">
            <v>198</v>
          </cell>
          <cell r="E203" t="str">
            <v>Akash Javed</v>
          </cell>
          <cell r="F203" t="str">
            <v>Security &amp; Parking Attendant</v>
          </cell>
          <cell r="G203">
            <v>42767</v>
          </cell>
          <cell r="H203">
            <v>0</v>
          </cell>
          <cell r="I203" t="str">
            <v>SB Jhang Road (FSD)</v>
          </cell>
          <cell r="J203" t="str">
            <v>00660010060006660018</v>
          </cell>
        </row>
        <row r="204">
          <cell r="B204">
            <v>3330248065297</v>
          </cell>
          <cell r="C204" t="str">
            <v>2nd Tranche</v>
          </cell>
          <cell r="D204">
            <v>199</v>
          </cell>
          <cell r="E204" t="str">
            <v>Qaiser Abbas</v>
          </cell>
          <cell r="F204" t="str">
            <v>Security &amp; Parking Attendant</v>
          </cell>
          <cell r="G204">
            <v>43115</v>
          </cell>
          <cell r="H204">
            <v>0</v>
          </cell>
          <cell r="I204" t="str">
            <v>SB Jhang Road (FSD)</v>
          </cell>
          <cell r="J204" t="str">
            <v>07300010049417690010</v>
          </cell>
        </row>
        <row r="205">
          <cell r="B205">
            <v>3840307875637</v>
          </cell>
          <cell r="C205" t="str">
            <v>2nd Tranche</v>
          </cell>
          <cell r="D205">
            <v>200</v>
          </cell>
          <cell r="E205" t="str">
            <v>Ikram Ullah</v>
          </cell>
          <cell r="F205" t="str">
            <v>Security &amp; Parking Attendant</v>
          </cell>
          <cell r="G205">
            <v>44317</v>
          </cell>
          <cell r="H205">
            <v>0</v>
          </cell>
          <cell r="I205" t="str">
            <v>SB Jhang Road (FSD)</v>
          </cell>
          <cell r="J205" t="str">
            <v>00660010009570100026</v>
          </cell>
        </row>
        <row r="206">
          <cell r="B206">
            <v>3320214623773</v>
          </cell>
          <cell r="C206" t="str">
            <v>2nd Tranche</v>
          </cell>
          <cell r="D206">
            <v>201</v>
          </cell>
          <cell r="E206" t="str">
            <v>Muhammad Younas</v>
          </cell>
          <cell r="F206" t="str">
            <v>Security &amp; Parking Attendant</v>
          </cell>
          <cell r="G206">
            <v>44317</v>
          </cell>
          <cell r="H206">
            <v>0</v>
          </cell>
          <cell r="I206" t="str">
            <v>SB Jhang Road (FSD)</v>
          </cell>
          <cell r="J206" t="str">
            <v>05110010077755620025</v>
          </cell>
        </row>
        <row r="207">
          <cell r="B207">
            <v>3520223226567</v>
          </cell>
          <cell r="C207" t="str">
            <v>3rd Tranche</v>
          </cell>
          <cell r="D207">
            <v>202</v>
          </cell>
          <cell r="E207" t="str">
            <v>Muhammad Ijaz Hussain</v>
          </cell>
          <cell r="F207" t="str">
            <v>Sahulat Bazaar Supervisor</v>
          </cell>
          <cell r="G207">
            <v>42171</v>
          </cell>
          <cell r="H207">
            <v>0</v>
          </cell>
          <cell r="I207" t="str">
            <v>STOG Awan Town</v>
          </cell>
          <cell r="J207" t="str">
            <v>02880010045781140016</v>
          </cell>
        </row>
        <row r="208">
          <cell r="B208">
            <v>3520244765241</v>
          </cell>
          <cell r="C208" t="str">
            <v>2nd Tranche</v>
          </cell>
          <cell r="D208">
            <v>203</v>
          </cell>
          <cell r="E208" t="str">
            <v>Sharafat Ali</v>
          </cell>
          <cell r="F208" t="str">
            <v>Security &amp; Parking Attendant</v>
          </cell>
          <cell r="G208">
            <v>42226</v>
          </cell>
          <cell r="H208">
            <v>0</v>
          </cell>
          <cell r="I208" t="str">
            <v>SB Johar Town</v>
          </cell>
          <cell r="J208" t="str">
            <v>02880010045933870010</v>
          </cell>
        </row>
        <row r="209">
          <cell r="B209">
            <v>3520207760339</v>
          </cell>
          <cell r="C209" t="str">
            <v>3rd Tranche</v>
          </cell>
          <cell r="D209">
            <v>204</v>
          </cell>
          <cell r="E209" t="str">
            <v>Zahid Ali</v>
          </cell>
          <cell r="F209" t="str">
            <v>Office Attendant</v>
          </cell>
          <cell r="G209">
            <v>42243</v>
          </cell>
          <cell r="H209">
            <v>0</v>
          </cell>
          <cell r="I209" t="str">
            <v>SB Johar Town</v>
          </cell>
          <cell r="J209" t="str">
            <v>02880010045874720049</v>
          </cell>
        </row>
        <row r="210">
          <cell r="B210">
            <v>3520279995783</v>
          </cell>
          <cell r="C210" t="str">
            <v>Suspended 01-05-26</v>
          </cell>
          <cell r="D210">
            <v>205</v>
          </cell>
          <cell r="E210" t="str">
            <v>Ajmal Shafi</v>
          </cell>
          <cell r="F210" t="str">
            <v>Security &amp; Parking Attendant</v>
          </cell>
          <cell r="G210">
            <v>42514</v>
          </cell>
          <cell r="H210">
            <v>0</v>
          </cell>
          <cell r="I210" t="str">
            <v>SB Johar Town</v>
          </cell>
          <cell r="J210" t="str">
            <v>02880010045888100011</v>
          </cell>
        </row>
        <row r="211">
          <cell r="B211">
            <v>3520230160247</v>
          </cell>
          <cell r="C211" t="str">
            <v>2nd Tranche</v>
          </cell>
          <cell r="D211">
            <v>206</v>
          </cell>
          <cell r="E211" t="str">
            <v>Usman Ahmad</v>
          </cell>
          <cell r="F211" t="str">
            <v>Security &amp; Parking Attendant</v>
          </cell>
          <cell r="G211">
            <v>42614</v>
          </cell>
          <cell r="H211">
            <v>0</v>
          </cell>
          <cell r="I211" t="str">
            <v>SB Johar Town</v>
          </cell>
          <cell r="J211" t="str">
            <v>02880010045779560013</v>
          </cell>
        </row>
        <row r="212">
          <cell r="B212">
            <v>3530187459235</v>
          </cell>
          <cell r="C212" t="str">
            <v>3rd Tranche</v>
          </cell>
          <cell r="D212">
            <v>207</v>
          </cell>
          <cell r="E212" t="str">
            <v>Mumtaaz Ali</v>
          </cell>
          <cell r="F212" t="str">
            <v>Operations Assistant</v>
          </cell>
          <cell r="G212">
            <v>43109</v>
          </cell>
          <cell r="H212">
            <v>0</v>
          </cell>
          <cell r="I212" t="str">
            <v>SB Johar Town</v>
          </cell>
          <cell r="J212" t="str">
            <v>07170010049344210017</v>
          </cell>
        </row>
        <row r="213">
          <cell r="B213">
            <v>3520103617577</v>
          </cell>
          <cell r="C213" t="str">
            <v>2nd Tranche</v>
          </cell>
          <cell r="D213">
            <v>208</v>
          </cell>
          <cell r="E213" t="str">
            <v>Ghazanfar Shahzad</v>
          </cell>
          <cell r="F213" t="str">
            <v>Security &amp; Parking Attendant</v>
          </cell>
          <cell r="G213">
            <v>42212</v>
          </cell>
          <cell r="H213">
            <v>0</v>
          </cell>
          <cell r="I213" t="str">
            <v>SB Johar Town</v>
          </cell>
          <cell r="J213" t="str">
            <v>02880010045812190019</v>
          </cell>
        </row>
        <row r="214">
          <cell r="B214">
            <v>3510291924873</v>
          </cell>
          <cell r="C214" t="str">
            <v>2nd Tranche</v>
          </cell>
          <cell r="D214">
            <v>209</v>
          </cell>
          <cell r="E214" t="str">
            <v>Muhammad Ali</v>
          </cell>
          <cell r="F214" t="str">
            <v>Security &amp; Parking Attendant</v>
          </cell>
          <cell r="G214">
            <v>42316</v>
          </cell>
          <cell r="H214">
            <v>0</v>
          </cell>
          <cell r="I214" t="str">
            <v>SB Kasur</v>
          </cell>
          <cell r="J214" t="str">
            <v>01530010045819030013</v>
          </cell>
        </row>
        <row r="215">
          <cell r="B215">
            <v>3510231071651</v>
          </cell>
          <cell r="C215" t="str">
            <v>2nd Tranche</v>
          </cell>
          <cell r="D215">
            <v>210</v>
          </cell>
          <cell r="E215" t="str">
            <v>Farman Ali</v>
          </cell>
          <cell r="F215" t="str">
            <v>Security &amp; Parking Attendant</v>
          </cell>
          <cell r="G215">
            <v>40751</v>
          </cell>
          <cell r="H215">
            <v>0</v>
          </cell>
          <cell r="I215" t="str">
            <v>SB Kasur</v>
          </cell>
          <cell r="J215" t="str">
            <v>05390010045823540017</v>
          </cell>
        </row>
        <row r="216">
          <cell r="B216">
            <v>3510252628797</v>
          </cell>
          <cell r="C216" t="str">
            <v>2nd Tranche</v>
          </cell>
          <cell r="D216">
            <v>211</v>
          </cell>
          <cell r="E216" t="str">
            <v xml:space="preserve">Muhammad Haris Zaheer </v>
          </cell>
          <cell r="F216" t="str">
            <v>Security &amp; Parking Attendant</v>
          </cell>
          <cell r="G216">
            <v>41913</v>
          </cell>
          <cell r="H216">
            <v>0</v>
          </cell>
          <cell r="I216" t="str">
            <v>SB Kasur</v>
          </cell>
          <cell r="J216" t="str">
            <v>05390010045820530014</v>
          </cell>
        </row>
        <row r="217">
          <cell r="B217">
            <v>3510237790261</v>
          </cell>
          <cell r="C217" t="str">
            <v>3rd Tranche</v>
          </cell>
          <cell r="D217">
            <v>212</v>
          </cell>
          <cell r="E217" t="str">
            <v xml:space="preserve">Ehsan Ellahi </v>
          </cell>
          <cell r="F217" t="str">
            <v>Record Keeper</v>
          </cell>
          <cell r="G217">
            <v>41913</v>
          </cell>
          <cell r="H217">
            <v>0</v>
          </cell>
          <cell r="I217" t="str">
            <v>SB Kasur</v>
          </cell>
          <cell r="J217" t="str">
            <v>05390010045717710015</v>
          </cell>
        </row>
        <row r="218">
          <cell r="B218">
            <v>3510298406679</v>
          </cell>
          <cell r="C218" t="str">
            <v>2nd Tranche</v>
          </cell>
          <cell r="D218">
            <v>213</v>
          </cell>
          <cell r="E218" t="str">
            <v>Muhammad Nadeem Anwar</v>
          </cell>
          <cell r="F218" t="str">
            <v>Security &amp; Parking Attendant</v>
          </cell>
          <cell r="G218">
            <v>42121</v>
          </cell>
          <cell r="H218">
            <v>0</v>
          </cell>
          <cell r="I218" t="str">
            <v>SB Kasur</v>
          </cell>
          <cell r="J218" t="str">
            <v>05390010045739470017</v>
          </cell>
        </row>
        <row r="219">
          <cell r="B219">
            <v>3510239369559</v>
          </cell>
          <cell r="C219" t="str">
            <v>3rd Tranche</v>
          </cell>
          <cell r="D219">
            <v>214</v>
          </cell>
          <cell r="E219" t="str">
            <v>Naveed Ahmad</v>
          </cell>
          <cell r="F219" t="str">
            <v>Filing Assistant</v>
          </cell>
          <cell r="G219">
            <v>42121</v>
          </cell>
          <cell r="H219">
            <v>0</v>
          </cell>
          <cell r="I219" t="str">
            <v>SB Wahdat Colony</v>
          </cell>
          <cell r="J219" t="str">
            <v>05390010045770240016</v>
          </cell>
        </row>
        <row r="220">
          <cell r="B220">
            <v>3510220006099</v>
          </cell>
          <cell r="C220" t="str">
            <v>2nd Tranche</v>
          </cell>
          <cell r="D220">
            <v>215</v>
          </cell>
          <cell r="E220" t="str">
            <v>Munir Hussain</v>
          </cell>
          <cell r="F220" t="str">
            <v>Security &amp; Parking Attendant</v>
          </cell>
          <cell r="G220">
            <v>42767</v>
          </cell>
          <cell r="H220">
            <v>0</v>
          </cell>
          <cell r="I220" t="str">
            <v>SB Kasur</v>
          </cell>
          <cell r="J220" t="str">
            <v>05390010045718460017</v>
          </cell>
        </row>
        <row r="221">
          <cell r="B221">
            <v>3510260913925</v>
          </cell>
          <cell r="C221" t="str">
            <v>2nd Tranche</v>
          </cell>
          <cell r="D221">
            <v>216</v>
          </cell>
          <cell r="E221" t="str">
            <v>Muhammad Niamat</v>
          </cell>
          <cell r="F221" t="str">
            <v>Security &amp; Parking Attendant</v>
          </cell>
          <cell r="G221">
            <v>43089</v>
          </cell>
          <cell r="H221">
            <v>0</v>
          </cell>
          <cell r="I221" t="str">
            <v>SB Kasur</v>
          </cell>
          <cell r="J221" t="str">
            <v>05390010049357430012</v>
          </cell>
        </row>
        <row r="222">
          <cell r="B222">
            <v>3510398390669</v>
          </cell>
          <cell r="C222" t="str">
            <v>2nd Tranche</v>
          </cell>
          <cell r="D222">
            <v>217</v>
          </cell>
          <cell r="E222" t="str">
            <v>Muhammad Akram</v>
          </cell>
          <cell r="F222" t="str">
            <v>Security &amp; Parking Attendant</v>
          </cell>
          <cell r="G222">
            <v>43089</v>
          </cell>
          <cell r="H222">
            <v>0</v>
          </cell>
          <cell r="I222" t="str">
            <v>SB Kasur</v>
          </cell>
          <cell r="J222" t="str">
            <v>05390010049360480014</v>
          </cell>
        </row>
        <row r="223">
          <cell r="B223">
            <v>3510298717705</v>
          </cell>
          <cell r="C223" t="str">
            <v>2nd Tranche</v>
          </cell>
          <cell r="D223">
            <v>218</v>
          </cell>
          <cell r="E223" t="str">
            <v>Bashrat Ashiq</v>
          </cell>
          <cell r="F223" t="str">
            <v>Security &amp; Parking Attendant</v>
          </cell>
          <cell r="G223">
            <v>43678</v>
          </cell>
          <cell r="H223">
            <v>0</v>
          </cell>
          <cell r="I223" t="str">
            <v>SB Kasur</v>
          </cell>
          <cell r="J223" t="str">
            <v>05390010061152630023</v>
          </cell>
        </row>
        <row r="224">
          <cell r="B224">
            <v>3820160210323</v>
          </cell>
          <cell r="C224" t="str">
            <v>2nd Tranche</v>
          </cell>
          <cell r="D224">
            <v>219</v>
          </cell>
          <cell r="E224" t="str">
            <v>Abid Hussain</v>
          </cell>
          <cell r="F224" t="str">
            <v>Security &amp; Parking Attendant</v>
          </cell>
          <cell r="G224">
            <v>42507</v>
          </cell>
          <cell r="H224">
            <v>0</v>
          </cell>
          <cell r="I224" t="str">
            <v>SB Khushab</v>
          </cell>
          <cell r="J224" t="str">
            <v>01220010045750560016</v>
          </cell>
        </row>
        <row r="225">
          <cell r="B225">
            <v>3820111841567</v>
          </cell>
          <cell r="C225" t="str">
            <v>2nd Tranche</v>
          </cell>
          <cell r="D225">
            <v>220</v>
          </cell>
          <cell r="E225" t="str">
            <v>Naseer Abbas</v>
          </cell>
          <cell r="F225" t="str">
            <v>Security &amp; Parking Attendant</v>
          </cell>
          <cell r="G225">
            <v>42948</v>
          </cell>
          <cell r="H225">
            <v>0</v>
          </cell>
          <cell r="I225" t="str">
            <v>SB Khushab</v>
          </cell>
          <cell r="J225" t="str">
            <v>01220010045753920014</v>
          </cell>
        </row>
        <row r="226">
          <cell r="B226">
            <v>3820141567655</v>
          </cell>
          <cell r="C226" t="str">
            <v>2nd Tranche</v>
          </cell>
          <cell r="D226">
            <v>221</v>
          </cell>
          <cell r="E226" t="str">
            <v>Mubashir Hussain</v>
          </cell>
          <cell r="F226" t="str">
            <v>Security &amp; Parking Attendant</v>
          </cell>
          <cell r="G226">
            <v>42948</v>
          </cell>
          <cell r="H226">
            <v>0</v>
          </cell>
          <cell r="I226" t="str">
            <v>SB Khushab</v>
          </cell>
          <cell r="J226" t="str">
            <v>01220010045793440011</v>
          </cell>
        </row>
        <row r="227">
          <cell r="B227">
            <v>3820121693113</v>
          </cell>
          <cell r="C227" t="str">
            <v>2nd Tranche</v>
          </cell>
          <cell r="D227">
            <v>222</v>
          </cell>
          <cell r="E227" t="str">
            <v>Aamir Shahzad</v>
          </cell>
          <cell r="F227" t="str">
            <v>Security &amp; Parking Attendant</v>
          </cell>
          <cell r="G227">
            <v>42948</v>
          </cell>
          <cell r="H227">
            <v>0</v>
          </cell>
          <cell r="I227" t="str">
            <v>SB Khushab</v>
          </cell>
          <cell r="J227" t="str">
            <v>01220010046526350018</v>
          </cell>
        </row>
        <row r="228">
          <cell r="B228">
            <v>3840111614597</v>
          </cell>
          <cell r="C228" t="str">
            <v>2nd Tranche</v>
          </cell>
          <cell r="D228">
            <v>223</v>
          </cell>
          <cell r="E228" t="str">
            <v xml:space="preserve">Adnan Haider </v>
          </cell>
          <cell r="F228" t="str">
            <v>Security &amp; Parking Attendant</v>
          </cell>
          <cell r="G228">
            <v>42971</v>
          </cell>
          <cell r="H228">
            <v>0</v>
          </cell>
          <cell r="I228" t="str">
            <v>SB Bhera</v>
          </cell>
          <cell r="J228" t="str">
            <v>06150010046548410010</v>
          </cell>
        </row>
        <row r="229">
          <cell r="B229">
            <v>3830331160567</v>
          </cell>
          <cell r="C229" t="str">
            <v>2nd Tranche</v>
          </cell>
          <cell r="D229">
            <v>224</v>
          </cell>
          <cell r="E229" t="str">
            <v>Asmat Ullah</v>
          </cell>
          <cell r="F229" t="str">
            <v>Security &amp; Parking Attendant</v>
          </cell>
          <cell r="G229">
            <v>43678</v>
          </cell>
          <cell r="H229">
            <v>0</v>
          </cell>
          <cell r="I229" t="str">
            <v>SB Mianwali</v>
          </cell>
          <cell r="J229" t="str">
            <v>01220010063219130010</v>
          </cell>
        </row>
        <row r="230">
          <cell r="B230">
            <v>3220365431613</v>
          </cell>
          <cell r="C230" t="str">
            <v>2nd Tranche</v>
          </cell>
          <cell r="D230">
            <v>225</v>
          </cell>
          <cell r="E230" t="str">
            <v xml:space="preserve">Muhammad Adeel </v>
          </cell>
          <cell r="F230" t="str">
            <v>Security &amp; Parking Attendant</v>
          </cell>
          <cell r="G230">
            <v>42615</v>
          </cell>
          <cell r="H230">
            <v>0</v>
          </cell>
          <cell r="I230" t="str">
            <v>SB Layyah</v>
          </cell>
          <cell r="J230" t="str">
            <v>51400020045875180029</v>
          </cell>
        </row>
        <row r="231">
          <cell r="B231">
            <v>3220221679901</v>
          </cell>
          <cell r="C231" t="str">
            <v>2nd Tranche</v>
          </cell>
          <cell r="D231">
            <v>226</v>
          </cell>
          <cell r="E231" t="str">
            <v>Tanveer Ahmad</v>
          </cell>
          <cell r="F231" t="str">
            <v>Security &amp; Parking Attendant</v>
          </cell>
          <cell r="G231">
            <v>42645</v>
          </cell>
          <cell r="H231">
            <v>0</v>
          </cell>
          <cell r="I231" t="str">
            <v>SB Layyah</v>
          </cell>
          <cell r="J231" t="str">
            <v>51400020045887370022</v>
          </cell>
        </row>
        <row r="232">
          <cell r="B232">
            <v>3220372974793</v>
          </cell>
          <cell r="C232" t="str">
            <v>2nd Tranche</v>
          </cell>
          <cell r="D232">
            <v>227</v>
          </cell>
          <cell r="E232" t="str">
            <v>Muhammad Imran</v>
          </cell>
          <cell r="F232" t="str">
            <v>Security &amp; Parking Attendant</v>
          </cell>
          <cell r="G232">
            <v>43115</v>
          </cell>
          <cell r="H232">
            <v>0</v>
          </cell>
          <cell r="I232" t="str">
            <v>SB Layyah</v>
          </cell>
          <cell r="J232" t="str">
            <v>09630010049493230011</v>
          </cell>
        </row>
        <row r="233">
          <cell r="B233">
            <v>3220249646143</v>
          </cell>
          <cell r="C233" t="str">
            <v>2nd Tranche</v>
          </cell>
          <cell r="D233">
            <v>228</v>
          </cell>
          <cell r="E233" t="str">
            <v>Intazaar Hussain</v>
          </cell>
          <cell r="F233" t="str">
            <v>Security &amp; Parking Attendant</v>
          </cell>
          <cell r="G233">
            <v>43150</v>
          </cell>
          <cell r="H233">
            <v>0</v>
          </cell>
          <cell r="I233" t="str">
            <v>SB Layyah</v>
          </cell>
          <cell r="J233" t="str">
            <v>09630010050270660012</v>
          </cell>
        </row>
        <row r="234">
          <cell r="B234">
            <v>3620352197501</v>
          </cell>
          <cell r="C234" t="str">
            <v>2nd Tranche</v>
          </cell>
          <cell r="D234">
            <v>229</v>
          </cell>
          <cell r="E234" t="str">
            <v>Muhammad Kashif</v>
          </cell>
          <cell r="F234" t="str">
            <v>Security &amp; Parking Attendant</v>
          </cell>
          <cell r="G234">
            <v>43678</v>
          </cell>
          <cell r="H234">
            <v>0</v>
          </cell>
          <cell r="I234" t="str">
            <v>SB Lodhran</v>
          </cell>
          <cell r="J234" t="str">
            <v>08390010052163010013</v>
          </cell>
        </row>
        <row r="235">
          <cell r="B235">
            <v>3620357398975</v>
          </cell>
          <cell r="C235" t="str">
            <v>2nd Tranche</v>
          </cell>
          <cell r="D235">
            <v>230</v>
          </cell>
          <cell r="E235" t="str">
            <v xml:space="preserve">Muhammad Javed </v>
          </cell>
          <cell r="F235" t="str">
            <v>Security &amp; Parking Attendant</v>
          </cell>
          <cell r="G235">
            <v>43678</v>
          </cell>
          <cell r="H235">
            <v>0</v>
          </cell>
          <cell r="I235" t="str">
            <v>SB Bahawalpur</v>
          </cell>
          <cell r="J235" t="str">
            <v>08390010051923360010</v>
          </cell>
        </row>
        <row r="236">
          <cell r="B236">
            <v>3620261986899</v>
          </cell>
          <cell r="C236" t="str">
            <v>2nd Tranche</v>
          </cell>
          <cell r="D236">
            <v>231</v>
          </cell>
          <cell r="E236" t="str">
            <v>Ilyas Hussain Shah</v>
          </cell>
          <cell r="F236" t="str">
            <v>Security &amp; Parking Attendant</v>
          </cell>
          <cell r="G236">
            <v>43678</v>
          </cell>
          <cell r="H236">
            <v>0</v>
          </cell>
          <cell r="I236" t="str">
            <v>SB Lodhran</v>
          </cell>
          <cell r="J236" t="str">
            <v>08390010052355420014</v>
          </cell>
        </row>
        <row r="237">
          <cell r="B237">
            <v>3620318012663</v>
          </cell>
          <cell r="C237" t="str">
            <v>2nd Tranche</v>
          </cell>
          <cell r="D237">
            <v>232</v>
          </cell>
          <cell r="E237" t="str">
            <v>Abdul Majid Saleem</v>
          </cell>
          <cell r="F237" t="str">
            <v>Security &amp; Parking Attendant</v>
          </cell>
          <cell r="G237">
            <v>43678</v>
          </cell>
          <cell r="H237">
            <v>0</v>
          </cell>
          <cell r="I237" t="str">
            <v>SB Lodhran</v>
          </cell>
          <cell r="J237" t="str">
            <v>08390010057387250018</v>
          </cell>
        </row>
        <row r="238">
          <cell r="B238">
            <v>3510273935299</v>
          </cell>
          <cell r="C238" t="str">
            <v>Suspended 05-02-26</v>
          </cell>
          <cell r="D238">
            <v>233</v>
          </cell>
          <cell r="E238" t="str">
            <v>Abdul Haq</v>
          </cell>
          <cell r="F238" t="str">
            <v>Security &amp; Parking Attendant</v>
          </cell>
          <cell r="G238">
            <v>42518</v>
          </cell>
          <cell r="H238">
            <v>0</v>
          </cell>
          <cell r="I238" t="str">
            <v>SB Thokar</v>
          </cell>
          <cell r="J238" t="str">
            <v>09650010045888880013</v>
          </cell>
        </row>
        <row r="239">
          <cell r="B239">
            <v>3520278212295</v>
          </cell>
          <cell r="C239" t="str">
            <v>2nd Tranche</v>
          </cell>
          <cell r="D239">
            <v>234</v>
          </cell>
          <cell r="E239" t="str">
            <v>Muhammad Akram</v>
          </cell>
          <cell r="F239" t="str">
            <v>Security &amp; Parking Attendant</v>
          </cell>
          <cell r="G239">
            <v>41623</v>
          </cell>
          <cell r="H239">
            <v>0</v>
          </cell>
          <cell r="I239" t="str">
            <v>SB Raiwind</v>
          </cell>
          <cell r="J239" t="str">
            <v>03910010045898590012</v>
          </cell>
        </row>
        <row r="240">
          <cell r="B240">
            <v>3510258428729</v>
          </cell>
          <cell r="C240" t="str">
            <v>2nd Tranche</v>
          </cell>
          <cell r="D240">
            <v>235</v>
          </cell>
          <cell r="E240" t="str">
            <v xml:space="preserve">Luqman </v>
          </cell>
          <cell r="F240" t="str">
            <v>Security &amp; Parking Attendant</v>
          </cell>
          <cell r="G240">
            <v>41623</v>
          </cell>
          <cell r="H240">
            <v>0</v>
          </cell>
          <cell r="I240" t="str">
            <v>SB Raiwind</v>
          </cell>
          <cell r="J240" t="str">
            <v>03910010045915730014</v>
          </cell>
        </row>
        <row r="241">
          <cell r="B241">
            <v>3510118564569</v>
          </cell>
          <cell r="C241" t="str">
            <v>3rd Tranche</v>
          </cell>
          <cell r="D241">
            <v>236</v>
          </cell>
          <cell r="E241" t="str">
            <v>Javed Iqbal</v>
          </cell>
          <cell r="F241" t="str">
            <v>Sahulat Bazaar Supervisor</v>
          </cell>
          <cell r="G241">
            <v>42196</v>
          </cell>
          <cell r="H241">
            <v>0</v>
          </cell>
          <cell r="I241" t="str">
            <v>SB Kasur</v>
          </cell>
          <cell r="J241" t="str">
            <v>03910010045915980015</v>
          </cell>
        </row>
        <row r="242">
          <cell r="B242">
            <v>3520206732087</v>
          </cell>
          <cell r="C242" t="str">
            <v>2nd Tranche</v>
          </cell>
          <cell r="D242">
            <v>237</v>
          </cell>
          <cell r="E242" t="str">
            <v>Muhammad Munir</v>
          </cell>
          <cell r="F242" t="str">
            <v>Security &amp; Parking Attendant</v>
          </cell>
          <cell r="G242">
            <v>42466</v>
          </cell>
          <cell r="H242">
            <v>0</v>
          </cell>
          <cell r="I242" t="str">
            <v>SB Raiwind</v>
          </cell>
          <cell r="J242" t="str">
            <v>03910010045841600010</v>
          </cell>
        </row>
        <row r="243">
          <cell r="B243">
            <v>3510205829443</v>
          </cell>
          <cell r="C243" t="str">
            <v>2nd Tranche</v>
          </cell>
          <cell r="D243">
            <v>238</v>
          </cell>
          <cell r="E243" t="str">
            <v>Gulam Shabir</v>
          </cell>
          <cell r="F243" t="str">
            <v>Security &amp; Parking Attendant</v>
          </cell>
          <cell r="G243">
            <v>41623</v>
          </cell>
          <cell r="H243">
            <v>0</v>
          </cell>
          <cell r="I243" t="str">
            <v>SB Raiwind</v>
          </cell>
          <cell r="J243" t="str">
            <v>03910010045865720016</v>
          </cell>
        </row>
        <row r="244">
          <cell r="B244">
            <v>3520213370037</v>
          </cell>
          <cell r="C244" t="str">
            <v>3rd Tranche</v>
          </cell>
          <cell r="D244">
            <v>239</v>
          </cell>
          <cell r="E244" t="str">
            <v>Pervaiz Iqbal</v>
          </cell>
          <cell r="F244" t="str">
            <v>Record Keeper</v>
          </cell>
          <cell r="G244">
            <v>41671</v>
          </cell>
          <cell r="H244">
            <v>0</v>
          </cell>
          <cell r="I244" t="str">
            <v>SB Raiwind</v>
          </cell>
          <cell r="J244" t="str">
            <v>03910010045891910019</v>
          </cell>
        </row>
        <row r="245">
          <cell r="B245">
            <v>3520205466947</v>
          </cell>
          <cell r="C245" t="str">
            <v>2nd Tranche</v>
          </cell>
          <cell r="D245">
            <v>240</v>
          </cell>
          <cell r="E245" t="str">
            <v>Shahbaz Ali</v>
          </cell>
          <cell r="F245" t="str">
            <v>Security &amp; Parking Attendant</v>
          </cell>
          <cell r="G245">
            <v>42287</v>
          </cell>
          <cell r="H245">
            <v>0</v>
          </cell>
          <cell r="I245" t="str">
            <v>SB Raiwind</v>
          </cell>
          <cell r="J245" t="str">
            <v>03910010045799380012</v>
          </cell>
        </row>
        <row r="246">
          <cell r="B246">
            <v>3510169338349</v>
          </cell>
          <cell r="C246" t="str">
            <v>2nd Tranche</v>
          </cell>
          <cell r="D246">
            <v>241</v>
          </cell>
          <cell r="E246" t="str">
            <v>Imtiaz Khalid</v>
          </cell>
          <cell r="F246" t="str">
            <v>Security &amp; Parking Attendant</v>
          </cell>
          <cell r="G246">
            <v>42767</v>
          </cell>
          <cell r="H246">
            <v>0</v>
          </cell>
          <cell r="I246" t="str">
            <v>SB Chunian</v>
          </cell>
          <cell r="J246" t="str">
            <v>03910010045877430014</v>
          </cell>
        </row>
        <row r="247">
          <cell r="B247">
            <v>3520266452109</v>
          </cell>
          <cell r="C247" t="str">
            <v>2nd Tranche</v>
          </cell>
          <cell r="D247">
            <v>242</v>
          </cell>
          <cell r="E247" t="str">
            <v>Muhammad Ashraf</v>
          </cell>
          <cell r="F247" t="str">
            <v>Security &amp; Parking Attendant</v>
          </cell>
          <cell r="G247">
            <v>42767</v>
          </cell>
          <cell r="H247">
            <v>0</v>
          </cell>
          <cell r="I247" t="str">
            <v>SB Raiwind</v>
          </cell>
          <cell r="J247" t="str">
            <v>03910010045916600019</v>
          </cell>
        </row>
        <row r="248">
          <cell r="B248">
            <v>3460405011195</v>
          </cell>
          <cell r="C248" t="str">
            <v>2nd Tranche</v>
          </cell>
          <cell r="D248">
            <v>243</v>
          </cell>
          <cell r="E248" t="str">
            <v>Muhammad Ashraf</v>
          </cell>
          <cell r="F248" t="str">
            <v>Security &amp; Parking Attendant</v>
          </cell>
          <cell r="G248">
            <v>43678</v>
          </cell>
          <cell r="H248">
            <v>0</v>
          </cell>
          <cell r="I248" t="str">
            <v>SB Rawalpindi</v>
          </cell>
          <cell r="J248" t="str">
            <v>05700010058260420011</v>
          </cell>
        </row>
        <row r="249">
          <cell r="B249">
            <v>1330117418215</v>
          </cell>
          <cell r="C249" t="str">
            <v>2nd Tranche</v>
          </cell>
          <cell r="D249">
            <v>244</v>
          </cell>
          <cell r="E249" t="str">
            <v>Ahmad Khan</v>
          </cell>
          <cell r="F249" t="str">
            <v>Security &amp; Parking Attendant</v>
          </cell>
          <cell r="G249">
            <v>44317</v>
          </cell>
          <cell r="H249">
            <v>0</v>
          </cell>
          <cell r="I249" t="str">
            <v>SB Rawalpindi</v>
          </cell>
          <cell r="J249" t="str">
            <v>07500010048681570015</v>
          </cell>
        </row>
        <row r="250">
          <cell r="B250">
            <v>3520216255011</v>
          </cell>
          <cell r="C250" t="str">
            <v>2nd Tranche</v>
          </cell>
          <cell r="D250">
            <v>245</v>
          </cell>
          <cell r="E250" t="str">
            <v>Muhammad Waqas</v>
          </cell>
          <cell r="F250" t="str">
            <v>Security &amp; Parking Attendant</v>
          </cell>
          <cell r="G250">
            <v>42229</v>
          </cell>
          <cell r="H250">
            <v>0</v>
          </cell>
          <cell r="I250" t="str">
            <v>SB Johar Town</v>
          </cell>
          <cell r="J250" t="str">
            <v>10990010046347270014</v>
          </cell>
        </row>
        <row r="251">
          <cell r="B251">
            <v>3520258707499</v>
          </cell>
          <cell r="C251" t="str">
            <v>3rd Tranche</v>
          </cell>
          <cell r="D251">
            <v>246</v>
          </cell>
          <cell r="E251" t="str">
            <v>Muhammad Shahzad</v>
          </cell>
          <cell r="F251" t="str">
            <v>Operations Assistant</v>
          </cell>
          <cell r="G251">
            <v>41978</v>
          </cell>
          <cell r="H251">
            <v>0</v>
          </cell>
          <cell r="I251" t="str">
            <v>SB Johar Town</v>
          </cell>
          <cell r="J251" t="str">
            <v>01530010045879810016</v>
          </cell>
        </row>
        <row r="252">
          <cell r="B252">
            <v>3520261582627</v>
          </cell>
          <cell r="C252" t="str">
            <v>2nd Tranche</v>
          </cell>
          <cell r="D252">
            <v>247</v>
          </cell>
          <cell r="E252" t="str">
            <v>Muhammad Ashraf</v>
          </cell>
          <cell r="F252" t="str">
            <v>Security &amp; Parking Attendant</v>
          </cell>
          <cell r="G252">
            <v>41978</v>
          </cell>
          <cell r="H252">
            <v>0</v>
          </cell>
          <cell r="I252" t="str">
            <v>SB Johar Town</v>
          </cell>
          <cell r="J252" t="str">
            <v>09410010045977160013</v>
          </cell>
        </row>
        <row r="253">
          <cell r="B253">
            <v>3520235410883</v>
          </cell>
          <cell r="C253" t="str">
            <v>3rd Tranche</v>
          </cell>
          <cell r="D253">
            <v>248</v>
          </cell>
          <cell r="E253" t="str">
            <v xml:space="preserve">Muhammad Khurram </v>
          </cell>
          <cell r="F253" t="str">
            <v>Office Attendant</v>
          </cell>
          <cell r="G253">
            <v>42010</v>
          </cell>
          <cell r="H253">
            <v>0</v>
          </cell>
          <cell r="I253" t="str">
            <v>SB Township</v>
          </cell>
          <cell r="J253" t="str">
            <v>02880010045931680021</v>
          </cell>
        </row>
        <row r="254">
          <cell r="B254">
            <v>3520245202607</v>
          </cell>
          <cell r="C254" t="str">
            <v>2nd Tranche</v>
          </cell>
          <cell r="D254">
            <v>249</v>
          </cell>
          <cell r="E254" t="str">
            <v>Nadeem Bhatti</v>
          </cell>
          <cell r="F254" t="str">
            <v>Security &amp; Parking Attendant</v>
          </cell>
          <cell r="G254">
            <v>42410</v>
          </cell>
          <cell r="H254">
            <v>0</v>
          </cell>
          <cell r="I254" t="str">
            <v>SB Thokar</v>
          </cell>
          <cell r="J254" t="str">
            <v>01530010045900340011</v>
          </cell>
        </row>
        <row r="255">
          <cell r="B255">
            <v>3520290789313</v>
          </cell>
          <cell r="C255" t="str">
            <v>2nd Tranche</v>
          </cell>
          <cell r="D255">
            <v>250</v>
          </cell>
          <cell r="E255" t="str">
            <v>Amjad Ali Shuakat</v>
          </cell>
          <cell r="F255" t="str">
            <v>Security &amp; Parking Attendant</v>
          </cell>
          <cell r="G255">
            <v>43637</v>
          </cell>
          <cell r="H255">
            <v>0</v>
          </cell>
          <cell r="I255" t="str">
            <v>SB Sabzazaar</v>
          </cell>
          <cell r="J255" t="str">
            <v>02240010062378450017</v>
          </cell>
        </row>
        <row r="256">
          <cell r="B256">
            <v>3520217310205</v>
          </cell>
          <cell r="C256" t="str">
            <v>2nd Tranche</v>
          </cell>
          <cell r="D256">
            <v>251</v>
          </cell>
          <cell r="E256" t="str">
            <v>Nauman Ashfaq</v>
          </cell>
          <cell r="F256" t="str">
            <v>Security &amp; Parking Attendant</v>
          </cell>
          <cell r="G256">
            <v>43637</v>
          </cell>
          <cell r="H256">
            <v>0</v>
          </cell>
          <cell r="I256" t="str">
            <v>SB Sabzazaar</v>
          </cell>
          <cell r="J256" t="str">
            <v>09410010062253000011</v>
          </cell>
        </row>
        <row r="257">
          <cell r="B257">
            <v>3520229389129</v>
          </cell>
          <cell r="C257" t="str">
            <v>2nd Tranche</v>
          </cell>
          <cell r="D257">
            <v>252</v>
          </cell>
          <cell r="E257" t="str">
            <v>Hafiz Muhammad Adnan</v>
          </cell>
          <cell r="F257" t="str">
            <v>Security &amp; Parking Attendant</v>
          </cell>
          <cell r="G257">
            <v>43667</v>
          </cell>
          <cell r="H257">
            <v>0</v>
          </cell>
          <cell r="I257" t="str">
            <v>SB Wahdat Colony</v>
          </cell>
          <cell r="J257" t="str">
            <v>09410010063239490019</v>
          </cell>
        </row>
        <row r="258">
          <cell r="B258">
            <v>3520264894365</v>
          </cell>
          <cell r="C258" t="str">
            <v>2nd Tranche</v>
          </cell>
          <cell r="D258">
            <v>253</v>
          </cell>
          <cell r="E258" t="str">
            <v>Muhammad Ahsan Rafi</v>
          </cell>
          <cell r="F258" t="str">
            <v>Security &amp; Parking Attendant</v>
          </cell>
          <cell r="G258">
            <v>43628</v>
          </cell>
          <cell r="H258">
            <v>0</v>
          </cell>
          <cell r="I258" t="str">
            <v>SB Sabzazaar</v>
          </cell>
          <cell r="J258" t="str">
            <v>09410010061468610014</v>
          </cell>
        </row>
        <row r="259">
          <cell r="B259">
            <v>3520294703452</v>
          </cell>
          <cell r="C259" t="str">
            <v>2nd Tranche</v>
          </cell>
          <cell r="D259">
            <v>254</v>
          </cell>
          <cell r="E259" t="str">
            <v>Yasmeen BiBi</v>
          </cell>
          <cell r="F259" t="str">
            <v>Security &amp; Parking Attendant</v>
          </cell>
          <cell r="G259">
            <v>44317</v>
          </cell>
          <cell r="H259">
            <v>0</v>
          </cell>
          <cell r="I259" t="str">
            <v>SB Johar Town</v>
          </cell>
          <cell r="J259" t="str">
            <v>09410010072766010018</v>
          </cell>
        </row>
        <row r="260">
          <cell r="B260">
            <v>3530133037672</v>
          </cell>
          <cell r="C260" t="str">
            <v>Suspended 27-04-26</v>
          </cell>
          <cell r="D260">
            <v>255</v>
          </cell>
          <cell r="E260" t="str">
            <v>Nadia</v>
          </cell>
          <cell r="F260" t="str">
            <v>Security &amp; Parking Attendant</v>
          </cell>
          <cell r="G260">
            <v>44317</v>
          </cell>
          <cell r="H260">
            <v>0</v>
          </cell>
          <cell r="I260" t="str">
            <v>SB Township</v>
          </cell>
          <cell r="J260" t="str">
            <v>09410010073311920011</v>
          </cell>
        </row>
        <row r="261">
          <cell r="B261">
            <v>3650202979641</v>
          </cell>
          <cell r="C261" t="str">
            <v>2nd Tranche</v>
          </cell>
          <cell r="D261">
            <v>256</v>
          </cell>
          <cell r="E261" t="str">
            <v>Maqsood Ahmad</v>
          </cell>
          <cell r="F261" t="str">
            <v>Security &amp; Parking Attendant</v>
          </cell>
          <cell r="G261">
            <v>42767</v>
          </cell>
          <cell r="H261">
            <v>0</v>
          </cell>
          <cell r="I261" t="str">
            <v>SB Sahiwal</v>
          </cell>
          <cell r="J261" t="str">
            <v>03530010067715710014</v>
          </cell>
        </row>
        <row r="262">
          <cell r="B262">
            <v>3650287833613</v>
          </cell>
          <cell r="C262" t="str">
            <v>2nd Tranche</v>
          </cell>
          <cell r="D262">
            <v>257</v>
          </cell>
          <cell r="E262" t="str">
            <v>Jammal Raza</v>
          </cell>
          <cell r="F262" t="str">
            <v>Security &amp; Parking Attendant</v>
          </cell>
          <cell r="G262">
            <v>42887</v>
          </cell>
          <cell r="H262">
            <v>0</v>
          </cell>
          <cell r="I262" t="str">
            <v>SB Sahiwal</v>
          </cell>
          <cell r="J262" t="str">
            <v>03530010045881330012</v>
          </cell>
        </row>
        <row r="263">
          <cell r="B263">
            <v>3650240160659</v>
          </cell>
          <cell r="C263" t="str">
            <v>2nd Tranche</v>
          </cell>
          <cell r="D263">
            <v>258</v>
          </cell>
          <cell r="E263" t="str">
            <v>Shaheer Ashfaq</v>
          </cell>
          <cell r="F263" t="str">
            <v>Security &amp; Parking Attendant</v>
          </cell>
          <cell r="G263">
            <v>44317</v>
          </cell>
          <cell r="H263">
            <v>0</v>
          </cell>
          <cell r="I263" t="str">
            <v>SB Sahiwal</v>
          </cell>
          <cell r="J263" t="str">
            <v>10890010068109540010</v>
          </cell>
        </row>
        <row r="264">
          <cell r="B264">
            <v>3540422777833</v>
          </cell>
          <cell r="C264" t="str">
            <v>2nd Tranche</v>
          </cell>
          <cell r="D264">
            <v>259</v>
          </cell>
          <cell r="E264" t="str">
            <v>Muhammad Nadeem Ashraf</v>
          </cell>
          <cell r="F264" t="str">
            <v>Security &amp; Parking Attendant</v>
          </cell>
          <cell r="G264">
            <v>44317</v>
          </cell>
          <cell r="H264">
            <v>0</v>
          </cell>
          <cell r="I264" t="str">
            <v>SB Farooqabad</v>
          </cell>
          <cell r="J264" t="str">
            <v>06200010074163630022</v>
          </cell>
        </row>
        <row r="265">
          <cell r="B265">
            <v>3840315019345</v>
          </cell>
          <cell r="C265" t="str">
            <v>2nd Tranche</v>
          </cell>
          <cell r="D265">
            <v>260</v>
          </cell>
          <cell r="E265" t="str">
            <v>Zafar Iqbal</v>
          </cell>
          <cell r="F265" t="str">
            <v>Security &amp; Parking Attendant</v>
          </cell>
          <cell r="G265">
            <v>41033</v>
          </cell>
          <cell r="H265">
            <v>0</v>
          </cell>
          <cell r="I265" t="str">
            <v>SB Sargodha</v>
          </cell>
          <cell r="J265" t="str">
            <v>07980010045890490013</v>
          </cell>
        </row>
        <row r="266">
          <cell r="B266">
            <v>3810389321751</v>
          </cell>
          <cell r="C266" t="str">
            <v>2nd Tranche</v>
          </cell>
          <cell r="D266">
            <v>261</v>
          </cell>
          <cell r="E266" t="str">
            <v>Muhammad Adnan</v>
          </cell>
          <cell r="F266" t="str">
            <v>Security &amp; Parking Attendant</v>
          </cell>
          <cell r="G266">
            <v>42767</v>
          </cell>
          <cell r="H266">
            <v>0</v>
          </cell>
          <cell r="I266" t="str">
            <v>SB Bhakar</v>
          </cell>
          <cell r="J266" t="str">
            <v>07980010045768010011</v>
          </cell>
        </row>
        <row r="267">
          <cell r="B267">
            <v>3840178873833</v>
          </cell>
          <cell r="C267" t="str">
            <v>2nd Tranche</v>
          </cell>
          <cell r="D267">
            <v>262</v>
          </cell>
          <cell r="E267" t="str">
            <v>Zeeshan Ali</v>
          </cell>
          <cell r="F267" t="str">
            <v>Security &amp; Parking Attendant</v>
          </cell>
          <cell r="G267">
            <v>42970</v>
          </cell>
          <cell r="H267">
            <v>0</v>
          </cell>
          <cell r="I267" t="str">
            <v>SB Bhera</v>
          </cell>
          <cell r="J267" t="str">
            <v>06150010046546200016</v>
          </cell>
        </row>
        <row r="268">
          <cell r="B268">
            <v>3840324719222</v>
          </cell>
          <cell r="C268" t="str">
            <v>2nd Tranche</v>
          </cell>
          <cell r="D268">
            <v>263</v>
          </cell>
          <cell r="E268" t="str">
            <v>Razia Bibi</v>
          </cell>
          <cell r="F268" t="str">
            <v>Security &amp; Parking Attendant</v>
          </cell>
          <cell r="G268">
            <v>43678</v>
          </cell>
          <cell r="H268">
            <v>0</v>
          </cell>
          <cell r="I268" t="str">
            <v>SB Sargodha</v>
          </cell>
          <cell r="J268" t="str">
            <v>51300020057844380011</v>
          </cell>
        </row>
        <row r="269">
          <cell r="B269">
            <v>3840384553175</v>
          </cell>
          <cell r="C269" t="str">
            <v>2nd Tranche</v>
          </cell>
          <cell r="D269">
            <v>264</v>
          </cell>
          <cell r="E269" t="str">
            <v>Muhammad Arshad</v>
          </cell>
          <cell r="F269" t="str">
            <v>Security &amp; Parking Attendant</v>
          </cell>
          <cell r="G269">
            <v>43678</v>
          </cell>
          <cell r="H269">
            <v>0</v>
          </cell>
          <cell r="I269" t="str">
            <v>SB Sargodha</v>
          </cell>
          <cell r="J269" t="str">
            <v>51300020048618550011</v>
          </cell>
        </row>
        <row r="270">
          <cell r="B270">
            <v>3840396937713</v>
          </cell>
          <cell r="C270" t="str">
            <v>2nd Tranche</v>
          </cell>
          <cell r="D270">
            <v>265</v>
          </cell>
          <cell r="E270" t="str">
            <v>Umer Farooq</v>
          </cell>
          <cell r="F270" t="str">
            <v>Security &amp; Parking Attendant</v>
          </cell>
          <cell r="G270">
            <v>43678</v>
          </cell>
          <cell r="H270">
            <v>0</v>
          </cell>
          <cell r="I270" t="str">
            <v>SB Sargodha</v>
          </cell>
          <cell r="J270" t="str">
            <v>07980010058431550011</v>
          </cell>
        </row>
        <row r="271">
          <cell r="B271">
            <v>3840320874786</v>
          </cell>
          <cell r="C271" t="str">
            <v>2nd Tranche</v>
          </cell>
          <cell r="D271">
            <v>266</v>
          </cell>
          <cell r="E271" t="str">
            <v xml:space="preserve">Safia </v>
          </cell>
          <cell r="F271" t="str">
            <v>Sanitation Attendant</v>
          </cell>
          <cell r="G271">
            <v>44228</v>
          </cell>
          <cell r="H271">
            <v>0</v>
          </cell>
          <cell r="I271" t="str">
            <v>SB Sargodha</v>
          </cell>
          <cell r="J271" t="str">
            <v>07980010077756380010</v>
          </cell>
        </row>
        <row r="272">
          <cell r="B272">
            <v>3840396568989</v>
          </cell>
          <cell r="C272" t="str">
            <v>2nd Tranche</v>
          </cell>
          <cell r="D272">
            <v>267</v>
          </cell>
          <cell r="E272" t="str">
            <v>Hamza Ishtiaq</v>
          </cell>
          <cell r="F272" t="str">
            <v>Security &amp; Parking Attendant</v>
          </cell>
          <cell r="G272">
            <v>44317</v>
          </cell>
          <cell r="H272">
            <v>0</v>
          </cell>
          <cell r="I272" t="str">
            <v>SB Sargodha</v>
          </cell>
          <cell r="J272" t="str">
            <v>07980010073302730011</v>
          </cell>
        </row>
        <row r="273">
          <cell r="B273">
            <v>3830382751073</v>
          </cell>
          <cell r="C273" t="str">
            <v>2nd Tranche</v>
          </cell>
          <cell r="D273">
            <v>268</v>
          </cell>
          <cell r="E273" t="str">
            <v>Zubair Ali</v>
          </cell>
          <cell r="F273" t="str">
            <v>Security &amp; Parking Attendant</v>
          </cell>
          <cell r="G273">
            <v>44317</v>
          </cell>
          <cell r="H273">
            <v>0</v>
          </cell>
          <cell r="I273" t="str">
            <v>SB Mianwali</v>
          </cell>
          <cell r="J273" t="str">
            <v>12820010074336720019</v>
          </cell>
        </row>
        <row r="274">
          <cell r="B274">
            <v>3520248950741</v>
          </cell>
          <cell r="C274" t="str">
            <v>2nd Tranche</v>
          </cell>
          <cell r="D274">
            <v>269</v>
          </cell>
          <cell r="E274" t="str">
            <v>Abdul Rauf</v>
          </cell>
          <cell r="F274" t="str">
            <v>Security &amp; Parking Attendant</v>
          </cell>
          <cell r="G274">
            <v>42515</v>
          </cell>
          <cell r="H274">
            <v>0</v>
          </cell>
          <cell r="I274" t="str">
            <v>SB Sher Sha Colony</v>
          </cell>
          <cell r="J274" t="str">
            <v>02880010045776690010</v>
          </cell>
        </row>
        <row r="275">
          <cell r="B275">
            <v>3520257358013</v>
          </cell>
          <cell r="C275" t="str">
            <v>3rd Tranche</v>
          </cell>
          <cell r="D275">
            <v>270</v>
          </cell>
          <cell r="E275" t="str">
            <v>Ali Muhammad</v>
          </cell>
          <cell r="F275" t="str">
            <v>Record Keeper</v>
          </cell>
          <cell r="G275">
            <v>41623</v>
          </cell>
          <cell r="H275">
            <v>0</v>
          </cell>
          <cell r="I275" t="str">
            <v>SB Raiwind</v>
          </cell>
          <cell r="J275" t="str">
            <v>03910010045892390010</v>
          </cell>
        </row>
        <row r="276">
          <cell r="B276">
            <v>3520201136763</v>
          </cell>
          <cell r="C276" t="str">
            <v>Account No. issue</v>
          </cell>
          <cell r="D276">
            <v>271</v>
          </cell>
          <cell r="E276" t="str">
            <v xml:space="preserve">Zahoor Rehman </v>
          </cell>
          <cell r="F276" t="str">
            <v>Security &amp; Parking Attendant</v>
          </cell>
          <cell r="G276">
            <v>42173</v>
          </cell>
          <cell r="H276">
            <v>0</v>
          </cell>
          <cell r="I276" t="str">
            <v>SB Sher Sha Colony</v>
          </cell>
          <cell r="J276" t="str">
            <v>51010020045942450015</v>
          </cell>
        </row>
        <row r="277">
          <cell r="B277">
            <v>3520295891041</v>
          </cell>
          <cell r="C277" t="str">
            <v>2nd Tranche</v>
          </cell>
          <cell r="D277">
            <v>272</v>
          </cell>
          <cell r="E277" t="str">
            <v xml:space="preserve">Zaheer Asgher </v>
          </cell>
          <cell r="F277" t="str">
            <v>Security &amp; Parking Attendant</v>
          </cell>
          <cell r="G277">
            <v>42244</v>
          </cell>
          <cell r="H277">
            <v>0</v>
          </cell>
          <cell r="I277" t="str">
            <v>SB Sher Sha Colony</v>
          </cell>
          <cell r="J277" t="str">
            <v>51010020045946770010</v>
          </cell>
        </row>
        <row r="278">
          <cell r="B278">
            <v>3520285892417</v>
          </cell>
          <cell r="C278" t="str">
            <v>2nd Tranche</v>
          </cell>
          <cell r="D278">
            <v>273</v>
          </cell>
          <cell r="E278" t="str">
            <v>Muhammad Arshad</v>
          </cell>
          <cell r="F278" t="str">
            <v>Security &amp; Parking Attendant</v>
          </cell>
          <cell r="G278">
            <v>42767</v>
          </cell>
          <cell r="H278">
            <v>0</v>
          </cell>
          <cell r="I278" t="str">
            <v>SB Johar Town</v>
          </cell>
          <cell r="J278" t="str">
            <v>02880010045889880018</v>
          </cell>
        </row>
        <row r="279">
          <cell r="B279">
            <v>3520297327043</v>
          </cell>
          <cell r="C279" t="str">
            <v>2nd Tranche</v>
          </cell>
          <cell r="D279">
            <v>274</v>
          </cell>
          <cell r="E279" t="str">
            <v>Muhammad Ilyas</v>
          </cell>
          <cell r="F279" t="str">
            <v>Security &amp; Parking Attendant</v>
          </cell>
          <cell r="G279">
            <v>42861</v>
          </cell>
          <cell r="H279">
            <v>0</v>
          </cell>
          <cell r="I279" t="str">
            <v>SB Thokar</v>
          </cell>
          <cell r="J279" t="str">
            <v>02880010046282870010</v>
          </cell>
        </row>
        <row r="280">
          <cell r="B280">
            <v>3310503400412</v>
          </cell>
          <cell r="C280" t="str">
            <v>2nd Tranche</v>
          </cell>
          <cell r="D280">
            <v>275</v>
          </cell>
          <cell r="E280" t="str">
            <v>Shugufta Begam</v>
          </cell>
          <cell r="F280" t="str">
            <v>Security &amp; Parking Attendant</v>
          </cell>
          <cell r="G280">
            <v>44317</v>
          </cell>
          <cell r="H280">
            <v>0</v>
          </cell>
          <cell r="I280" t="str">
            <v>SB Sher Sha Colony</v>
          </cell>
          <cell r="J280" t="str">
            <v>53220020065235440012</v>
          </cell>
        </row>
        <row r="281">
          <cell r="B281">
            <v>3460308170333</v>
          </cell>
          <cell r="C281" t="str">
            <v>2nd Tranche</v>
          </cell>
          <cell r="D281">
            <v>276</v>
          </cell>
          <cell r="E281" t="str">
            <v xml:space="preserve">Muhammad saleem </v>
          </cell>
          <cell r="F281" t="str">
            <v>Security &amp; Parking Attendant</v>
          </cell>
          <cell r="G281">
            <v>41974</v>
          </cell>
          <cell r="H281">
            <v>0</v>
          </cell>
          <cell r="I281" t="str">
            <v>SB Sialkot</v>
          </cell>
          <cell r="J281" t="str">
            <v>09140010045680520014</v>
          </cell>
        </row>
        <row r="282">
          <cell r="B282">
            <v>3520276789205</v>
          </cell>
          <cell r="C282" t="str">
            <v>2nd Tranche</v>
          </cell>
          <cell r="D282">
            <v>277</v>
          </cell>
          <cell r="E282" t="str">
            <v>Muhammad Afzaal</v>
          </cell>
          <cell r="F282" t="str">
            <v>Security &amp; Parking Attendant</v>
          </cell>
          <cell r="G282">
            <v>42614</v>
          </cell>
          <cell r="H282">
            <v>0</v>
          </cell>
          <cell r="I282" t="str">
            <v>SB Sabzazaar</v>
          </cell>
          <cell r="J282" t="str">
            <v>02880010028879120016</v>
          </cell>
        </row>
        <row r="283">
          <cell r="B283">
            <v>3460274285529</v>
          </cell>
          <cell r="C283" t="str">
            <v>2nd Tranche</v>
          </cell>
          <cell r="D283">
            <v>278</v>
          </cell>
          <cell r="E283" t="str">
            <v>Muhammad Haroon Sarwar</v>
          </cell>
          <cell r="F283" t="str">
            <v>Security &amp; Parking Attendant</v>
          </cell>
          <cell r="G283">
            <v>43123</v>
          </cell>
          <cell r="H283">
            <v>0</v>
          </cell>
          <cell r="I283" t="str">
            <v>SB Gujrat</v>
          </cell>
          <cell r="J283" t="str">
            <v>07300010049786090016</v>
          </cell>
        </row>
        <row r="284">
          <cell r="B284">
            <v>3410133202253</v>
          </cell>
          <cell r="C284" t="str">
            <v>2nd Tranche</v>
          </cell>
          <cell r="D284">
            <v>279</v>
          </cell>
          <cell r="E284" t="str">
            <v>Rahat Ali</v>
          </cell>
          <cell r="F284" t="str">
            <v>Security &amp; Parking Attendant</v>
          </cell>
          <cell r="G284">
            <v>43123</v>
          </cell>
          <cell r="H284">
            <v>0</v>
          </cell>
          <cell r="I284" t="str">
            <v>SB Gujranwala</v>
          </cell>
          <cell r="J284" t="str">
            <v>07300010049784790016</v>
          </cell>
        </row>
        <row r="285">
          <cell r="B285">
            <v>3330354668697</v>
          </cell>
          <cell r="C285" t="str">
            <v>2nd Tranche</v>
          </cell>
          <cell r="D285">
            <v>280</v>
          </cell>
          <cell r="E285" t="str">
            <v>Tanveer Hussain</v>
          </cell>
          <cell r="F285" t="str">
            <v>Security &amp; Parking Attendant</v>
          </cell>
          <cell r="G285">
            <v>41093</v>
          </cell>
          <cell r="H285">
            <v>0</v>
          </cell>
          <cell r="I285" t="str">
            <v>SB Toba Tek Singh</v>
          </cell>
          <cell r="J285" t="str">
            <v>04060010045739660013</v>
          </cell>
        </row>
        <row r="286">
          <cell r="B286">
            <v>3320314031655</v>
          </cell>
          <cell r="C286" t="str">
            <v>2nd Tranche</v>
          </cell>
          <cell r="D286">
            <v>281</v>
          </cell>
          <cell r="E286" t="str">
            <v xml:space="preserve">Muhammad Asad </v>
          </cell>
          <cell r="F286" t="str">
            <v>Security &amp; Parking Attendant</v>
          </cell>
          <cell r="G286">
            <v>42461</v>
          </cell>
          <cell r="H286">
            <v>0</v>
          </cell>
          <cell r="I286" t="str">
            <v>SB Toba Tek Singh</v>
          </cell>
          <cell r="J286" t="str">
            <v>04060010065065740015</v>
          </cell>
        </row>
        <row r="287">
          <cell r="B287">
            <v>3330345400534</v>
          </cell>
          <cell r="C287" t="str">
            <v>2nd Tranche</v>
          </cell>
          <cell r="D287">
            <v>282</v>
          </cell>
          <cell r="E287" t="str">
            <v>Zubaida BIBI</v>
          </cell>
          <cell r="F287" t="str">
            <v>Security &amp; Parking Attendant</v>
          </cell>
          <cell r="G287">
            <v>42948</v>
          </cell>
          <cell r="H287">
            <v>0</v>
          </cell>
          <cell r="I287" t="str">
            <v>SB Toba Tek Singh</v>
          </cell>
          <cell r="J287" t="str">
            <v>04060010045894180014</v>
          </cell>
        </row>
        <row r="288">
          <cell r="B288">
            <v>3650191930437</v>
          </cell>
          <cell r="C288" t="str">
            <v>2nd Tranche</v>
          </cell>
          <cell r="D288">
            <v>283</v>
          </cell>
          <cell r="E288" t="str">
            <v>Muhammad Sajjad</v>
          </cell>
          <cell r="F288" t="str">
            <v>Security &amp; Parking Attendant</v>
          </cell>
          <cell r="G288">
            <v>43119</v>
          </cell>
          <cell r="H288">
            <v>0</v>
          </cell>
          <cell r="I288" t="str">
            <v>SB Toba Tek Singh</v>
          </cell>
          <cell r="J288" t="str">
            <v>05310010049493150017</v>
          </cell>
        </row>
        <row r="289">
          <cell r="B289">
            <v>3330330824415</v>
          </cell>
          <cell r="C289" t="str">
            <v>3rd Tranche</v>
          </cell>
          <cell r="D289">
            <v>284</v>
          </cell>
          <cell r="E289" t="str">
            <v>Muhammad Akram</v>
          </cell>
          <cell r="F289" t="str">
            <v>Sahulat Bazaar Supervisor</v>
          </cell>
          <cell r="G289">
            <v>43183</v>
          </cell>
          <cell r="H289">
            <v>0</v>
          </cell>
          <cell r="I289" t="str">
            <v>SB Toba Tek Singh</v>
          </cell>
          <cell r="J289" t="str">
            <v>04060010050744810016</v>
          </cell>
        </row>
        <row r="290">
          <cell r="B290">
            <v>3330304219159</v>
          </cell>
          <cell r="C290" t="str">
            <v>2nd Tranche</v>
          </cell>
          <cell r="D290">
            <v>285</v>
          </cell>
          <cell r="E290" t="str">
            <v>Muzzamil Khalil</v>
          </cell>
          <cell r="F290" t="str">
            <v>Security &amp; Parking Attendant</v>
          </cell>
          <cell r="G290">
            <v>43678</v>
          </cell>
          <cell r="H290">
            <v>0</v>
          </cell>
          <cell r="I290" t="str">
            <v>SB Toba Tek Singh</v>
          </cell>
          <cell r="J290" t="str">
            <v>04060010052709300010</v>
          </cell>
        </row>
        <row r="291">
          <cell r="B291">
            <v>3330262070471</v>
          </cell>
          <cell r="C291" t="str">
            <v>2nd Tranche</v>
          </cell>
          <cell r="D291">
            <v>286</v>
          </cell>
          <cell r="E291" t="str">
            <v>Mazhar Abas</v>
          </cell>
          <cell r="F291" t="str">
            <v>Security &amp; Parking Attendant</v>
          </cell>
          <cell r="G291">
            <v>43678</v>
          </cell>
          <cell r="H291">
            <v>0</v>
          </cell>
          <cell r="I291" t="str">
            <v>SB Toba Tek Singh</v>
          </cell>
          <cell r="J291" t="str">
            <v>07300010060333830017</v>
          </cell>
        </row>
        <row r="292">
          <cell r="B292">
            <v>3520228464405</v>
          </cell>
          <cell r="C292" t="str">
            <v>2nd Tranche</v>
          </cell>
          <cell r="D292">
            <v>287</v>
          </cell>
          <cell r="E292" t="str">
            <v>Syed Waheed Abbas Naqvi</v>
          </cell>
          <cell r="F292" t="str">
            <v>Security &amp; Parking Attendant</v>
          </cell>
          <cell r="G292">
            <v>41978</v>
          </cell>
          <cell r="H292">
            <v>0</v>
          </cell>
          <cell r="I292" t="str">
            <v>SB Sher Sha Colony</v>
          </cell>
          <cell r="J292" t="str">
            <v>09410010047103400019</v>
          </cell>
        </row>
        <row r="293">
          <cell r="B293">
            <v>3510257209243</v>
          </cell>
          <cell r="C293" t="str">
            <v>2nd Tranche</v>
          </cell>
          <cell r="D293">
            <v>288</v>
          </cell>
          <cell r="E293" t="str">
            <v>Abdul Majeed</v>
          </cell>
          <cell r="F293" t="str">
            <v>Security &amp; Parking Attendant</v>
          </cell>
          <cell r="G293">
            <v>42418</v>
          </cell>
          <cell r="H293">
            <v>0</v>
          </cell>
          <cell r="I293" t="str">
            <v>SB Johar Town</v>
          </cell>
          <cell r="J293" t="str">
            <v>08100010045871110010</v>
          </cell>
        </row>
        <row r="294">
          <cell r="B294">
            <v>3520264523409</v>
          </cell>
          <cell r="C294" t="str">
            <v>2nd Tranche</v>
          </cell>
          <cell r="D294">
            <v>289</v>
          </cell>
          <cell r="E294" t="str">
            <v xml:space="preserve">Bawar Khan </v>
          </cell>
          <cell r="F294" t="str">
            <v>Security &amp; Parking Attendant</v>
          </cell>
          <cell r="G294">
            <v>42510</v>
          </cell>
          <cell r="H294">
            <v>0</v>
          </cell>
          <cell r="I294" t="str">
            <v>SB Thokar</v>
          </cell>
          <cell r="J294" t="str">
            <v>08100010045871650010</v>
          </cell>
        </row>
        <row r="295">
          <cell r="B295">
            <v>3520182115345</v>
          </cell>
          <cell r="C295" t="str">
            <v>2nd Tranche</v>
          </cell>
          <cell r="D295">
            <v>290</v>
          </cell>
          <cell r="E295" t="str">
            <v>Usman Ali</v>
          </cell>
          <cell r="F295" t="str">
            <v>Security &amp; Parking Attendant</v>
          </cell>
          <cell r="G295">
            <v>42287</v>
          </cell>
          <cell r="H295">
            <v>0</v>
          </cell>
          <cell r="I295" t="str">
            <v>SB China Scheme</v>
          </cell>
          <cell r="J295" t="str">
            <v>01260010045824960010</v>
          </cell>
        </row>
        <row r="296">
          <cell r="B296">
            <v>3520246314963</v>
          </cell>
          <cell r="C296" t="str">
            <v>2nd Tranche</v>
          </cell>
          <cell r="D296">
            <v>291</v>
          </cell>
          <cell r="E296" t="str">
            <v>Muhammad Iqbal</v>
          </cell>
          <cell r="F296" t="str">
            <v>Security &amp; Parking Attendant</v>
          </cell>
          <cell r="G296">
            <v>40751</v>
          </cell>
          <cell r="H296">
            <v>0</v>
          </cell>
          <cell r="I296" t="str">
            <v>SB Township</v>
          </cell>
          <cell r="J296" t="str">
            <v>01530010045891990011</v>
          </cell>
        </row>
        <row r="297">
          <cell r="B297">
            <v>3310051318397</v>
          </cell>
          <cell r="C297" t="str">
            <v>2nd Tranche</v>
          </cell>
          <cell r="D297">
            <v>292</v>
          </cell>
          <cell r="E297" t="str">
            <v>Rehmat Ullah</v>
          </cell>
          <cell r="F297" t="str">
            <v>Security &amp; Parking Attendant</v>
          </cell>
          <cell r="G297">
            <v>40751</v>
          </cell>
          <cell r="H297">
            <v>0</v>
          </cell>
          <cell r="I297" t="str">
            <v>SB Jarranwala</v>
          </cell>
          <cell r="J297" t="str">
            <v>01530010045915870013</v>
          </cell>
        </row>
        <row r="298">
          <cell r="B298">
            <v>3520229673639</v>
          </cell>
          <cell r="C298" t="str">
            <v>3rd Tranche</v>
          </cell>
          <cell r="D298">
            <v>293</v>
          </cell>
          <cell r="E298" t="str">
            <v>Imran Ramzan</v>
          </cell>
          <cell r="F298" t="str">
            <v>Monitoring Supervisor</v>
          </cell>
          <cell r="G298">
            <v>42031</v>
          </cell>
          <cell r="H298">
            <v>0</v>
          </cell>
          <cell r="I298" t="str">
            <v>SB Township</v>
          </cell>
          <cell r="J298" t="str">
            <v>01530010045884360013</v>
          </cell>
        </row>
        <row r="299">
          <cell r="B299">
            <v>3520251200651</v>
          </cell>
          <cell r="C299" t="str">
            <v>3rd Tranche</v>
          </cell>
          <cell r="D299">
            <v>294</v>
          </cell>
          <cell r="E299" t="str">
            <v>Muhammad Nouman Baig</v>
          </cell>
          <cell r="F299" t="str">
            <v>Monitoring Supervisor</v>
          </cell>
          <cell r="G299">
            <v>42146</v>
          </cell>
          <cell r="H299">
            <v>0</v>
          </cell>
          <cell r="I299" t="str">
            <v>SB Township</v>
          </cell>
          <cell r="J299" t="str">
            <v>01530010045884090012</v>
          </cell>
        </row>
        <row r="300">
          <cell r="B300">
            <v>3510211556565</v>
          </cell>
          <cell r="C300" t="str">
            <v>2nd Tranche</v>
          </cell>
          <cell r="D300">
            <v>295</v>
          </cell>
          <cell r="E300" t="str">
            <v>Khalid Mahmood</v>
          </cell>
          <cell r="F300" t="str">
            <v>Security &amp; Parking Attendant</v>
          </cell>
          <cell r="G300">
            <v>42149</v>
          </cell>
          <cell r="H300">
            <v>0</v>
          </cell>
          <cell r="I300" t="str">
            <v>SB Kasur</v>
          </cell>
          <cell r="J300" t="str">
            <v>05390010045908100022</v>
          </cell>
        </row>
        <row r="301">
          <cell r="B301">
            <v>3520263742889</v>
          </cell>
          <cell r="C301" t="str">
            <v>2nd Tranche</v>
          </cell>
          <cell r="D301">
            <v>296</v>
          </cell>
          <cell r="E301" t="str">
            <v>Malik Shahid Hussain</v>
          </cell>
          <cell r="F301" t="str">
            <v>Security &amp; Parking Attendant</v>
          </cell>
          <cell r="G301">
            <v>41364</v>
          </cell>
          <cell r="H301">
            <v>0</v>
          </cell>
          <cell r="I301" t="str">
            <v>SB Township</v>
          </cell>
          <cell r="J301" t="str">
            <v>01530010045872710011</v>
          </cell>
        </row>
        <row r="302">
          <cell r="B302">
            <v>3520216142015</v>
          </cell>
          <cell r="C302" t="str">
            <v>2nd Tranche</v>
          </cell>
          <cell r="D302">
            <v>297</v>
          </cell>
          <cell r="E302" t="str">
            <v>Muhammad Asim</v>
          </cell>
          <cell r="F302" t="str">
            <v>Security &amp; Parking Attendant</v>
          </cell>
          <cell r="G302">
            <v>41719</v>
          </cell>
          <cell r="H302">
            <v>0</v>
          </cell>
          <cell r="I302" t="str">
            <v>SB Township</v>
          </cell>
          <cell r="J302" t="str">
            <v>01530010030715460010</v>
          </cell>
        </row>
        <row r="303">
          <cell r="B303">
            <v>3520299384049</v>
          </cell>
          <cell r="C303" t="str">
            <v>2nd Tranche</v>
          </cell>
          <cell r="D303">
            <v>298</v>
          </cell>
          <cell r="E303" t="str">
            <v>Muhammad Asif</v>
          </cell>
          <cell r="F303" t="str">
            <v>Security &amp; Parking Attendant</v>
          </cell>
          <cell r="G303">
            <v>42150</v>
          </cell>
          <cell r="H303">
            <v>0</v>
          </cell>
          <cell r="I303" t="str">
            <v>SB Township</v>
          </cell>
          <cell r="J303" t="str">
            <v>01530010045869870012</v>
          </cell>
        </row>
        <row r="304">
          <cell r="B304">
            <v>3520254344711</v>
          </cell>
          <cell r="C304" t="str">
            <v>3rd Tranche</v>
          </cell>
          <cell r="D304">
            <v>299</v>
          </cell>
          <cell r="E304" t="str">
            <v>Adnan Javed</v>
          </cell>
          <cell r="F304" t="str">
            <v>Monitoring Supervisor</v>
          </cell>
          <cell r="G304">
            <v>42285</v>
          </cell>
          <cell r="H304">
            <v>0</v>
          </cell>
          <cell r="I304" t="str">
            <v>SB Township</v>
          </cell>
          <cell r="J304" t="str">
            <v>01530010045857700019</v>
          </cell>
        </row>
        <row r="305">
          <cell r="B305">
            <v>3510268470297</v>
          </cell>
          <cell r="C305" t="str">
            <v>2nd Tranche</v>
          </cell>
          <cell r="D305">
            <v>300</v>
          </cell>
          <cell r="E305" t="str">
            <v>Ameer Hamza</v>
          </cell>
          <cell r="F305" t="str">
            <v>Security &amp; Parking Attendant</v>
          </cell>
          <cell r="G305">
            <v>43115</v>
          </cell>
          <cell r="H305">
            <v>0</v>
          </cell>
          <cell r="I305" t="str">
            <v>SB Kasur</v>
          </cell>
          <cell r="J305" t="str">
            <v>01530010049435720022</v>
          </cell>
        </row>
        <row r="306">
          <cell r="B306">
            <v>3520255970449</v>
          </cell>
          <cell r="C306" t="str">
            <v>2nd Tranche</v>
          </cell>
          <cell r="D306">
            <v>301</v>
          </cell>
          <cell r="E306" t="str">
            <v>Ehtisham</v>
          </cell>
          <cell r="F306" t="str">
            <v>Security &amp; Parking Attendant</v>
          </cell>
          <cell r="G306">
            <v>43116</v>
          </cell>
          <cell r="H306">
            <v>0</v>
          </cell>
          <cell r="I306" t="str">
            <v>SB Sabzazaar</v>
          </cell>
          <cell r="J306" t="str">
            <v>09410010049378480019</v>
          </cell>
        </row>
        <row r="307">
          <cell r="B307">
            <v>3540436842517</v>
          </cell>
          <cell r="C307" t="str">
            <v>3rd Tranche</v>
          </cell>
          <cell r="D307">
            <v>302</v>
          </cell>
          <cell r="E307" t="str">
            <v>Syed Ali Zar</v>
          </cell>
          <cell r="F307" t="str">
            <v>Electrician</v>
          </cell>
          <cell r="G307">
            <v>44317</v>
          </cell>
          <cell r="H307">
            <v>0</v>
          </cell>
          <cell r="I307" t="str">
            <v>SB Wahdat Colony</v>
          </cell>
          <cell r="J307" t="str">
            <v>07300010076509760011</v>
          </cell>
        </row>
        <row r="308">
          <cell r="B308">
            <v>3810182165087</v>
          </cell>
          <cell r="C308" t="str">
            <v>3rd Tranche</v>
          </cell>
          <cell r="D308">
            <v>303</v>
          </cell>
          <cell r="E308" t="str">
            <v>Nabeel Gulzar</v>
          </cell>
          <cell r="F308" t="str">
            <v>Monitoring Supervisor</v>
          </cell>
          <cell r="G308">
            <v>44317</v>
          </cell>
          <cell r="H308">
            <v>0</v>
          </cell>
          <cell r="I308" t="str">
            <v>SB Bhakar</v>
          </cell>
          <cell r="J308" t="str">
            <v>10990010078656980010</v>
          </cell>
        </row>
        <row r="309">
          <cell r="B309">
            <v>3660356331943</v>
          </cell>
          <cell r="C309" t="str">
            <v>2nd Tranche</v>
          </cell>
          <cell r="D309">
            <v>304</v>
          </cell>
          <cell r="E309" t="str">
            <v>Khursheed Imran</v>
          </cell>
          <cell r="F309" t="str">
            <v>Security &amp; Parking Attendant</v>
          </cell>
          <cell r="G309">
            <v>43678</v>
          </cell>
          <cell r="H309">
            <v>0</v>
          </cell>
          <cell r="I309" t="str">
            <v>SB Vehari</v>
          </cell>
          <cell r="J309" t="str">
            <v>08370010053740500011</v>
          </cell>
        </row>
        <row r="310">
          <cell r="B310">
            <v>3660302670607</v>
          </cell>
          <cell r="C310" t="str">
            <v>2nd Tranche</v>
          </cell>
          <cell r="D310">
            <v>305</v>
          </cell>
          <cell r="E310" t="str">
            <v>Ghulam Mustafa</v>
          </cell>
          <cell r="F310" t="str">
            <v>Security &amp; Parking Attendant</v>
          </cell>
          <cell r="G310">
            <v>43678</v>
          </cell>
          <cell r="H310">
            <v>0</v>
          </cell>
          <cell r="I310" t="str">
            <v>SB Vehari</v>
          </cell>
          <cell r="J310" t="str">
            <v>08370010057366740011</v>
          </cell>
        </row>
        <row r="311">
          <cell r="B311">
            <v>3520230579801</v>
          </cell>
          <cell r="C311" t="str">
            <v>2nd Tranche</v>
          </cell>
          <cell r="D311">
            <v>306</v>
          </cell>
          <cell r="E311" t="str">
            <v>Qasim Ali</v>
          </cell>
          <cell r="F311" t="str">
            <v>Security &amp; Parking Attendant</v>
          </cell>
          <cell r="G311">
            <v>42391</v>
          </cell>
          <cell r="H311">
            <v>0</v>
          </cell>
          <cell r="I311" t="str">
            <v>SB China Scheme</v>
          </cell>
          <cell r="J311" t="str">
            <v>07040010046839800018</v>
          </cell>
        </row>
        <row r="312">
          <cell r="B312">
            <v>3520204538835</v>
          </cell>
          <cell r="C312" t="str">
            <v>3rd Tranche</v>
          </cell>
          <cell r="D312">
            <v>307</v>
          </cell>
          <cell r="E312" t="str">
            <v>Muzamil</v>
          </cell>
          <cell r="F312" t="str">
            <v>Office Attendant</v>
          </cell>
          <cell r="G312">
            <v>41997</v>
          </cell>
          <cell r="H312">
            <v>0</v>
          </cell>
          <cell r="I312" t="str">
            <v>SB Wahdat Colony</v>
          </cell>
          <cell r="J312" t="str">
            <v>02190010045951580019</v>
          </cell>
        </row>
        <row r="313">
          <cell r="B313">
            <v>3520275466531</v>
          </cell>
          <cell r="C313" t="str">
            <v>2nd Tranche</v>
          </cell>
          <cell r="D313">
            <v>308</v>
          </cell>
          <cell r="E313" t="str">
            <v>Manzoor Hussain</v>
          </cell>
          <cell r="F313" t="str">
            <v>Security &amp; Parking Attendant</v>
          </cell>
          <cell r="G313">
            <v>42528</v>
          </cell>
          <cell r="H313">
            <v>0</v>
          </cell>
          <cell r="I313" t="str">
            <v>SB Wahdat Colony</v>
          </cell>
          <cell r="J313" t="str">
            <v>05400010045854360019</v>
          </cell>
        </row>
        <row r="314">
          <cell r="B314">
            <v>3520230889467</v>
          </cell>
          <cell r="C314" t="str">
            <v>2nd Tranche</v>
          </cell>
          <cell r="D314">
            <v>309</v>
          </cell>
          <cell r="E314" t="str">
            <v>Muhammad Hamid</v>
          </cell>
          <cell r="F314" t="str">
            <v>Security &amp; Parking Attendant</v>
          </cell>
          <cell r="G314">
            <v>43698</v>
          </cell>
          <cell r="H314">
            <v>0</v>
          </cell>
          <cell r="I314" t="str">
            <v>SB Wahdat Colony</v>
          </cell>
          <cell r="J314" t="str">
            <v>05280010063798780012</v>
          </cell>
        </row>
        <row r="315">
          <cell r="B315">
            <v>3120292820155</v>
          </cell>
          <cell r="C315" t="str">
            <v>2nd Tranche</v>
          </cell>
          <cell r="D315">
            <v>310</v>
          </cell>
          <cell r="E315" t="str">
            <v>Asif Masih</v>
          </cell>
          <cell r="F315" t="str">
            <v>Sanitation Attendant</v>
          </cell>
          <cell r="G315">
            <v>41437</v>
          </cell>
          <cell r="H315">
            <v>0</v>
          </cell>
          <cell r="I315" t="str">
            <v>SB Bahawalpur</v>
          </cell>
          <cell r="J315" t="str">
            <v>09630010045713270018</v>
          </cell>
        </row>
        <row r="316">
          <cell r="B316">
            <v>3120274958425</v>
          </cell>
          <cell r="C316" t="str">
            <v>2nd Tranche</v>
          </cell>
          <cell r="D316">
            <v>311</v>
          </cell>
          <cell r="E316" t="str">
            <v>Babar Ali</v>
          </cell>
          <cell r="F316" t="str">
            <v>Sanitation Attendant</v>
          </cell>
          <cell r="G316">
            <v>41437</v>
          </cell>
          <cell r="H316">
            <v>0</v>
          </cell>
          <cell r="I316" t="str">
            <v>SB Bahawalpur</v>
          </cell>
          <cell r="J316" t="str">
            <v>09630010045716770015</v>
          </cell>
        </row>
        <row r="317">
          <cell r="B317">
            <v>3120215421223</v>
          </cell>
          <cell r="C317" t="str">
            <v>2nd Tranche</v>
          </cell>
          <cell r="D317">
            <v>312</v>
          </cell>
          <cell r="E317" t="str">
            <v>Liaqat Masih</v>
          </cell>
          <cell r="F317" t="str">
            <v>Sanitation Attendant</v>
          </cell>
          <cell r="G317">
            <v>42339</v>
          </cell>
          <cell r="H317">
            <v>0</v>
          </cell>
          <cell r="I317" t="str">
            <v>SB Bahawalpur</v>
          </cell>
          <cell r="J317" t="str">
            <v>09630010045723200012</v>
          </cell>
        </row>
        <row r="318">
          <cell r="B318">
            <v>3840703889319</v>
          </cell>
          <cell r="C318" t="str">
            <v>2nd Tranche</v>
          </cell>
          <cell r="D318">
            <v>313</v>
          </cell>
          <cell r="E318" t="str">
            <v>Muhammad Akram</v>
          </cell>
          <cell r="F318" t="str">
            <v>Sanitation Attendant</v>
          </cell>
          <cell r="G318">
            <v>43678</v>
          </cell>
          <cell r="H318">
            <v>0</v>
          </cell>
          <cell r="I318" t="str">
            <v>SB Bhera</v>
          </cell>
          <cell r="J318" t="str">
            <v>06150010056565700017</v>
          </cell>
        </row>
        <row r="319">
          <cell r="B319">
            <v>3520230865231</v>
          </cell>
          <cell r="C319" t="str">
            <v>Suspended 12-05-26</v>
          </cell>
          <cell r="D319">
            <v>314</v>
          </cell>
          <cell r="E319" t="str">
            <v>Javed Masih</v>
          </cell>
          <cell r="F319" t="str">
            <v>Sanitation Attendant</v>
          </cell>
          <cell r="G319">
            <v>42237</v>
          </cell>
          <cell r="H319">
            <v>0</v>
          </cell>
          <cell r="I319" t="str">
            <v>SB Rawalpindi</v>
          </cell>
          <cell r="J319" t="str">
            <v>07040010045944370010</v>
          </cell>
        </row>
        <row r="320">
          <cell r="B320">
            <v>3520198610251</v>
          </cell>
          <cell r="C320" t="str">
            <v>2nd Tranche</v>
          </cell>
          <cell r="D320">
            <v>315</v>
          </cell>
          <cell r="E320" t="str">
            <v>Saloom Masih</v>
          </cell>
          <cell r="F320" t="str">
            <v>Sanitation Attendant</v>
          </cell>
          <cell r="G320">
            <v>42288</v>
          </cell>
          <cell r="H320">
            <v>0</v>
          </cell>
          <cell r="I320" t="str">
            <v>SB Harbanspura</v>
          </cell>
          <cell r="J320" t="str">
            <v>00260010424265000013</v>
          </cell>
        </row>
        <row r="321">
          <cell r="B321">
            <v>3520253865099</v>
          </cell>
          <cell r="C321" t="str">
            <v>2nd Tranche</v>
          </cell>
          <cell r="D321">
            <v>316</v>
          </cell>
          <cell r="E321" t="str">
            <v>Mian Aftab Sindhu</v>
          </cell>
          <cell r="F321" t="str">
            <v>Sanitation Attendant</v>
          </cell>
          <cell r="G321">
            <v>42339</v>
          </cell>
          <cell r="H321">
            <v>0</v>
          </cell>
          <cell r="I321" t="str">
            <v>SB China Scheme</v>
          </cell>
          <cell r="J321" t="str">
            <v>07040010045941960013</v>
          </cell>
        </row>
        <row r="322">
          <cell r="B322">
            <v>3520202297597</v>
          </cell>
          <cell r="C322" t="str">
            <v>2nd Tranche</v>
          </cell>
          <cell r="D322">
            <v>317</v>
          </cell>
          <cell r="E322" t="str">
            <v>Waqas Masih</v>
          </cell>
          <cell r="F322" t="str">
            <v>Sanitation Attendant</v>
          </cell>
          <cell r="G322">
            <v>42229</v>
          </cell>
          <cell r="H322">
            <v>0</v>
          </cell>
          <cell r="I322" t="str">
            <v>SB Sabzazaar</v>
          </cell>
          <cell r="J322" t="str">
            <v>02880010045915140017</v>
          </cell>
        </row>
        <row r="323">
          <cell r="B323">
            <v>3520294400297</v>
          </cell>
          <cell r="C323" t="str">
            <v>2nd Tranche</v>
          </cell>
          <cell r="D323">
            <v>318</v>
          </cell>
          <cell r="E323" t="str">
            <v xml:space="preserve">Shahzad Masih </v>
          </cell>
          <cell r="F323" t="str">
            <v>Sanitation Attendant</v>
          </cell>
          <cell r="G323">
            <v>42245</v>
          </cell>
          <cell r="H323">
            <v>0</v>
          </cell>
          <cell r="I323" t="str">
            <v>SB Township</v>
          </cell>
          <cell r="J323" t="str">
            <v>02880010045669600013</v>
          </cell>
        </row>
        <row r="324">
          <cell r="B324">
            <v>3210269020621</v>
          </cell>
          <cell r="C324" t="str">
            <v>2nd Tranche</v>
          </cell>
          <cell r="D324">
            <v>319</v>
          </cell>
          <cell r="E324" t="str">
            <v xml:space="preserve">Abdul Latif </v>
          </cell>
          <cell r="F324" t="str">
            <v>Security &amp; Parking Attendant</v>
          </cell>
          <cell r="G324">
            <v>42524</v>
          </cell>
          <cell r="H324">
            <v>0</v>
          </cell>
          <cell r="I324" t="str">
            <v>SB DG Khan</v>
          </cell>
          <cell r="J324" t="str">
            <v>00720010046270570015</v>
          </cell>
        </row>
        <row r="325">
          <cell r="B325">
            <v>3210267825819</v>
          </cell>
          <cell r="C325" t="str">
            <v>2nd Tranche</v>
          </cell>
          <cell r="D325">
            <v>320</v>
          </cell>
          <cell r="E325" t="str">
            <v>Manzoor Hussain</v>
          </cell>
          <cell r="F325" t="str">
            <v>Sanitation Attendant</v>
          </cell>
          <cell r="G325">
            <v>42861</v>
          </cell>
          <cell r="H325">
            <v>0</v>
          </cell>
          <cell r="I325" t="str">
            <v>SB DG Khan</v>
          </cell>
          <cell r="J325" t="str">
            <v>00720010046271260012</v>
          </cell>
        </row>
        <row r="326">
          <cell r="B326">
            <v>3210290417823</v>
          </cell>
          <cell r="C326" t="str">
            <v>2nd Tranche</v>
          </cell>
          <cell r="D326">
            <v>321</v>
          </cell>
          <cell r="E326" t="str">
            <v>Mansoor Ahmad</v>
          </cell>
          <cell r="F326" t="str">
            <v>Sanitation Attendant</v>
          </cell>
          <cell r="G326">
            <v>42948</v>
          </cell>
          <cell r="H326">
            <v>0</v>
          </cell>
          <cell r="I326" t="str">
            <v>SB DG Khan</v>
          </cell>
          <cell r="J326" t="str">
            <v>00720010046543750011</v>
          </cell>
        </row>
        <row r="327">
          <cell r="B327">
            <v>3210170185357</v>
          </cell>
          <cell r="C327" t="str">
            <v>3rd Tranche</v>
          </cell>
          <cell r="D327">
            <v>322</v>
          </cell>
          <cell r="E327" t="str">
            <v>Aman Ullah</v>
          </cell>
          <cell r="F327" t="str">
            <v>Sahulat Bazaar Supervisor</v>
          </cell>
          <cell r="G327">
            <v>44317</v>
          </cell>
          <cell r="H327">
            <v>0</v>
          </cell>
          <cell r="I327" t="str">
            <v>SB DG Khan</v>
          </cell>
          <cell r="J327" t="str">
            <v>00720010073942090010</v>
          </cell>
        </row>
        <row r="328">
          <cell r="B328">
            <v>3210288500481</v>
          </cell>
          <cell r="C328" t="str">
            <v>2nd Tranche</v>
          </cell>
          <cell r="D328">
            <v>323</v>
          </cell>
          <cell r="E328" t="str">
            <v>Ali Raza</v>
          </cell>
          <cell r="F328" t="str">
            <v>Sanitation Attendant</v>
          </cell>
          <cell r="G328">
            <v>44317</v>
          </cell>
          <cell r="H328">
            <v>0</v>
          </cell>
          <cell r="I328" t="str">
            <v>SB DG Khan</v>
          </cell>
          <cell r="J328" t="str">
            <v>00720010075967840012</v>
          </cell>
        </row>
        <row r="329">
          <cell r="B329">
            <v>3540401979301</v>
          </cell>
          <cell r="C329" t="str">
            <v>2nd Tranche</v>
          </cell>
          <cell r="D329">
            <v>324</v>
          </cell>
          <cell r="E329" t="str">
            <v xml:space="preserve">Nadeem Nazeer </v>
          </cell>
          <cell r="F329" t="str">
            <v>Sanitation Attendant</v>
          </cell>
          <cell r="G329">
            <v>43678</v>
          </cell>
          <cell r="H329">
            <v>0</v>
          </cell>
          <cell r="I329" t="str">
            <v>SB Farooqabad</v>
          </cell>
          <cell r="J329" t="str">
            <v>06200010052453130016</v>
          </cell>
        </row>
        <row r="330">
          <cell r="B330">
            <v>3540472289111</v>
          </cell>
          <cell r="C330" t="str">
            <v>2nd Tranche</v>
          </cell>
          <cell r="D330">
            <v>325</v>
          </cell>
          <cell r="E330" t="str">
            <v>Shehroon Masih</v>
          </cell>
          <cell r="F330" t="str">
            <v>Sanitation Attendant</v>
          </cell>
          <cell r="G330">
            <v>43678</v>
          </cell>
          <cell r="H330">
            <v>0</v>
          </cell>
          <cell r="I330" t="str">
            <v>SB Farooqabad</v>
          </cell>
          <cell r="J330" t="str">
            <v>06200010034394860016</v>
          </cell>
        </row>
        <row r="331">
          <cell r="B331">
            <v>3420140487419</v>
          </cell>
          <cell r="C331" t="str">
            <v>2nd Tranche</v>
          </cell>
          <cell r="D331">
            <v>326</v>
          </cell>
          <cell r="E331" t="str">
            <v>Irfan Masih</v>
          </cell>
          <cell r="F331" t="str">
            <v>Sanitation Attendant</v>
          </cell>
          <cell r="G331">
            <v>42064</v>
          </cell>
          <cell r="H331">
            <v>0</v>
          </cell>
          <cell r="I331" t="str">
            <v>SB Sialkot</v>
          </cell>
          <cell r="J331" t="str">
            <v>51040020045808070017</v>
          </cell>
        </row>
        <row r="332">
          <cell r="B332">
            <v>3420273938481</v>
          </cell>
          <cell r="C332" t="str">
            <v>2nd Tranche</v>
          </cell>
          <cell r="D332">
            <v>327</v>
          </cell>
          <cell r="E332" t="str">
            <v>Rafaqat Masih</v>
          </cell>
          <cell r="F332" t="str">
            <v>Sanitation Attendant</v>
          </cell>
          <cell r="G332">
            <v>42616</v>
          </cell>
          <cell r="H332">
            <v>0</v>
          </cell>
          <cell r="I332" t="str">
            <v>SB Gujrat</v>
          </cell>
          <cell r="J332" t="str">
            <v>51040020045733520017</v>
          </cell>
        </row>
        <row r="333">
          <cell r="B333">
            <v>4220192278855</v>
          </cell>
          <cell r="C333" t="str">
            <v>2nd Tranche</v>
          </cell>
          <cell r="D333">
            <v>328</v>
          </cell>
          <cell r="E333" t="str">
            <v>Arif Masih</v>
          </cell>
          <cell r="F333" t="str">
            <v>Sanitation Attendant</v>
          </cell>
          <cell r="G333">
            <v>42614</v>
          </cell>
          <cell r="H333">
            <v>0</v>
          </cell>
          <cell r="I333" t="str">
            <v>SB Hafizabad</v>
          </cell>
          <cell r="J333" t="str">
            <v>07940010046062240010</v>
          </cell>
        </row>
        <row r="334">
          <cell r="B334">
            <v>3430188808941</v>
          </cell>
          <cell r="C334" t="str">
            <v>2nd Tranche</v>
          </cell>
          <cell r="D334">
            <v>329</v>
          </cell>
          <cell r="E334" t="str">
            <v>Qaiser-ul-fanoos</v>
          </cell>
          <cell r="F334" t="str">
            <v>Sanitation Attendant</v>
          </cell>
          <cell r="G334">
            <v>42614</v>
          </cell>
          <cell r="H334">
            <v>0</v>
          </cell>
          <cell r="I334" t="str">
            <v>SB Hafizabad</v>
          </cell>
          <cell r="J334" t="str">
            <v>07940010046061800016</v>
          </cell>
        </row>
        <row r="335">
          <cell r="B335">
            <v>3430158335325</v>
          </cell>
          <cell r="C335" t="str">
            <v>2nd Tranche</v>
          </cell>
          <cell r="D335">
            <v>330</v>
          </cell>
          <cell r="E335" t="str">
            <v>Faisal Abbas</v>
          </cell>
          <cell r="F335" t="str">
            <v>Sanitation Attendant</v>
          </cell>
          <cell r="G335">
            <v>44317</v>
          </cell>
          <cell r="H335">
            <v>0</v>
          </cell>
          <cell r="I335" t="str">
            <v>SB Hafizabad</v>
          </cell>
          <cell r="J335" t="str">
            <v>07940010065380450010</v>
          </cell>
        </row>
        <row r="336">
          <cell r="B336">
            <v>3520169602402</v>
          </cell>
          <cell r="C336" t="str">
            <v>2nd Tranche</v>
          </cell>
          <cell r="D336">
            <v>331</v>
          </cell>
          <cell r="E336" t="str">
            <v>Sumaira Rukkas</v>
          </cell>
          <cell r="F336" t="str">
            <v>Sanitation Attendant</v>
          </cell>
          <cell r="G336">
            <v>41776</v>
          </cell>
          <cell r="H336">
            <v>0</v>
          </cell>
          <cell r="I336" t="str">
            <v>SB Harbanspura</v>
          </cell>
          <cell r="J336" t="str">
            <v>01260010045877420015</v>
          </cell>
        </row>
        <row r="337">
          <cell r="B337">
            <v>3520116463091</v>
          </cell>
          <cell r="C337" t="str">
            <v>2nd Tranche</v>
          </cell>
          <cell r="D337">
            <v>332</v>
          </cell>
          <cell r="E337" t="str">
            <v>Sohail Haroon</v>
          </cell>
          <cell r="F337" t="str">
            <v>Sanitation Attendant</v>
          </cell>
          <cell r="G337">
            <v>41741</v>
          </cell>
          <cell r="H337">
            <v>0</v>
          </cell>
          <cell r="I337" t="str">
            <v>SB Harbanspura</v>
          </cell>
          <cell r="J337" t="str">
            <v>01260010045872620018</v>
          </cell>
        </row>
        <row r="338">
          <cell r="B338">
            <v>3520182873411</v>
          </cell>
          <cell r="C338" t="str">
            <v>2nd Tranche</v>
          </cell>
          <cell r="D338">
            <v>333</v>
          </cell>
          <cell r="E338" t="str">
            <v>Irfan Masih</v>
          </cell>
          <cell r="F338" t="str">
            <v>Sanitation Attendant</v>
          </cell>
          <cell r="G338">
            <v>41773</v>
          </cell>
          <cell r="H338">
            <v>0</v>
          </cell>
          <cell r="I338" t="str">
            <v>SB Harbanspura</v>
          </cell>
          <cell r="J338" t="str">
            <v>01260010045822330018</v>
          </cell>
        </row>
        <row r="339">
          <cell r="B339">
            <v>3240287129267</v>
          </cell>
          <cell r="C339" t="str">
            <v>2nd Tranche</v>
          </cell>
          <cell r="D339">
            <v>334</v>
          </cell>
          <cell r="E339" t="str">
            <v>Naeem Abbas</v>
          </cell>
          <cell r="F339" t="str">
            <v>Sanitation Attendant</v>
          </cell>
          <cell r="G339">
            <v>42145</v>
          </cell>
          <cell r="H339">
            <v>0</v>
          </cell>
          <cell r="I339" t="str">
            <v>SB Jampur</v>
          </cell>
          <cell r="J339" t="str">
            <v>08210010045746800019</v>
          </cell>
        </row>
        <row r="340">
          <cell r="B340">
            <v>3320269704085</v>
          </cell>
          <cell r="C340" t="str">
            <v>2nd Tranche</v>
          </cell>
          <cell r="D340">
            <v>335</v>
          </cell>
          <cell r="E340" t="str">
            <v>Haroon Masih</v>
          </cell>
          <cell r="F340" t="str">
            <v>Sanitation Attendant</v>
          </cell>
          <cell r="G340">
            <v>43183</v>
          </cell>
          <cell r="H340">
            <v>0</v>
          </cell>
          <cell r="I340" t="str">
            <v>SB Jhang</v>
          </cell>
          <cell r="J340" t="str">
            <v>06480010051015330014</v>
          </cell>
        </row>
        <row r="341">
          <cell r="B341">
            <v>3320298363623</v>
          </cell>
          <cell r="C341" t="str">
            <v>2nd Tranche</v>
          </cell>
          <cell r="D341">
            <v>336</v>
          </cell>
          <cell r="E341" t="str">
            <v>Vishal Illyas</v>
          </cell>
          <cell r="F341" t="str">
            <v>Sanitation Attendant</v>
          </cell>
          <cell r="G341">
            <v>43183</v>
          </cell>
          <cell r="H341">
            <v>0</v>
          </cell>
          <cell r="I341" t="str">
            <v>SB Jhang</v>
          </cell>
          <cell r="J341" t="str">
            <v>01250010051025920010</v>
          </cell>
        </row>
        <row r="342">
          <cell r="B342">
            <v>3310075045466</v>
          </cell>
          <cell r="C342" t="str">
            <v>2nd Tranche</v>
          </cell>
          <cell r="D342">
            <v>337</v>
          </cell>
          <cell r="E342" t="str">
            <v xml:space="preserve">Kausar Bibi </v>
          </cell>
          <cell r="F342" t="str">
            <v>Sanitation Attendant</v>
          </cell>
          <cell r="G342">
            <v>42767</v>
          </cell>
          <cell r="H342">
            <v>0</v>
          </cell>
          <cell r="I342" t="str">
            <v>SB Jhang Road (FSD)</v>
          </cell>
          <cell r="J342" t="str">
            <v>00660010060006900011</v>
          </cell>
        </row>
        <row r="343">
          <cell r="B343">
            <v>3330120512246</v>
          </cell>
          <cell r="C343" t="str">
            <v>2nd Tranche</v>
          </cell>
          <cell r="D343">
            <v>338</v>
          </cell>
          <cell r="E343" t="str">
            <v xml:space="preserve">Rukhsana Bibi </v>
          </cell>
          <cell r="F343" t="str">
            <v>Sanitation Attendant</v>
          </cell>
          <cell r="G343">
            <v>42767</v>
          </cell>
          <cell r="H343">
            <v>0</v>
          </cell>
          <cell r="I343" t="str">
            <v>SB Jhang Road (FSD)</v>
          </cell>
          <cell r="J343" t="str">
            <v>00660010060006890010</v>
          </cell>
        </row>
        <row r="344">
          <cell r="B344">
            <v>3110415972137</v>
          </cell>
          <cell r="C344" t="str">
            <v>2nd Tranche</v>
          </cell>
          <cell r="D344">
            <v>339</v>
          </cell>
          <cell r="E344" t="str">
            <v xml:space="preserve">Muhammad Nadeem </v>
          </cell>
          <cell r="F344" t="str">
            <v>Sanitation Attendant</v>
          </cell>
          <cell r="G344">
            <v>42767</v>
          </cell>
          <cell r="H344">
            <v>0</v>
          </cell>
          <cell r="I344" t="str">
            <v>SB Jhang Road (FSD)</v>
          </cell>
          <cell r="J344" t="str">
            <v>04930010045912190019</v>
          </cell>
        </row>
        <row r="345">
          <cell r="B345">
            <v>3310279378317</v>
          </cell>
          <cell r="C345" t="str">
            <v>2nd Tranche</v>
          </cell>
          <cell r="D345">
            <v>340</v>
          </cell>
          <cell r="E345" t="str">
            <v xml:space="preserve">Irfan Masih </v>
          </cell>
          <cell r="F345" t="str">
            <v>Sanitation Attendant</v>
          </cell>
          <cell r="G345">
            <v>42767</v>
          </cell>
          <cell r="H345">
            <v>0</v>
          </cell>
          <cell r="I345" t="str">
            <v>SB Jhang Road (FSD)</v>
          </cell>
          <cell r="J345" t="str">
            <v>00660010060006880011</v>
          </cell>
        </row>
        <row r="346">
          <cell r="B346">
            <v>3310009954195</v>
          </cell>
          <cell r="C346" t="str">
            <v>2nd Tranche</v>
          </cell>
          <cell r="D346">
            <v>341</v>
          </cell>
          <cell r="E346" t="str">
            <v>Asif Masih</v>
          </cell>
          <cell r="F346" t="str">
            <v>Sanitation Attendant</v>
          </cell>
          <cell r="G346">
            <v>42767</v>
          </cell>
          <cell r="H346">
            <v>0</v>
          </cell>
          <cell r="I346" t="str">
            <v>SB Jhang Road (FSD)</v>
          </cell>
          <cell r="J346" t="str">
            <v>04660010045942060013</v>
          </cell>
        </row>
        <row r="347">
          <cell r="B347">
            <v>3310234835711</v>
          </cell>
          <cell r="C347" t="str">
            <v>2nd Tranche</v>
          </cell>
          <cell r="D347">
            <v>342</v>
          </cell>
          <cell r="E347" t="str">
            <v xml:space="preserve">Kashif Masih </v>
          </cell>
          <cell r="F347" t="str">
            <v>Sanitation Attendant</v>
          </cell>
          <cell r="G347">
            <v>42767</v>
          </cell>
          <cell r="H347">
            <v>0</v>
          </cell>
          <cell r="I347" t="str">
            <v>SB Jhang Road (FSD)</v>
          </cell>
          <cell r="J347" t="str">
            <v>08990010032653960014</v>
          </cell>
        </row>
        <row r="348">
          <cell r="B348">
            <v>3520269977151</v>
          </cell>
          <cell r="C348" t="str">
            <v>2nd Tranche</v>
          </cell>
          <cell r="D348">
            <v>343</v>
          </cell>
          <cell r="E348" t="str">
            <v>Fayaz Masih</v>
          </cell>
          <cell r="F348" t="str">
            <v>Sanitation Attendant</v>
          </cell>
          <cell r="G348">
            <v>42860</v>
          </cell>
          <cell r="H348">
            <v>0</v>
          </cell>
          <cell r="I348" t="str">
            <v>SB Johar Town</v>
          </cell>
          <cell r="J348" t="str">
            <v>02880010045914960012</v>
          </cell>
        </row>
        <row r="349">
          <cell r="B349">
            <v>3520208193419</v>
          </cell>
          <cell r="C349" t="str">
            <v>2nd Tranche</v>
          </cell>
          <cell r="D349">
            <v>344</v>
          </cell>
          <cell r="E349" t="str">
            <v xml:space="preserve">Shahzad </v>
          </cell>
          <cell r="F349" t="str">
            <v>Sanitation Attendant</v>
          </cell>
          <cell r="G349">
            <v>42387</v>
          </cell>
          <cell r="H349">
            <v>0</v>
          </cell>
          <cell r="I349" t="str">
            <v>SB Johar Town</v>
          </cell>
          <cell r="J349" t="str">
            <v>02880010045915050013</v>
          </cell>
        </row>
        <row r="350">
          <cell r="B350">
            <v>3520226474543</v>
          </cell>
          <cell r="C350" t="str">
            <v>2nd Tranche</v>
          </cell>
          <cell r="D350">
            <v>345</v>
          </cell>
          <cell r="E350" t="str">
            <v>Feryad Masih</v>
          </cell>
          <cell r="F350" t="str">
            <v>Sanitation Attendant</v>
          </cell>
          <cell r="G350">
            <v>42146</v>
          </cell>
          <cell r="H350">
            <v>0</v>
          </cell>
          <cell r="I350" t="str">
            <v>SB Johar Town</v>
          </cell>
          <cell r="J350" t="str">
            <v>02880010045972910017</v>
          </cell>
        </row>
        <row r="351">
          <cell r="B351">
            <v>3510242864881</v>
          </cell>
          <cell r="C351" t="str">
            <v>Salary Stop and Suspended 23-01-26</v>
          </cell>
          <cell r="D351">
            <v>346</v>
          </cell>
          <cell r="E351" t="str">
            <v xml:space="preserve">Shahzad Masih </v>
          </cell>
          <cell r="F351" t="str">
            <v>Sanitation Attendant</v>
          </cell>
          <cell r="G351">
            <v>41913</v>
          </cell>
          <cell r="H351">
            <v>0</v>
          </cell>
          <cell r="I351" t="str">
            <v>SB Kasur</v>
          </cell>
          <cell r="J351" t="str">
            <v>05390010045951010011</v>
          </cell>
        </row>
        <row r="352">
          <cell r="B352">
            <v>3510251260291</v>
          </cell>
          <cell r="C352" t="str">
            <v>2nd Tranche</v>
          </cell>
          <cell r="D352">
            <v>347</v>
          </cell>
          <cell r="E352" t="str">
            <v xml:space="preserve">Sadiq </v>
          </cell>
          <cell r="F352" t="str">
            <v>Sanitation Attendant</v>
          </cell>
          <cell r="G352">
            <v>42121</v>
          </cell>
          <cell r="H352">
            <v>0</v>
          </cell>
          <cell r="I352" t="str">
            <v>SB Kasur</v>
          </cell>
          <cell r="J352" t="str">
            <v>05390010046245180011</v>
          </cell>
        </row>
        <row r="353">
          <cell r="B353">
            <v>3510206794405</v>
          </cell>
          <cell r="C353" t="str">
            <v>2nd Tranche</v>
          </cell>
          <cell r="D353">
            <v>348</v>
          </cell>
          <cell r="E353" t="str">
            <v>Allah Wasaya</v>
          </cell>
          <cell r="F353" t="str">
            <v>Sanitation Attendant</v>
          </cell>
          <cell r="G353">
            <v>42614</v>
          </cell>
          <cell r="H353">
            <v>0</v>
          </cell>
          <cell r="I353" t="str">
            <v>SB Kasur</v>
          </cell>
          <cell r="J353" t="str">
            <v>05390010045918770020</v>
          </cell>
        </row>
        <row r="354">
          <cell r="B354">
            <v>3820116407495</v>
          </cell>
          <cell r="C354" t="str">
            <v>2nd Tranche</v>
          </cell>
          <cell r="D354">
            <v>349</v>
          </cell>
          <cell r="E354" t="str">
            <v>Asif Masih</v>
          </cell>
          <cell r="F354" t="str">
            <v>Sanitation Attendant</v>
          </cell>
          <cell r="G354">
            <v>42971</v>
          </cell>
          <cell r="H354">
            <v>0</v>
          </cell>
          <cell r="I354" t="str">
            <v>SB Khushab</v>
          </cell>
          <cell r="J354" t="str">
            <v>01220010046567930013</v>
          </cell>
        </row>
        <row r="355">
          <cell r="B355">
            <v>3840385629619</v>
          </cell>
          <cell r="C355" t="str">
            <v>2nd Tranche</v>
          </cell>
          <cell r="D355">
            <v>350</v>
          </cell>
          <cell r="E355" t="str">
            <v>Haroon Masih</v>
          </cell>
          <cell r="F355" t="str">
            <v>Sanitation Attendant</v>
          </cell>
          <cell r="G355">
            <v>42971</v>
          </cell>
          <cell r="H355">
            <v>0</v>
          </cell>
          <cell r="I355" t="str">
            <v>SB Khushab</v>
          </cell>
          <cell r="J355" t="str">
            <v>01220010046547560013</v>
          </cell>
        </row>
        <row r="356">
          <cell r="B356">
            <v>3220336094571</v>
          </cell>
          <cell r="C356" t="str">
            <v>2nd Tranche</v>
          </cell>
          <cell r="D356">
            <v>351</v>
          </cell>
          <cell r="E356" t="str">
            <v>Muhammad Shahbaz</v>
          </cell>
          <cell r="F356" t="str">
            <v>Sanitation Attendant</v>
          </cell>
          <cell r="G356">
            <v>42615</v>
          </cell>
          <cell r="H356">
            <v>0</v>
          </cell>
          <cell r="I356" t="str">
            <v>SB Layyah</v>
          </cell>
          <cell r="J356" t="str">
            <v>51400020045717150015</v>
          </cell>
        </row>
        <row r="357">
          <cell r="B357">
            <v>3620371488901</v>
          </cell>
          <cell r="C357" t="str">
            <v>2nd Tranche</v>
          </cell>
          <cell r="D357">
            <v>352</v>
          </cell>
          <cell r="E357" t="str">
            <v> Bilal Hussain</v>
          </cell>
          <cell r="F357" t="str">
            <v>Sanitation Attendant</v>
          </cell>
          <cell r="G357">
            <v>43678</v>
          </cell>
          <cell r="H357">
            <v>0</v>
          </cell>
          <cell r="I357" t="str">
            <v>SB Lodhran</v>
          </cell>
          <cell r="J357" t="str">
            <v>08390010052172960017</v>
          </cell>
        </row>
        <row r="358">
          <cell r="B358">
            <v>3620376593425</v>
          </cell>
          <cell r="C358" t="str">
            <v>2nd Tranche</v>
          </cell>
          <cell r="D358">
            <v>353</v>
          </cell>
          <cell r="E358" t="str">
            <v>Irfan Masih</v>
          </cell>
          <cell r="F358" t="str">
            <v>Sanitation Attendant</v>
          </cell>
          <cell r="G358">
            <v>44317</v>
          </cell>
          <cell r="H358">
            <v>0</v>
          </cell>
          <cell r="I358" t="str">
            <v>SB Lodhran</v>
          </cell>
          <cell r="J358" t="str">
            <v>08390010059610340010</v>
          </cell>
        </row>
        <row r="359">
          <cell r="B359">
            <v>3310248185475</v>
          </cell>
          <cell r="C359" t="str">
            <v>2nd Tranche</v>
          </cell>
          <cell r="D359">
            <v>354</v>
          </cell>
          <cell r="E359" t="str">
            <v xml:space="preserve">Adnan Masih </v>
          </cell>
          <cell r="F359" t="str">
            <v>Sanitation Attendant</v>
          </cell>
          <cell r="G359">
            <v>42767</v>
          </cell>
          <cell r="H359">
            <v>0</v>
          </cell>
          <cell r="I359" t="str">
            <v>SB Millat Road (FSD)</v>
          </cell>
          <cell r="J359" t="str">
            <v>00660010060006760010</v>
          </cell>
        </row>
        <row r="360">
          <cell r="B360">
            <v>3510250046373</v>
          </cell>
          <cell r="C360" t="str">
            <v>2nd Tranche</v>
          </cell>
          <cell r="D360">
            <v>355</v>
          </cell>
          <cell r="E360" t="str">
            <v>Irfan Masih</v>
          </cell>
          <cell r="F360" t="str">
            <v>Sanitation Attendant</v>
          </cell>
          <cell r="G360">
            <v>41834</v>
          </cell>
          <cell r="H360">
            <v>0</v>
          </cell>
          <cell r="I360" t="str">
            <v>SB Raiwind</v>
          </cell>
          <cell r="J360" t="str">
            <v>03910010045925900010</v>
          </cell>
        </row>
        <row r="361">
          <cell r="B361">
            <v>3520291802733</v>
          </cell>
          <cell r="C361" t="str">
            <v>2nd Tranche</v>
          </cell>
          <cell r="D361">
            <v>356</v>
          </cell>
          <cell r="E361" t="str">
            <v>Sharafat Masih</v>
          </cell>
          <cell r="F361" t="str">
            <v>Sanitation Attendant</v>
          </cell>
          <cell r="G361">
            <v>42180</v>
          </cell>
          <cell r="H361">
            <v>0</v>
          </cell>
          <cell r="I361" t="str">
            <v>SB Raiwind</v>
          </cell>
          <cell r="J361" t="str">
            <v>03910010045901540011</v>
          </cell>
        </row>
        <row r="362">
          <cell r="B362">
            <v>3510406300276</v>
          </cell>
          <cell r="C362" t="str">
            <v>2nd Tranche</v>
          </cell>
          <cell r="D362">
            <v>357</v>
          </cell>
          <cell r="E362" t="str">
            <v>Rani Bibi</v>
          </cell>
          <cell r="F362" t="str">
            <v>Sanitation Attendant</v>
          </cell>
          <cell r="G362">
            <v>42466</v>
          </cell>
          <cell r="H362">
            <v>0</v>
          </cell>
          <cell r="I362" t="str">
            <v>SB Raiwind</v>
          </cell>
          <cell r="J362" t="str">
            <v>03910010045916310010</v>
          </cell>
        </row>
        <row r="363">
          <cell r="B363">
            <v>3520207392951</v>
          </cell>
          <cell r="C363" t="str">
            <v>5th Tranche</v>
          </cell>
          <cell r="D363">
            <v>358</v>
          </cell>
          <cell r="E363" t="str">
            <v>kashif Masih</v>
          </cell>
          <cell r="F363" t="str">
            <v>Sanitation Attendant</v>
          </cell>
          <cell r="G363">
            <v>43678</v>
          </cell>
          <cell r="H363">
            <v>0</v>
          </cell>
          <cell r="I363" t="str">
            <v>SB Sher Sha Colony</v>
          </cell>
          <cell r="J363" t="str">
            <v>03910010060657370014</v>
          </cell>
        </row>
        <row r="364">
          <cell r="B364">
            <v>3520224919761</v>
          </cell>
          <cell r="C364" t="str">
            <v>2nd Tranche</v>
          </cell>
          <cell r="D364">
            <v>359</v>
          </cell>
          <cell r="E364" t="str">
            <v>Salamat Masih</v>
          </cell>
          <cell r="F364" t="str">
            <v>Sanitation Attendant</v>
          </cell>
          <cell r="G364">
            <v>44317</v>
          </cell>
          <cell r="H364">
            <v>0</v>
          </cell>
          <cell r="I364" t="str">
            <v>SB Raiwind</v>
          </cell>
          <cell r="J364" t="str">
            <v>03910010080234310010</v>
          </cell>
        </row>
        <row r="365">
          <cell r="B365">
            <v>3520257275707</v>
          </cell>
          <cell r="C365" t="str">
            <v>2nd Tranche</v>
          </cell>
          <cell r="D365">
            <v>360</v>
          </cell>
          <cell r="E365" t="str">
            <v>Saghir Masih</v>
          </cell>
          <cell r="F365" t="str">
            <v>Sanitation Attendant</v>
          </cell>
          <cell r="G365">
            <v>44317</v>
          </cell>
          <cell r="H365">
            <v>0</v>
          </cell>
          <cell r="I365" t="str">
            <v>SB Raiwind</v>
          </cell>
          <cell r="J365" t="str">
            <v>03910010080283900014</v>
          </cell>
        </row>
        <row r="366">
          <cell r="B366">
            <v>3740557735889</v>
          </cell>
          <cell r="C366" t="str">
            <v>2nd Tranche</v>
          </cell>
          <cell r="D366">
            <v>361</v>
          </cell>
          <cell r="E366" t="str">
            <v xml:space="preserve">Qaiser </v>
          </cell>
          <cell r="F366" t="str">
            <v>Sanitation Attendant</v>
          </cell>
          <cell r="G366">
            <v>42861</v>
          </cell>
          <cell r="H366">
            <v>0</v>
          </cell>
          <cell r="I366" t="str">
            <v>SB Rawalpindi</v>
          </cell>
          <cell r="J366" t="str">
            <v>07550010046312790019</v>
          </cell>
        </row>
        <row r="367">
          <cell r="B367">
            <v>3520208908365</v>
          </cell>
          <cell r="C367" t="str">
            <v>2nd Tranche</v>
          </cell>
          <cell r="D367">
            <v>362</v>
          </cell>
          <cell r="E367" t="str">
            <v xml:space="preserve">Pitras </v>
          </cell>
          <cell r="F367" t="str">
            <v>Sanitation Attendant</v>
          </cell>
          <cell r="G367">
            <v>41978</v>
          </cell>
          <cell r="H367">
            <v>0</v>
          </cell>
          <cell r="I367" t="str">
            <v>SB Sabzazaar</v>
          </cell>
          <cell r="J367" t="str">
            <v>09410010045978700010</v>
          </cell>
        </row>
        <row r="368">
          <cell r="B368">
            <v>3650208925845</v>
          </cell>
          <cell r="C368" t="str">
            <v>2nd Tranche</v>
          </cell>
          <cell r="D368">
            <v>363</v>
          </cell>
          <cell r="E368" t="str">
            <v>Shahbaz</v>
          </cell>
          <cell r="F368" t="str">
            <v>Sanitation Attendant</v>
          </cell>
          <cell r="G368">
            <v>42861</v>
          </cell>
          <cell r="H368">
            <v>0</v>
          </cell>
          <cell r="I368" t="str">
            <v>SB Sahiwal</v>
          </cell>
          <cell r="J368" t="str">
            <v>03530010045881940018</v>
          </cell>
        </row>
        <row r="369">
          <cell r="B369">
            <v>3310254059237</v>
          </cell>
          <cell r="C369" t="str">
            <v>Leaver</v>
          </cell>
          <cell r="D369">
            <v>364</v>
          </cell>
          <cell r="E369" t="str">
            <v xml:space="preserve">Adnan Masih </v>
          </cell>
          <cell r="F369" t="str">
            <v>Sanitation Attendant</v>
          </cell>
          <cell r="G369">
            <v>43088</v>
          </cell>
          <cell r="H369">
            <v>0</v>
          </cell>
          <cell r="I369" t="str">
            <v>SB Jhang Road (FSD)</v>
          </cell>
          <cell r="J369" t="str">
            <v>03530010046406800010</v>
          </cell>
        </row>
        <row r="370">
          <cell r="B370">
            <v>3660365924783</v>
          </cell>
          <cell r="C370" t="str">
            <v>2nd Tranche</v>
          </cell>
          <cell r="D370">
            <v>365</v>
          </cell>
          <cell r="E370" t="str">
            <v>Muhammad Aqib</v>
          </cell>
          <cell r="F370" t="str">
            <v>Sanitation Attendant</v>
          </cell>
          <cell r="G370">
            <v>43678</v>
          </cell>
          <cell r="H370">
            <v>0</v>
          </cell>
          <cell r="I370" t="str">
            <v>SB Vehari</v>
          </cell>
          <cell r="J370" t="str">
            <v>08370010061438150012</v>
          </cell>
        </row>
        <row r="371">
          <cell r="B371">
            <v>3650205924041</v>
          </cell>
          <cell r="C371" t="str">
            <v>2nd Tranche</v>
          </cell>
          <cell r="D371">
            <v>366</v>
          </cell>
          <cell r="E371" t="str">
            <v>Amir Masih</v>
          </cell>
          <cell r="F371" t="str">
            <v>Sanitation Attendant</v>
          </cell>
          <cell r="G371">
            <v>44317</v>
          </cell>
          <cell r="H371">
            <v>0</v>
          </cell>
          <cell r="I371" t="str">
            <v>SB Sahiwal</v>
          </cell>
          <cell r="J371" t="str">
            <v>03530010075002130012</v>
          </cell>
        </row>
        <row r="372">
          <cell r="B372">
            <v>3840360822231</v>
          </cell>
          <cell r="C372" t="str">
            <v>2nd Tranche</v>
          </cell>
          <cell r="D372">
            <v>367</v>
          </cell>
          <cell r="E372" t="str">
            <v>Sohail Masih</v>
          </cell>
          <cell r="F372" t="str">
            <v>Sanitation Attendant</v>
          </cell>
          <cell r="G372">
            <v>41736</v>
          </cell>
          <cell r="H372">
            <v>0</v>
          </cell>
          <cell r="I372" t="str">
            <v>SB Sargodha</v>
          </cell>
          <cell r="J372" t="str">
            <v>07980010045751920038</v>
          </cell>
        </row>
        <row r="373">
          <cell r="B373">
            <v>3840354167269</v>
          </cell>
          <cell r="C373" t="str">
            <v>Suspended 18-12-25</v>
          </cell>
          <cell r="D373">
            <v>368</v>
          </cell>
          <cell r="E373" t="str">
            <v>Shahzad Masih</v>
          </cell>
          <cell r="F373" t="str">
            <v>Sanitation Attendant</v>
          </cell>
          <cell r="G373">
            <v>41579</v>
          </cell>
          <cell r="H373">
            <v>0</v>
          </cell>
          <cell r="I373" t="str">
            <v>SB Sargodha</v>
          </cell>
          <cell r="J373" t="str">
            <v>07980010045959290016</v>
          </cell>
        </row>
        <row r="374">
          <cell r="B374">
            <v>3840116841971</v>
          </cell>
          <cell r="C374" t="str">
            <v>2nd Tranche</v>
          </cell>
          <cell r="D374">
            <v>369</v>
          </cell>
          <cell r="E374" t="str">
            <v>Javid Masih</v>
          </cell>
          <cell r="F374" t="str">
            <v>Sanitation Attendant</v>
          </cell>
          <cell r="G374">
            <v>41472</v>
          </cell>
          <cell r="H374">
            <v>0</v>
          </cell>
          <cell r="I374" t="str">
            <v>SB Sargodha</v>
          </cell>
          <cell r="J374" t="str">
            <v>07980010045867520010</v>
          </cell>
        </row>
        <row r="375">
          <cell r="B375">
            <v>3520296797306</v>
          </cell>
          <cell r="C375" t="str">
            <v>2nd Tranche</v>
          </cell>
          <cell r="D375">
            <v>370</v>
          </cell>
          <cell r="E375" t="str">
            <v>Najma Bibi</v>
          </cell>
          <cell r="F375" t="str">
            <v>Sanitation Attendant</v>
          </cell>
          <cell r="G375" t="str">
            <v>16-08-2017</v>
          </cell>
          <cell r="H375">
            <v>0</v>
          </cell>
          <cell r="I375" t="str">
            <v>SB Sher Sha Colony</v>
          </cell>
          <cell r="J375" t="str">
            <v>13860010046485770028</v>
          </cell>
        </row>
        <row r="376">
          <cell r="B376">
            <v>3520253869215</v>
          </cell>
          <cell r="C376" t="str">
            <v>2nd Tranche</v>
          </cell>
          <cell r="D376">
            <v>371</v>
          </cell>
          <cell r="E376" t="str">
            <v>Farooq Masih</v>
          </cell>
          <cell r="F376" t="str">
            <v>Sanitation Attendant</v>
          </cell>
          <cell r="G376">
            <v>42237</v>
          </cell>
          <cell r="H376">
            <v>0</v>
          </cell>
          <cell r="I376" t="str">
            <v>SB Johar Town</v>
          </cell>
          <cell r="J376" t="str">
            <v>13860010045918550027</v>
          </cell>
        </row>
        <row r="377">
          <cell r="B377">
            <v>3460320850753</v>
          </cell>
          <cell r="C377" t="str">
            <v>2nd Tranche</v>
          </cell>
          <cell r="D377">
            <v>372</v>
          </cell>
          <cell r="E377" t="str">
            <v>Tanveer</v>
          </cell>
          <cell r="F377" t="str">
            <v>Sanitation Attendant</v>
          </cell>
          <cell r="G377">
            <v>41974</v>
          </cell>
          <cell r="H377">
            <v>0</v>
          </cell>
          <cell r="I377" t="str">
            <v>SB Sialkot</v>
          </cell>
          <cell r="J377" t="str">
            <v>09140010045707060013</v>
          </cell>
        </row>
        <row r="378">
          <cell r="B378">
            <v>3330361908704</v>
          </cell>
          <cell r="C378" t="str">
            <v>2nd Tranche</v>
          </cell>
          <cell r="D378">
            <v>373</v>
          </cell>
          <cell r="E378" t="str">
            <v>Khalida</v>
          </cell>
          <cell r="F378" t="str">
            <v>Sanitation Attendant</v>
          </cell>
          <cell r="G378">
            <v>43358</v>
          </cell>
          <cell r="H378">
            <v>0</v>
          </cell>
          <cell r="I378" t="str">
            <v>SB Toba Tek Singh</v>
          </cell>
          <cell r="J378" t="str">
            <v>04060010055227710019</v>
          </cell>
        </row>
        <row r="379">
          <cell r="B379">
            <v>3330352862707</v>
          </cell>
          <cell r="C379" t="str">
            <v>2nd Tranche</v>
          </cell>
          <cell r="D379">
            <v>374</v>
          </cell>
          <cell r="E379" t="str">
            <v>Abid Masih</v>
          </cell>
          <cell r="F379" t="str">
            <v>Sanitation Attendant</v>
          </cell>
          <cell r="G379">
            <v>44317</v>
          </cell>
          <cell r="H379">
            <v>0</v>
          </cell>
          <cell r="I379" t="str">
            <v>SB Toba Tek Singh</v>
          </cell>
          <cell r="J379" t="str">
            <v>03980010078412980019</v>
          </cell>
        </row>
        <row r="380">
          <cell r="B380">
            <v>3520268662347</v>
          </cell>
          <cell r="C380" t="str">
            <v>2nd Tranche</v>
          </cell>
          <cell r="D380">
            <v>375</v>
          </cell>
          <cell r="E380" t="str">
            <v>Majeed Masih</v>
          </cell>
          <cell r="F380" t="str">
            <v>Sanitation Attendant</v>
          </cell>
          <cell r="G380">
            <v>41978</v>
          </cell>
          <cell r="H380">
            <v>0</v>
          </cell>
          <cell r="I380" t="str">
            <v>SB Thokar</v>
          </cell>
          <cell r="J380" t="str">
            <v>09410010045977840014</v>
          </cell>
        </row>
        <row r="381">
          <cell r="B381">
            <v>3520263793951</v>
          </cell>
          <cell r="C381" t="str">
            <v>2nd Tranche</v>
          </cell>
          <cell r="D381">
            <v>376</v>
          </cell>
          <cell r="E381" t="str">
            <v>Allah Rakha</v>
          </cell>
          <cell r="F381" t="str">
            <v>Sanitation Attendant</v>
          </cell>
          <cell r="G381">
            <v>41808</v>
          </cell>
          <cell r="H381">
            <v>0</v>
          </cell>
          <cell r="I381" t="str">
            <v>SB Township</v>
          </cell>
          <cell r="J381" t="str">
            <v>01530010045871320015</v>
          </cell>
        </row>
        <row r="382">
          <cell r="B382">
            <v>3520211843850</v>
          </cell>
          <cell r="C382" t="str">
            <v>2nd Tranche</v>
          </cell>
          <cell r="D382">
            <v>377</v>
          </cell>
          <cell r="E382" t="str">
            <v>Bushra Bibi</v>
          </cell>
          <cell r="F382" t="str">
            <v>Sanitation Attendant</v>
          </cell>
          <cell r="G382">
            <v>41638</v>
          </cell>
          <cell r="H382">
            <v>0</v>
          </cell>
          <cell r="I382" t="str">
            <v>SB Township</v>
          </cell>
          <cell r="J382" t="str">
            <v>01530010045837520015</v>
          </cell>
        </row>
        <row r="383">
          <cell r="B383">
            <v>3520210450507</v>
          </cell>
          <cell r="C383" t="str">
            <v>2nd Tranche</v>
          </cell>
          <cell r="D383">
            <v>378</v>
          </cell>
          <cell r="E383" t="str">
            <v xml:space="preserve">Nazim </v>
          </cell>
          <cell r="F383" t="str">
            <v>Sanitation Attendant</v>
          </cell>
          <cell r="G383">
            <v>41453</v>
          </cell>
          <cell r="H383">
            <v>0</v>
          </cell>
          <cell r="I383" t="str">
            <v>SB Wahdat Colony</v>
          </cell>
          <cell r="J383" t="str">
            <v>01530010045912390014</v>
          </cell>
        </row>
        <row r="384">
          <cell r="B384">
            <v>3520125429195</v>
          </cell>
          <cell r="C384" t="str">
            <v>2nd Tranche</v>
          </cell>
          <cell r="D384">
            <v>379</v>
          </cell>
          <cell r="E384" t="str">
            <v>Qasim Bhatti</v>
          </cell>
          <cell r="F384" t="str">
            <v>Sanitation Attendant</v>
          </cell>
          <cell r="G384">
            <v>42861</v>
          </cell>
          <cell r="H384">
            <v>0</v>
          </cell>
          <cell r="I384" t="str">
            <v>SB Township</v>
          </cell>
          <cell r="J384" t="str">
            <v>01530010045889640016</v>
          </cell>
        </row>
        <row r="385">
          <cell r="B385">
            <v>3660396987793</v>
          </cell>
          <cell r="C385" t="str">
            <v>2nd Tranche</v>
          </cell>
          <cell r="D385">
            <v>380</v>
          </cell>
          <cell r="E385" t="str">
            <v>Adil Cical</v>
          </cell>
          <cell r="F385" t="str">
            <v>Sanitation Attendant</v>
          </cell>
          <cell r="G385">
            <v>43678</v>
          </cell>
          <cell r="H385">
            <v>0</v>
          </cell>
          <cell r="I385" t="str">
            <v>SB Vehari</v>
          </cell>
          <cell r="J385" t="str">
            <v>08370010060578820013</v>
          </cell>
        </row>
        <row r="386">
          <cell r="B386">
            <v>3520274902347</v>
          </cell>
          <cell r="C386" t="str">
            <v>2nd Tranche</v>
          </cell>
          <cell r="D386">
            <v>381</v>
          </cell>
          <cell r="E386" t="str">
            <v>Irfan Bhutta</v>
          </cell>
          <cell r="F386" t="str">
            <v>Sanitation Attendant</v>
          </cell>
          <cell r="G386">
            <v>42528</v>
          </cell>
          <cell r="H386">
            <v>0</v>
          </cell>
          <cell r="I386" t="str">
            <v>SB Sabzazaar</v>
          </cell>
          <cell r="J386" t="str">
            <v>05400010045894200014</v>
          </cell>
        </row>
        <row r="387">
          <cell r="B387">
            <v>3840355056571</v>
          </cell>
          <cell r="C387" t="str">
            <v>2nd Tranche</v>
          </cell>
          <cell r="D387">
            <v>382</v>
          </cell>
          <cell r="E387" t="str">
            <v>Karamat Masih</v>
          </cell>
          <cell r="F387" t="str">
            <v>Sanitation Attendant</v>
          </cell>
          <cell r="G387">
            <v>42615</v>
          </cell>
          <cell r="H387">
            <v>0</v>
          </cell>
          <cell r="I387" t="str">
            <v>SB Wahdat Colony</v>
          </cell>
          <cell r="J387" t="str">
            <v>06880010045877890010</v>
          </cell>
        </row>
        <row r="388">
          <cell r="B388">
            <v>3520206219787</v>
          </cell>
          <cell r="C388" t="str">
            <v>2nd Tranche</v>
          </cell>
          <cell r="D388">
            <v>383</v>
          </cell>
          <cell r="E388" t="str">
            <v>Petter Labbah</v>
          </cell>
          <cell r="F388" t="str">
            <v>Sanitation Attendant</v>
          </cell>
          <cell r="G388">
            <v>42616</v>
          </cell>
          <cell r="H388">
            <v>0</v>
          </cell>
          <cell r="I388" t="str">
            <v>SB Wahdat Colony</v>
          </cell>
          <cell r="J388" t="str">
            <v>06880010045872030010</v>
          </cell>
        </row>
        <row r="389">
          <cell r="B389">
            <v>3840371167323</v>
          </cell>
          <cell r="C389" t="str">
            <v>2nd Tranche</v>
          </cell>
          <cell r="D389">
            <v>384</v>
          </cell>
          <cell r="E389" t="str">
            <v>Sajjad Masih</v>
          </cell>
          <cell r="F389" t="str">
            <v>Sanitation Attendant</v>
          </cell>
          <cell r="G389">
            <v>44317</v>
          </cell>
          <cell r="H389">
            <v>0</v>
          </cell>
          <cell r="I389" t="str">
            <v>SB Wahdat Colony</v>
          </cell>
          <cell r="J389" t="str">
            <v>07040010065023150022</v>
          </cell>
        </row>
        <row r="390">
          <cell r="B390">
            <v>3330358802665</v>
          </cell>
          <cell r="C390" t="str">
            <v>2nd Tranche</v>
          </cell>
          <cell r="D390">
            <v>385</v>
          </cell>
          <cell r="E390" t="str">
            <v>Saleem Masih</v>
          </cell>
          <cell r="F390" t="str">
            <v>Sanitation Attendant</v>
          </cell>
          <cell r="G390">
            <v>42036</v>
          </cell>
          <cell r="H390">
            <v>0</v>
          </cell>
          <cell r="I390" t="str">
            <v>SB Toba Tek Singh</v>
          </cell>
          <cell r="J390" t="str">
            <v>04060010046398650012</v>
          </cell>
        </row>
        <row r="391">
          <cell r="B391">
            <v>3410173713697</v>
          </cell>
          <cell r="C391" t="str">
            <v>3rd Tranche</v>
          </cell>
          <cell r="D391">
            <v>386</v>
          </cell>
          <cell r="E391" t="str">
            <v>Nauman Qadeer</v>
          </cell>
          <cell r="F391" t="str">
            <v>Sahulat Bazaar Supervisor</v>
          </cell>
          <cell r="G391">
            <v>44652</v>
          </cell>
          <cell r="H391">
            <v>0</v>
          </cell>
          <cell r="I391" t="str">
            <v>SB Wahdat Colony</v>
          </cell>
          <cell r="J391" t="str">
            <v>51580020081038970013</v>
          </cell>
        </row>
        <row r="392">
          <cell r="B392">
            <v>3510185113255</v>
          </cell>
          <cell r="C392" t="str">
            <v>Suspended 22-02-26</v>
          </cell>
          <cell r="D392">
            <v>387</v>
          </cell>
          <cell r="E392" t="str">
            <v>Naveed Anjum</v>
          </cell>
          <cell r="F392" t="str">
            <v>Sahulat Bazaar Incharge</v>
          </cell>
          <cell r="G392">
            <v>44652</v>
          </cell>
          <cell r="H392">
            <v>0</v>
          </cell>
          <cell r="I392" t="str">
            <v>SB Harbanspura</v>
          </cell>
          <cell r="J392" t="str">
            <v>04770010083010330015</v>
          </cell>
        </row>
        <row r="393">
          <cell r="B393">
            <v>3520260848819</v>
          </cell>
          <cell r="C393" t="str">
            <v>3rd Tranche</v>
          </cell>
          <cell r="D393">
            <v>388</v>
          </cell>
          <cell r="E393" t="str">
            <v>Muhammad Irfan</v>
          </cell>
          <cell r="F393" t="str">
            <v>Monitoring Supervisor</v>
          </cell>
          <cell r="G393">
            <v>44652</v>
          </cell>
          <cell r="H393">
            <v>0</v>
          </cell>
          <cell r="I393" t="str">
            <v>SB Wahdat Colony</v>
          </cell>
          <cell r="J393" t="str">
            <v>06480010084584630012</v>
          </cell>
        </row>
        <row r="394">
          <cell r="B394">
            <v>3310465592777</v>
          </cell>
          <cell r="C394" t="str">
            <v>3rd Tranche</v>
          </cell>
          <cell r="D394">
            <v>389</v>
          </cell>
          <cell r="E394" t="str">
            <v>Ahmad Ali</v>
          </cell>
          <cell r="F394" t="str">
            <v>Sahulat Bazaar Supervisor</v>
          </cell>
          <cell r="G394">
            <v>44652</v>
          </cell>
          <cell r="H394">
            <v>0</v>
          </cell>
          <cell r="I394" t="str">
            <v>SB Jarranwala</v>
          </cell>
          <cell r="J394" t="str">
            <v>03980010092855290014</v>
          </cell>
        </row>
        <row r="395">
          <cell r="B395">
            <v>3620317654657</v>
          </cell>
          <cell r="C395" t="str">
            <v>Resigned 05-05-26</v>
          </cell>
          <cell r="D395">
            <v>390</v>
          </cell>
          <cell r="E395" t="str">
            <v>Muhammad Saeed</v>
          </cell>
          <cell r="F395" t="str">
            <v>Sahulat Bazaar Supervisor</v>
          </cell>
          <cell r="G395">
            <v>44652</v>
          </cell>
          <cell r="H395">
            <v>0</v>
          </cell>
          <cell r="I395" t="str">
            <v>SB Lodhran</v>
          </cell>
          <cell r="J395" t="str">
            <v>08390010085632400013</v>
          </cell>
        </row>
        <row r="396">
          <cell r="B396">
            <v>3540258307177</v>
          </cell>
          <cell r="C396" t="str">
            <v>3rd Tranche</v>
          </cell>
          <cell r="D396">
            <v>391</v>
          </cell>
          <cell r="E396" t="str">
            <v>Ali Husnain</v>
          </cell>
          <cell r="F396" t="str">
            <v>Sahulat Bazaar Supervisor</v>
          </cell>
          <cell r="G396">
            <v>44652</v>
          </cell>
          <cell r="H396">
            <v>0</v>
          </cell>
          <cell r="I396" t="str">
            <v>SB Raiwind</v>
          </cell>
          <cell r="J396" t="str">
            <v>00620010048308010013</v>
          </cell>
        </row>
        <row r="397">
          <cell r="B397">
            <v>3520135397073</v>
          </cell>
          <cell r="C397" t="str">
            <v>3rd Tranche</v>
          </cell>
          <cell r="D397">
            <v>392</v>
          </cell>
          <cell r="E397" t="str">
            <v>Hamza Talib</v>
          </cell>
          <cell r="F397" t="str">
            <v>Sahulat Bazaar Supervisor</v>
          </cell>
          <cell r="G397">
            <v>44652</v>
          </cell>
          <cell r="H397">
            <v>0</v>
          </cell>
          <cell r="I397" t="str">
            <v>SB Jampur</v>
          </cell>
          <cell r="J397" t="str">
            <v>00720010081731220017</v>
          </cell>
        </row>
        <row r="398">
          <cell r="B398">
            <v>3540167536479</v>
          </cell>
          <cell r="C398" t="str">
            <v>3rd Tranche</v>
          </cell>
          <cell r="D398">
            <v>393</v>
          </cell>
          <cell r="E398" t="str">
            <v>Umer Afzal</v>
          </cell>
          <cell r="F398" t="str">
            <v>Sahulat Bazaar Supervisor</v>
          </cell>
          <cell r="G398">
            <v>44652</v>
          </cell>
          <cell r="H398">
            <v>0</v>
          </cell>
          <cell r="I398" t="str">
            <v>SB Harbanspura</v>
          </cell>
          <cell r="J398" t="str">
            <v>11200010083638240014</v>
          </cell>
        </row>
        <row r="399">
          <cell r="B399">
            <v>3650249841357</v>
          </cell>
          <cell r="C399" t="str">
            <v>3rd Tranche</v>
          </cell>
          <cell r="D399">
            <v>394</v>
          </cell>
          <cell r="E399" t="str">
            <v>Zain Ahmad</v>
          </cell>
          <cell r="F399" t="str">
            <v>Sub Engineer (Maintenance)</v>
          </cell>
          <cell r="G399">
            <v>44652</v>
          </cell>
          <cell r="H399">
            <v>0</v>
          </cell>
          <cell r="I399" t="str">
            <v>SB Taunsa</v>
          </cell>
          <cell r="J399" t="str">
            <v>03530010094536780014</v>
          </cell>
        </row>
        <row r="400">
          <cell r="B400">
            <v>3650121892727</v>
          </cell>
          <cell r="C400" t="str">
            <v>Suspended 13-05-26</v>
          </cell>
          <cell r="D400">
            <v>395</v>
          </cell>
          <cell r="E400" t="str">
            <v>Muhammad Mubashar Manzoor</v>
          </cell>
          <cell r="F400" t="str">
            <v>Sahulat Bazaar Incharge</v>
          </cell>
          <cell r="G400">
            <v>44677</v>
          </cell>
          <cell r="H400">
            <v>0</v>
          </cell>
          <cell r="I400" t="str">
            <v>SB Township</v>
          </cell>
          <cell r="J400" t="str">
            <v>04750010094896470016</v>
          </cell>
        </row>
        <row r="401">
          <cell r="B401">
            <v>3210296331441</v>
          </cell>
          <cell r="C401" t="str">
            <v>3rd Tranche</v>
          </cell>
          <cell r="D401">
            <v>396</v>
          </cell>
          <cell r="E401" t="str">
            <v>Ghulam Qadir</v>
          </cell>
          <cell r="F401" t="str">
            <v>Sahulat Bazaar Supervisor</v>
          </cell>
          <cell r="G401">
            <v>44677</v>
          </cell>
          <cell r="H401">
            <v>0</v>
          </cell>
          <cell r="I401" t="str">
            <v>SB Muzaffargarh</v>
          </cell>
          <cell r="J401" t="str">
            <v>09630010094578090016</v>
          </cell>
        </row>
        <row r="402">
          <cell r="B402">
            <v>3110191662981</v>
          </cell>
          <cell r="C402" t="str">
            <v>3rd Tranche</v>
          </cell>
          <cell r="D402">
            <v>397</v>
          </cell>
          <cell r="E402" t="str">
            <v>Sami Ullah</v>
          </cell>
          <cell r="F402" t="str">
            <v>Electrician</v>
          </cell>
          <cell r="G402">
            <v>44715</v>
          </cell>
          <cell r="H402">
            <v>0</v>
          </cell>
          <cell r="I402" t="str">
            <v>SB Mianwali</v>
          </cell>
          <cell r="J402" t="str">
            <v>05980010086500920015</v>
          </cell>
        </row>
        <row r="403">
          <cell r="B403">
            <v>3410484328886</v>
          </cell>
          <cell r="C403" t="str">
            <v>3rd Tranche</v>
          </cell>
          <cell r="D403">
            <v>398</v>
          </cell>
          <cell r="E403" t="str">
            <v>Samra Noreen</v>
          </cell>
          <cell r="F403" t="str">
            <v>Sahulat Bazaar Supervisor</v>
          </cell>
          <cell r="G403">
            <v>45073</v>
          </cell>
          <cell r="I403" t="str">
            <v>SB Hafizabad</v>
          </cell>
          <cell r="J403" t="str">
            <v>07940010106658180019</v>
          </cell>
        </row>
        <row r="404">
          <cell r="B404">
            <v>3210277365551</v>
          </cell>
          <cell r="C404" t="str">
            <v>4th Tranche &amp; 5th Tranche</v>
          </cell>
          <cell r="D404">
            <v>399</v>
          </cell>
          <cell r="E404" t="str">
            <v>Allah Nawaz Khan</v>
          </cell>
          <cell r="F404" t="str">
            <v>Sahulat Bazaar Incharge</v>
          </cell>
          <cell r="G404">
            <v>45292</v>
          </cell>
          <cell r="H404">
            <v>0</v>
          </cell>
          <cell r="I404" t="str">
            <v>SB Jampur</v>
          </cell>
          <cell r="J404" t="str">
            <v>00720010037769870014</v>
          </cell>
        </row>
        <row r="405">
          <cell r="B405">
            <v>3210279473511</v>
          </cell>
          <cell r="C405" t="str">
            <v>3rd Tranche</v>
          </cell>
          <cell r="D405">
            <v>400</v>
          </cell>
          <cell r="E405" t="str">
            <v>Muhammad Shafqat</v>
          </cell>
          <cell r="F405" t="str">
            <v>Sahulat Bazaar Supervisor</v>
          </cell>
          <cell r="G405">
            <v>45292</v>
          </cell>
          <cell r="H405">
            <v>0</v>
          </cell>
          <cell r="I405" t="str">
            <v>SB DG Khan</v>
          </cell>
          <cell r="J405" t="str">
            <v>00720010102298760015</v>
          </cell>
        </row>
        <row r="406">
          <cell r="B406">
            <v>3310385246403</v>
          </cell>
          <cell r="C406" t="str">
            <v>3rd Tranche</v>
          </cell>
          <cell r="D406">
            <v>401</v>
          </cell>
          <cell r="E406" t="str">
            <v>Muhammad Akbar Ali</v>
          </cell>
          <cell r="F406" t="str">
            <v>Sahulat Bazaar Supervisor</v>
          </cell>
          <cell r="G406">
            <v>45292</v>
          </cell>
          <cell r="H406">
            <v>0</v>
          </cell>
          <cell r="I406" t="str">
            <v>SB Jhang Road (FSD)</v>
          </cell>
          <cell r="J406" t="str">
            <v>04980010083247170012</v>
          </cell>
        </row>
        <row r="407">
          <cell r="B407">
            <v>3320207874279</v>
          </cell>
          <cell r="C407" t="str">
            <v>3rd Tranche</v>
          </cell>
          <cell r="D407">
            <v>402</v>
          </cell>
          <cell r="E407" t="str">
            <v>Umar Moavia</v>
          </cell>
          <cell r="F407" t="str">
            <v>Sahulat Bazaar Supervisor</v>
          </cell>
          <cell r="G407">
            <v>45292</v>
          </cell>
          <cell r="H407">
            <v>0</v>
          </cell>
          <cell r="I407" t="str">
            <v>SB Toba Tek Singh</v>
          </cell>
          <cell r="J407" t="str">
            <v>05110010118849670012</v>
          </cell>
        </row>
        <row r="408">
          <cell r="B408">
            <v>3520115336235</v>
          </cell>
          <cell r="C408" t="str">
            <v>3rd Tranche</v>
          </cell>
          <cell r="D408">
            <v>403</v>
          </cell>
          <cell r="E408" t="str">
            <v>Zaigham Yaseen</v>
          </cell>
          <cell r="F408" t="str">
            <v>Filing Assistant</v>
          </cell>
          <cell r="G408">
            <v>45292</v>
          </cell>
          <cell r="H408">
            <v>0</v>
          </cell>
          <cell r="I408" t="str">
            <v>SB Johar Town</v>
          </cell>
          <cell r="J408" t="str">
            <v>02880010100882510011</v>
          </cell>
        </row>
        <row r="409">
          <cell r="B409">
            <v>3520209670236</v>
          </cell>
          <cell r="C409" t="str">
            <v>3rd Tranche</v>
          </cell>
          <cell r="D409">
            <v>404</v>
          </cell>
          <cell r="E409" t="str">
            <v>Saba Aftab</v>
          </cell>
          <cell r="F409" t="str">
            <v>Office Supervisor</v>
          </cell>
          <cell r="G409">
            <v>45292</v>
          </cell>
          <cell r="H409">
            <v>0</v>
          </cell>
          <cell r="I409" t="str">
            <v>SB Johar Town</v>
          </cell>
          <cell r="J409" t="str">
            <v>07890010055396250014</v>
          </cell>
        </row>
        <row r="410">
          <cell r="B410">
            <v>3520228042483</v>
          </cell>
          <cell r="C410" t="str">
            <v>3rd Tranche</v>
          </cell>
          <cell r="D410">
            <v>405</v>
          </cell>
          <cell r="E410" t="str">
            <v>Muhammad Bilal Ashraf</v>
          </cell>
          <cell r="F410" t="str">
            <v>Operations Assistant</v>
          </cell>
          <cell r="G410">
            <v>45292</v>
          </cell>
          <cell r="H410">
            <v>0</v>
          </cell>
          <cell r="I410" t="str">
            <v>SB Township</v>
          </cell>
          <cell r="J410" t="str">
            <v>02880010105872840017</v>
          </cell>
        </row>
        <row r="411">
          <cell r="B411">
            <v>3520252224562</v>
          </cell>
          <cell r="C411" t="str">
            <v>3rd Tranche</v>
          </cell>
          <cell r="D411">
            <v>406</v>
          </cell>
          <cell r="E411" t="str">
            <v>Mahnoor Asif</v>
          </cell>
          <cell r="F411" t="str">
            <v>Sahulat Bazaar Supervisor</v>
          </cell>
          <cell r="G411">
            <v>45292</v>
          </cell>
          <cell r="H411">
            <v>0</v>
          </cell>
          <cell r="I411" t="str">
            <v>SB China Scheme</v>
          </cell>
          <cell r="J411" t="str">
            <v>07630010100816220013</v>
          </cell>
        </row>
        <row r="412">
          <cell r="B412">
            <v>3520252235012</v>
          </cell>
          <cell r="C412" t="str">
            <v>3rd Tranche</v>
          </cell>
          <cell r="D412">
            <v>407</v>
          </cell>
          <cell r="E412" t="str">
            <v>Momina Asif</v>
          </cell>
          <cell r="F412" t="str">
            <v>Sahulat Bazaar Supervisor</v>
          </cell>
          <cell r="G412">
            <v>45292</v>
          </cell>
          <cell r="H412">
            <v>0</v>
          </cell>
          <cell r="I412" t="str">
            <v>SB Rawalpindi</v>
          </cell>
          <cell r="J412" t="str">
            <v>07630010100815380016</v>
          </cell>
        </row>
        <row r="413">
          <cell r="B413">
            <v>3520256072309</v>
          </cell>
          <cell r="C413" t="str">
            <v>3rd Tranche</v>
          </cell>
          <cell r="D413">
            <v>408</v>
          </cell>
          <cell r="E413" t="str">
            <v>Tajamul Hussain</v>
          </cell>
          <cell r="F413" t="str">
            <v>Operations Assistant</v>
          </cell>
          <cell r="G413">
            <v>45292</v>
          </cell>
          <cell r="H413">
            <v>0</v>
          </cell>
          <cell r="I413" t="str">
            <v>SB Wahdat Colony</v>
          </cell>
          <cell r="J413" t="str">
            <v>06880010106597320018</v>
          </cell>
        </row>
        <row r="414">
          <cell r="B414">
            <v>3520262578167</v>
          </cell>
          <cell r="C414" t="str">
            <v>3rd Tranche</v>
          </cell>
          <cell r="D414">
            <v>409</v>
          </cell>
          <cell r="E414" t="str">
            <v>Fahad Ali</v>
          </cell>
          <cell r="F414" t="str">
            <v>Sahulat Bazaar Supervisor</v>
          </cell>
          <cell r="G414">
            <v>45292</v>
          </cell>
          <cell r="H414">
            <v>0</v>
          </cell>
          <cell r="I414" t="str">
            <v>SB Raiwind</v>
          </cell>
          <cell r="J414" t="str">
            <v>03910010100767720012</v>
          </cell>
        </row>
        <row r="415">
          <cell r="B415">
            <v>3520289751167</v>
          </cell>
          <cell r="C415" t="str">
            <v>3rd Tranche</v>
          </cell>
          <cell r="D415">
            <v>410</v>
          </cell>
          <cell r="E415" t="str">
            <v>Nabeel Ahmad</v>
          </cell>
          <cell r="F415" t="str">
            <v>Sahulat Bazaar Supervisor</v>
          </cell>
          <cell r="G415">
            <v>45292</v>
          </cell>
          <cell r="H415">
            <v>0</v>
          </cell>
          <cell r="I415" t="str">
            <v>SB Sher Sha colony</v>
          </cell>
          <cell r="J415" t="str">
            <v>05310010103976800011</v>
          </cell>
        </row>
        <row r="416">
          <cell r="B416">
            <v>3520290286795</v>
          </cell>
          <cell r="C416" t="str">
            <v>3rd Tranche</v>
          </cell>
          <cell r="D416">
            <v>411</v>
          </cell>
          <cell r="E416" t="str">
            <v>Rana Jahanzaib</v>
          </cell>
          <cell r="F416" t="str">
            <v>Sahulat Bazaar Supervisor</v>
          </cell>
          <cell r="G416">
            <v>45292</v>
          </cell>
          <cell r="H416">
            <v>0</v>
          </cell>
          <cell r="I416" t="str">
            <v>SB Raiwind</v>
          </cell>
          <cell r="J416" t="str">
            <v>03910010120419350018</v>
          </cell>
        </row>
        <row r="417">
          <cell r="B417">
            <v>3520403708997</v>
          </cell>
          <cell r="C417" t="str">
            <v>3rd Tranche</v>
          </cell>
          <cell r="D417">
            <v>412</v>
          </cell>
          <cell r="E417" t="str">
            <v>Muhammad Abu Bakar</v>
          </cell>
          <cell r="F417" t="str">
            <v>Sahulat Bazaar Supervisor</v>
          </cell>
          <cell r="G417">
            <v>45292</v>
          </cell>
          <cell r="H417">
            <v>0</v>
          </cell>
          <cell r="I417" t="str">
            <v>SB Chung</v>
          </cell>
          <cell r="J417" t="str">
            <v>09410010109608490016</v>
          </cell>
        </row>
        <row r="418">
          <cell r="B418">
            <v>3540415626073</v>
          </cell>
          <cell r="C418" t="str">
            <v>3rd Tranche</v>
          </cell>
          <cell r="D418">
            <v>413</v>
          </cell>
          <cell r="E418" t="str">
            <v>Malik Nauman Shafiq</v>
          </cell>
          <cell r="F418" t="str">
            <v>Sahulat Bazaar Supervisor</v>
          </cell>
          <cell r="G418">
            <v>45292</v>
          </cell>
          <cell r="H418">
            <v>0</v>
          </cell>
          <cell r="I418" t="str">
            <v>SB Farooqabad</v>
          </cell>
          <cell r="J418" t="str">
            <v>52030020100587840010</v>
          </cell>
        </row>
        <row r="419">
          <cell r="B419">
            <v>3840308740233</v>
          </cell>
          <cell r="C419" t="str">
            <v>3rd Tranche</v>
          </cell>
          <cell r="D419">
            <v>414</v>
          </cell>
          <cell r="E419" t="str">
            <v>Tamoor Hussain</v>
          </cell>
          <cell r="F419" t="str">
            <v>Sahulat Bazaar Supervisor</v>
          </cell>
          <cell r="G419">
            <v>45307</v>
          </cell>
          <cell r="H419">
            <v>0</v>
          </cell>
          <cell r="I419" t="str">
            <v>SB Sabzazaar</v>
          </cell>
          <cell r="J419" t="str">
            <v>02880010123251930013</v>
          </cell>
        </row>
        <row r="420">
          <cell r="B420">
            <v>3520403414093</v>
          </cell>
          <cell r="C420" t="str">
            <v>3rd Tranche</v>
          </cell>
          <cell r="D420">
            <v>415</v>
          </cell>
          <cell r="E420" t="str">
            <v>Muhammad Mehboob Hayat</v>
          </cell>
          <cell r="F420" t="str">
            <v>Sahulat Bazaar Supervisor</v>
          </cell>
          <cell r="G420">
            <v>45292</v>
          </cell>
          <cell r="H420">
            <v>0</v>
          </cell>
          <cell r="I420" t="str">
            <v>SB Thokar</v>
          </cell>
          <cell r="J420" t="str">
            <v>09650010122391760014</v>
          </cell>
        </row>
        <row r="421">
          <cell r="B421">
            <v>3110302256557</v>
          </cell>
          <cell r="C421" t="str">
            <v>3rd Tranche</v>
          </cell>
          <cell r="D421">
            <v>416</v>
          </cell>
          <cell r="E421" t="str">
            <v>Ghazanfar Ali</v>
          </cell>
          <cell r="F421" t="str">
            <v>Sahulat Bazaar Supervisor</v>
          </cell>
          <cell r="G421">
            <v>45292</v>
          </cell>
          <cell r="H421">
            <v>0</v>
          </cell>
          <cell r="I421" t="str">
            <v>SB DG Khan</v>
          </cell>
          <cell r="J421" t="str">
            <v>07300010095141690010</v>
          </cell>
        </row>
        <row r="422">
          <cell r="B422">
            <v>3460142768520</v>
          </cell>
          <cell r="C422" t="str">
            <v>Salary Stop (HR)</v>
          </cell>
          <cell r="D422">
            <v>417</v>
          </cell>
          <cell r="E422" t="str">
            <v>Syeda Tayaba Bibi</v>
          </cell>
          <cell r="F422" t="str">
            <v>Research Assistant</v>
          </cell>
          <cell r="G422">
            <v>45413</v>
          </cell>
          <cell r="H422">
            <v>0</v>
          </cell>
          <cell r="I422" t="str">
            <v>SB Sabzazaar</v>
          </cell>
          <cell r="J422" t="str">
            <v>11180010129119200012</v>
          </cell>
        </row>
        <row r="423">
          <cell r="B423">
            <v>3840162004337</v>
          </cell>
          <cell r="C423" t="str">
            <v>3rd Tranche</v>
          </cell>
          <cell r="D423">
            <v>418</v>
          </cell>
          <cell r="E423" t="str">
            <v>Tayyab Ali Khan</v>
          </cell>
          <cell r="F423" t="str">
            <v>Record Keeper</v>
          </cell>
          <cell r="G423">
            <v>45444</v>
          </cell>
          <cell r="H423">
            <v>0</v>
          </cell>
          <cell r="I423" t="str">
            <v>SB Bhera</v>
          </cell>
          <cell r="J423" t="str">
            <v>06150010052464220012</v>
          </cell>
        </row>
        <row r="424">
          <cell r="B424">
            <v>3110128182747</v>
          </cell>
          <cell r="C424" t="str">
            <v>3rd Tranche</v>
          </cell>
          <cell r="D424">
            <v>419</v>
          </cell>
          <cell r="E424" t="str">
            <v>Muhammad Hamad Javed</v>
          </cell>
          <cell r="F424" t="str">
            <v>Sahulat Bazaar Supervisor</v>
          </cell>
          <cell r="G424">
            <v>45748</v>
          </cell>
          <cell r="H424">
            <v>0</v>
          </cell>
          <cell r="I424" t="str">
            <v>SB Okara</v>
          </cell>
          <cell r="J424" t="str">
            <v>00940010138286790013</v>
          </cell>
        </row>
        <row r="425">
          <cell r="B425">
            <v>3110195976935</v>
          </cell>
          <cell r="C425" t="str">
            <v>3rd Tranche</v>
          </cell>
          <cell r="D425">
            <v>420</v>
          </cell>
          <cell r="E425" t="str">
            <v>Muhammad Asif</v>
          </cell>
          <cell r="F425" t="str">
            <v>Sahulat Bazaar Supervisor</v>
          </cell>
          <cell r="G425">
            <v>45748</v>
          </cell>
          <cell r="H425">
            <v>0</v>
          </cell>
          <cell r="I425" t="str">
            <v>SB Jhang Road (FSD)</v>
          </cell>
          <cell r="J425" t="str">
            <v>10080010103621750010</v>
          </cell>
        </row>
        <row r="426">
          <cell r="B426">
            <v>3110342468273</v>
          </cell>
          <cell r="C426" t="str">
            <v>Salary Stop</v>
          </cell>
          <cell r="D426">
            <v>421</v>
          </cell>
          <cell r="E426" t="str">
            <v>Qamar Uzzaman</v>
          </cell>
          <cell r="F426" t="str">
            <v>Sahulat Bazaar Supervisor</v>
          </cell>
          <cell r="G426">
            <v>45748</v>
          </cell>
          <cell r="H426">
            <v>0</v>
          </cell>
          <cell r="I426" t="str">
            <v>SB Bahawalpur</v>
          </cell>
          <cell r="J426" t="str">
            <v>12310010132451270012</v>
          </cell>
        </row>
        <row r="427">
          <cell r="B427">
            <v>3110385498487</v>
          </cell>
          <cell r="C427" t="str">
            <v>3rd Tranche</v>
          </cell>
          <cell r="D427">
            <v>422</v>
          </cell>
          <cell r="E427" t="str">
            <v>Muhammad Waqar</v>
          </cell>
          <cell r="F427" t="str">
            <v>Sahulat Bazaar Supervisor</v>
          </cell>
          <cell r="G427">
            <v>45748</v>
          </cell>
          <cell r="H427">
            <v>0</v>
          </cell>
          <cell r="I427" t="str">
            <v>STOG Kharak Nalla</v>
          </cell>
          <cell r="J427" t="str">
            <v>05400010134351570018</v>
          </cell>
        </row>
        <row r="428">
          <cell r="B428">
            <v>3110479345285</v>
          </cell>
          <cell r="C428" t="str">
            <v>3rd Tranche</v>
          </cell>
          <cell r="D428">
            <v>423</v>
          </cell>
          <cell r="E428" t="str">
            <v>Muhammad Adeel Ashraf</v>
          </cell>
          <cell r="F428" t="str">
            <v>Sahulat Bazaar Supervisor</v>
          </cell>
          <cell r="G428">
            <v>45748</v>
          </cell>
          <cell r="H428">
            <v>0</v>
          </cell>
          <cell r="I428" t="str">
            <v>SB Jarranwala</v>
          </cell>
          <cell r="J428" t="str">
            <v>00660010131941660012</v>
          </cell>
        </row>
        <row r="429">
          <cell r="B429">
            <v>3130303989769</v>
          </cell>
          <cell r="C429" t="str">
            <v>3rd Tranche</v>
          </cell>
          <cell r="D429">
            <v>424</v>
          </cell>
          <cell r="E429" t="str">
            <v>Taimoor Ahmad</v>
          </cell>
          <cell r="F429" t="str">
            <v>Sahulat Bazaar Supervisor (Look after charge of Incharge)</v>
          </cell>
          <cell r="G429">
            <v>45748</v>
          </cell>
          <cell r="H429">
            <v>0</v>
          </cell>
          <cell r="I429" t="str">
            <v>STOG Bahawalpur</v>
          </cell>
          <cell r="J429" t="str">
            <v>12700010139148160010</v>
          </cell>
        </row>
        <row r="430">
          <cell r="B430">
            <v>3130313920109</v>
          </cell>
          <cell r="C430" t="str">
            <v>3rd Tranche</v>
          </cell>
          <cell r="D430">
            <v>425</v>
          </cell>
          <cell r="E430" t="str">
            <v>Aziz ur Rehman Chughtai</v>
          </cell>
          <cell r="F430" t="str">
            <v>Sahulat Bazaar Supervisor</v>
          </cell>
          <cell r="G430">
            <v>45748</v>
          </cell>
          <cell r="H430">
            <v>0</v>
          </cell>
          <cell r="I430" t="str">
            <v>SB Bahawalpur</v>
          </cell>
          <cell r="J430" t="str">
            <v>09630010132084770020</v>
          </cell>
        </row>
        <row r="431">
          <cell r="B431">
            <v>3210294294903</v>
          </cell>
          <cell r="C431" t="str">
            <v>3rd Tranche</v>
          </cell>
          <cell r="D431">
            <v>426</v>
          </cell>
          <cell r="E431" t="str">
            <v>Muhammad Waris Bhutta</v>
          </cell>
          <cell r="F431" t="str">
            <v>Sahulat Bazaar Supervisor</v>
          </cell>
          <cell r="G431">
            <v>45748</v>
          </cell>
          <cell r="H431">
            <v>0</v>
          </cell>
          <cell r="I431" t="str">
            <v>SB DG Khan</v>
          </cell>
          <cell r="J431" t="str">
            <v>00720010094160320016</v>
          </cell>
        </row>
        <row r="432">
          <cell r="B432">
            <v>3210337763329</v>
          </cell>
          <cell r="C432" t="str">
            <v>3rd Tranche</v>
          </cell>
          <cell r="D432">
            <v>427</v>
          </cell>
          <cell r="E432" t="str">
            <v>Muhammad Sikandar Bakht</v>
          </cell>
          <cell r="F432" t="str">
            <v>Sahulat Bazaar Supervisor</v>
          </cell>
          <cell r="G432">
            <v>45748</v>
          </cell>
          <cell r="H432">
            <v>0</v>
          </cell>
          <cell r="I432" t="str">
            <v>SB Taunsa</v>
          </cell>
          <cell r="J432" t="str">
            <v>07330010106850580013</v>
          </cell>
        </row>
        <row r="433">
          <cell r="B433">
            <v>3210404104193</v>
          </cell>
          <cell r="C433" t="str">
            <v>3rd Tranche</v>
          </cell>
          <cell r="D433">
            <v>428</v>
          </cell>
          <cell r="E433" t="str">
            <v>Iftikhar Ahmad</v>
          </cell>
          <cell r="F433" t="str">
            <v>Sahulat Bazaar Supervisor</v>
          </cell>
          <cell r="G433">
            <v>45748</v>
          </cell>
          <cell r="H433">
            <v>0</v>
          </cell>
          <cell r="I433" t="str">
            <v>SB Jampur</v>
          </cell>
          <cell r="J433" t="str">
            <v>03660010139350330010</v>
          </cell>
        </row>
        <row r="434">
          <cell r="B434">
            <v>3220215523393</v>
          </cell>
          <cell r="C434" t="str">
            <v>3rd Tranche</v>
          </cell>
          <cell r="D434">
            <v>429</v>
          </cell>
          <cell r="E434" t="str">
            <v>Muhammad Adnan</v>
          </cell>
          <cell r="F434" t="str">
            <v>Record Keeper</v>
          </cell>
          <cell r="G434">
            <v>45748</v>
          </cell>
          <cell r="H434">
            <v>0</v>
          </cell>
          <cell r="I434" t="str">
            <v>SB Layyah</v>
          </cell>
          <cell r="J434" t="str">
            <v>51400020138549660014</v>
          </cell>
        </row>
        <row r="435">
          <cell r="B435">
            <v>3220247848205</v>
          </cell>
          <cell r="C435" t="str">
            <v>4th Tranche</v>
          </cell>
          <cell r="D435">
            <v>430</v>
          </cell>
          <cell r="E435" t="str">
            <v>Zeeshan ul Hassan</v>
          </cell>
          <cell r="F435" t="str">
            <v>Sahulat Bazaar Incharge</v>
          </cell>
          <cell r="G435">
            <v>45748</v>
          </cell>
          <cell r="H435">
            <v>0</v>
          </cell>
          <cell r="I435" t="str">
            <v>SB Layyah</v>
          </cell>
          <cell r="J435" t="str">
            <v>07170010095689780012</v>
          </cell>
        </row>
        <row r="436">
          <cell r="B436">
            <v>3220320690559</v>
          </cell>
          <cell r="C436" t="str">
            <v>3rd Tranche</v>
          </cell>
          <cell r="D436">
            <v>431</v>
          </cell>
          <cell r="E436" t="str">
            <v>Salamat Mobarik</v>
          </cell>
          <cell r="F436" t="str">
            <v>Operations Assistant</v>
          </cell>
          <cell r="G436">
            <v>45748</v>
          </cell>
          <cell r="H436">
            <v>0</v>
          </cell>
          <cell r="I436" t="str">
            <v>SB Sargodha</v>
          </cell>
          <cell r="J436" t="str">
            <v>02880010133890770018</v>
          </cell>
        </row>
        <row r="437">
          <cell r="B437">
            <v>3230145178541</v>
          </cell>
          <cell r="C437" t="str">
            <v>3rd Tranche</v>
          </cell>
          <cell r="D437">
            <v>432</v>
          </cell>
          <cell r="E437" t="str">
            <v>Meesam Raza</v>
          </cell>
          <cell r="F437" t="str">
            <v>Sahulat Bazaar Supervisor</v>
          </cell>
          <cell r="G437">
            <v>45748</v>
          </cell>
          <cell r="H437">
            <v>0</v>
          </cell>
          <cell r="I437" t="str">
            <v>STOG Kotha Pind Faisal Town</v>
          </cell>
          <cell r="J437" t="str">
            <v>13860010110242800013</v>
          </cell>
        </row>
        <row r="438">
          <cell r="B438">
            <v>3230315225751</v>
          </cell>
          <cell r="C438" t="str">
            <v>3rd Tranche</v>
          </cell>
          <cell r="D438">
            <v>433</v>
          </cell>
          <cell r="E438" t="str">
            <v>Imran Haider</v>
          </cell>
          <cell r="F438" t="str">
            <v>Sahulat Bazaar Supervisor</v>
          </cell>
          <cell r="G438">
            <v>45748</v>
          </cell>
          <cell r="H438">
            <v>0</v>
          </cell>
          <cell r="I438" t="str">
            <v>SB Sharaqpur</v>
          </cell>
          <cell r="J438" t="str">
            <v>10960010087746940017</v>
          </cell>
        </row>
        <row r="439">
          <cell r="B439">
            <v>3230367860461</v>
          </cell>
          <cell r="C439" t="str">
            <v>3rd Tranche</v>
          </cell>
          <cell r="D439">
            <v>434</v>
          </cell>
          <cell r="E439" t="str">
            <v>Muhammad Tauqeer</v>
          </cell>
          <cell r="F439" t="str">
            <v>Sahulat Bazaar Supervisor</v>
          </cell>
          <cell r="G439">
            <v>45748</v>
          </cell>
          <cell r="H439">
            <v>0</v>
          </cell>
          <cell r="I439" t="str">
            <v>SB Taunsa</v>
          </cell>
          <cell r="J439" t="str">
            <v>05580010099451450010</v>
          </cell>
        </row>
        <row r="440">
          <cell r="B440">
            <v>3310014492727</v>
          </cell>
          <cell r="C440" t="str">
            <v>3rd Tranche</v>
          </cell>
          <cell r="D440">
            <v>435</v>
          </cell>
          <cell r="E440" t="str">
            <v>Ali Hassan</v>
          </cell>
          <cell r="F440" t="str">
            <v>Sahulat Bazaar Supervisor</v>
          </cell>
          <cell r="G440">
            <v>45748</v>
          </cell>
          <cell r="H440">
            <v>0</v>
          </cell>
          <cell r="I440" t="str">
            <v>SB Jhang Road (FSD)</v>
          </cell>
          <cell r="J440" t="str">
            <v>02600010138936760015</v>
          </cell>
        </row>
        <row r="441">
          <cell r="B441">
            <v>3310478480785</v>
          </cell>
          <cell r="C441" t="str">
            <v>3rd Tranche</v>
          </cell>
          <cell r="D441">
            <v>436</v>
          </cell>
          <cell r="E441" t="str">
            <v>Muhammad Azeem Ashraf</v>
          </cell>
          <cell r="F441" t="str">
            <v>Sahulat Bazaar Supervisor</v>
          </cell>
          <cell r="G441">
            <v>45748</v>
          </cell>
          <cell r="H441">
            <v>0</v>
          </cell>
          <cell r="I441" t="str">
            <v>SB Jarranwala</v>
          </cell>
          <cell r="J441" t="str">
            <v>01210010138367060015</v>
          </cell>
        </row>
        <row r="442">
          <cell r="B442">
            <v>3330120705199</v>
          </cell>
          <cell r="C442" t="str">
            <v>3rd Tranche</v>
          </cell>
          <cell r="D442">
            <v>437</v>
          </cell>
          <cell r="E442" t="str">
            <v>Muhammad Kashif Imran</v>
          </cell>
          <cell r="F442" t="str">
            <v>Sahulat Bazaar Supervisor</v>
          </cell>
          <cell r="G442">
            <v>45748</v>
          </cell>
          <cell r="H442">
            <v>0</v>
          </cell>
          <cell r="I442" t="str">
            <v>SB Jhang</v>
          </cell>
          <cell r="J442" t="str">
            <v>04980010121133540017</v>
          </cell>
        </row>
        <row r="443">
          <cell r="B443">
            <v>3410103736049</v>
          </cell>
          <cell r="C443" t="str">
            <v>3rd Tranche</v>
          </cell>
          <cell r="D443">
            <v>438</v>
          </cell>
          <cell r="E443" t="str">
            <v>Muhammad Almas Sultani</v>
          </cell>
          <cell r="F443" t="str">
            <v>Sahulat Bazaar Supervisor</v>
          </cell>
          <cell r="G443">
            <v>45748</v>
          </cell>
          <cell r="H443">
            <v>0</v>
          </cell>
          <cell r="I443" t="str">
            <v>SB Gujrat</v>
          </cell>
          <cell r="J443" t="str">
            <v>07300010132326870017</v>
          </cell>
        </row>
        <row r="444">
          <cell r="B444">
            <v>3410179998009</v>
          </cell>
          <cell r="C444" t="str">
            <v>3rd Tranche</v>
          </cell>
          <cell r="D444">
            <v>439</v>
          </cell>
          <cell r="E444" t="str">
            <v>Khurram Shahzad</v>
          </cell>
          <cell r="F444" t="str">
            <v>Sahulat Bazaar Supervisor</v>
          </cell>
          <cell r="G444">
            <v>45748</v>
          </cell>
          <cell r="H444">
            <v>0</v>
          </cell>
          <cell r="I444" t="str">
            <v>SB Wazirabad</v>
          </cell>
          <cell r="J444" t="str">
            <v>51140020136154430010</v>
          </cell>
        </row>
        <row r="445">
          <cell r="B445">
            <v>3410470904415</v>
          </cell>
          <cell r="C445" t="str">
            <v>3rd Tranche</v>
          </cell>
          <cell r="D445">
            <v>440</v>
          </cell>
          <cell r="E445" t="str">
            <v>Haider Abbas</v>
          </cell>
          <cell r="F445" t="str">
            <v>Sahulat Bazaar Supervisor</v>
          </cell>
          <cell r="G445">
            <v>45748</v>
          </cell>
          <cell r="H445">
            <v>0</v>
          </cell>
          <cell r="I445" t="str">
            <v>SB Jhang Road (FSD)</v>
          </cell>
          <cell r="J445" t="str">
            <v>06650010139228000016</v>
          </cell>
        </row>
        <row r="446">
          <cell r="B446">
            <v>3450171176653</v>
          </cell>
          <cell r="C446" t="str">
            <v>3rd Tranche</v>
          </cell>
          <cell r="D446">
            <v>441</v>
          </cell>
          <cell r="E446" t="str">
            <v>Abuzar Khalid</v>
          </cell>
          <cell r="F446" t="str">
            <v>Sahulat Bazaar Supervisor</v>
          </cell>
          <cell r="G446">
            <v>45748</v>
          </cell>
          <cell r="H446">
            <v>0</v>
          </cell>
          <cell r="I446" t="str">
            <v>SB Sabzazaar</v>
          </cell>
          <cell r="J446" t="str">
            <v>13650010125287470015</v>
          </cell>
        </row>
        <row r="447">
          <cell r="B447">
            <v>3460112295079</v>
          </cell>
          <cell r="C447" t="str">
            <v>3rd Tranche</v>
          </cell>
          <cell r="D447">
            <v>442</v>
          </cell>
          <cell r="E447" t="str">
            <v>Naeem Ullah</v>
          </cell>
          <cell r="F447" t="str">
            <v>Sahulat Bazaar Supervisor (Look after charge of Incharge)</v>
          </cell>
          <cell r="G447">
            <v>45748</v>
          </cell>
          <cell r="H447">
            <v>0</v>
          </cell>
          <cell r="I447" t="str">
            <v>SB Gujranwala</v>
          </cell>
          <cell r="J447" t="str">
            <v>05590010013700560011</v>
          </cell>
        </row>
        <row r="448">
          <cell r="B448">
            <v>3510208750211</v>
          </cell>
          <cell r="C448" t="str">
            <v>3rd Tranche</v>
          </cell>
          <cell r="D448">
            <v>443</v>
          </cell>
          <cell r="E448" t="str">
            <v>Muhammad Afaq</v>
          </cell>
          <cell r="F448" t="str">
            <v>Sahulat Bazaar Supervisor (Look after charge of Incharge)</v>
          </cell>
          <cell r="G448">
            <v>45748</v>
          </cell>
          <cell r="H448">
            <v>0</v>
          </cell>
          <cell r="I448" t="str">
            <v>SB Hafizabad</v>
          </cell>
          <cell r="J448" t="str">
            <v>07940010142032890010</v>
          </cell>
        </row>
        <row r="449">
          <cell r="B449">
            <v>3510213801911</v>
          </cell>
          <cell r="C449" t="str">
            <v>3rd Tranche</v>
          </cell>
          <cell r="D449">
            <v>444</v>
          </cell>
          <cell r="E449" t="str">
            <v>Tasawar Ijaz</v>
          </cell>
          <cell r="F449" t="str">
            <v>Sahulat Bazaar Supervisor</v>
          </cell>
          <cell r="G449">
            <v>45748</v>
          </cell>
          <cell r="H449">
            <v>0</v>
          </cell>
          <cell r="I449" t="str">
            <v>SB Kasur</v>
          </cell>
          <cell r="J449" t="str">
            <v>13440010144825390010</v>
          </cell>
        </row>
        <row r="450">
          <cell r="B450">
            <v>3510261528595</v>
          </cell>
          <cell r="C450" t="str">
            <v>3rd Tranche</v>
          </cell>
          <cell r="D450">
            <v>445</v>
          </cell>
          <cell r="E450" t="str">
            <v>Amir Saeed</v>
          </cell>
          <cell r="F450" t="str">
            <v>Sahulat Bazaar Supervisor</v>
          </cell>
          <cell r="G450">
            <v>45748</v>
          </cell>
          <cell r="H450">
            <v>0</v>
          </cell>
          <cell r="I450" t="str">
            <v>SB Sher Sha colony</v>
          </cell>
          <cell r="J450" t="str">
            <v>03910010018466010023</v>
          </cell>
        </row>
        <row r="451">
          <cell r="B451">
            <v>3510269174189</v>
          </cell>
          <cell r="C451" t="str">
            <v>3rd Tranche</v>
          </cell>
          <cell r="D451">
            <v>446</v>
          </cell>
          <cell r="E451" t="str">
            <v>Khalid Hussain</v>
          </cell>
          <cell r="F451" t="str">
            <v>Sahulat Bazaar Supervisor</v>
          </cell>
          <cell r="G451">
            <v>45748</v>
          </cell>
          <cell r="H451">
            <v>0</v>
          </cell>
          <cell r="I451" t="str">
            <v>SB DG Khan</v>
          </cell>
          <cell r="J451" t="str">
            <v>13620010111840240018</v>
          </cell>
        </row>
        <row r="452">
          <cell r="B452">
            <v>3510323003369</v>
          </cell>
          <cell r="C452" t="str">
            <v>3rd Tranche</v>
          </cell>
          <cell r="D452">
            <v>447</v>
          </cell>
          <cell r="E452" t="str">
            <v>Ghulam Fareed</v>
          </cell>
          <cell r="F452" t="str">
            <v>Sahulat Bazaar Supervisor</v>
          </cell>
          <cell r="G452">
            <v>45748</v>
          </cell>
          <cell r="H452">
            <v>0</v>
          </cell>
          <cell r="I452" t="str">
            <v>SB Chung</v>
          </cell>
          <cell r="J452" t="str">
            <v>03900010138839040011</v>
          </cell>
        </row>
        <row r="453">
          <cell r="B453">
            <v>3510349518473</v>
          </cell>
          <cell r="C453" t="str">
            <v>3rd Tranche</v>
          </cell>
          <cell r="D453">
            <v>448</v>
          </cell>
          <cell r="E453" t="str">
            <v>Abdul Salam</v>
          </cell>
          <cell r="F453" t="str">
            <v>Sahulat Bazaar Supervisor (Look after charge of Incharge)</v>
          </cell>
          <cell r="G453">
            <v>45748</v>
          </cell>
          <cell r="H453">
            <v>0</v>
          </cell>
          <cell r="I453" t="str">
            <v>STOG Shadman</v>
          </cell>
          <cell r="J453" t="str">
            <v>03900010092542340010</v>
          </cell>
        </row>
        <row r="454">
          <cell r="B454">
            <v>3510366757993</v>
          </cell>
          <cell r="C454" t="str">
            <v>3rd Tranche</v>
          </cell>
          <cell r="D454">
            <v>449</v>
          </cell>
          <cell r="E454" t="str">
            <v>Asad Riaz</v>
          </cell>
          <cell r="F454" t="str">
            <v>Record Keeper</v>
          </cell>
          <cell r="G454">
            <v>45748</v>
          </cell>
          <cell r="H454">
            <v>0</v>
          </cell>
          <cell r="I454" t="str">
            <v>SB Johar Town</v>
          </cell>
          <cell r="J454" t="str">
            <v>02880010132199300010</v>
          </cell>
        </row>
        <row r="455">
          <cell r="B455">
            <v>3510377819529</v>
          </cell>
          <cell r="C455" t="str">
            <v>3rd Tranche</v>
          </cell>
          <cell r="D455">
            <v>450</v>
          </cell>
          <cell r="E455" t="str">
            <v>Muhammad Anas</v>
          </cell>
          <cell r="F455" t="str">
            <v>Sahulat Bazaar Supervisor</v>
          </cell>
          <cell r="G455">
            <v>45748</v>
          </cell>
          <cell r="H455">
            <v>0</v>
          </cell>
          <cell r="I455" t="str">
            <v>SB Pattoki</v>
          </cell>
          <cell r="J455" t="str">
            <v>03900010132968280011</v>
          </cell>
        </row>
        <row r="456">
          <cell r="B456">
            <v>3510378360555</v>
          </cell>
          <cell r="C456" t="str">
            <v>Leaver</v>
          </cell>
          <cell r="D456">
            <v>451</v>
          </cell>
          <cell r="E456" t="str">
            <v>Syed Shah Hussain Gillani</v>
          </cell>
          <cell r="F456" t="str">
            <v>Record Keeper</v>
          </cell>
          <cell r="G456">
            <v>45748</v>
          </cell>
          <cell r="H456">
            <v>0</v>
          </cell>
          <cell r="I456" t="str">
            <v>SB Township</v>
          </cell>
          <cell r="J456" t="str">
            <v>14680010144202870015</v>
          </cell>
        </row>
        <row r="457">
          <cell r="B457">
            <v>3520106756681</v>
          </cell>
          <cell r="C457" t="str">
            <v>3rd Tranche</v>
          </cell>
          <cell r="D457">
            <v>452</v>
          </cell>
          <cell r="E457" t="str">
            <v>Zain Arshad</v>
          </cell>
          <cell r="F457" t="str">
            <v>Jr. System Administrator</v>
          </cell>
          <cell r="G457">
            <v>45748</v>
          </cell>
          <cell r="H457">
            <v>0</v>
          </cell>
          <cell r="I457" t="str">
            <v>SB Raiwind</v>
          </cell>
          <cell r="J457" t="str">
            <v>02880010137923940017</v>
          </cell>
        </row>
        <row r="458">
          <cell r="B458">
            <v>3520157085097</v>
          </cell>
          <cell r="C458" t="str">
            <v>3rd Tranche</v>
          </cell>
          <cell r="D458">
            <v>453</v>
          </cell>
          <cell r="E458" t="str">
            <v>Naveed Imran</v>
          </cell>
          <cell r="F458" t="str">
            <v>Sahulat Bazaar Supervisor</v>
          </cell>
          <cell r="G458">
            <v>45748</v>
          </cell>
          <cell r="H458">
            <v>0</v>
          </cell>
          <cell r="I458" t="str">
            <v>STOG Gulshan-e-Ravi</v>
          </cell>
          <cell r="J458" t="str">
            <v>09410010144778930016</v>
          </cell>
        </row>
        <row r="459">
          <cell r="B459">
            <v>3520166689087</v>
          </cell>
          <cell r="C459" t="str">
            <v>3rd Tranche</v>
          </cell>
          <cell r="D459">
            <v>454</v>
          </cell>
          <cell r="E459" t="str">
            <v>Nasir Fayyaz</v>
          </cell>
          <cell r="F459" t="str">
            <v>Sahulat Bazaar Supervisor</v>
          </cell>
          <cell r="G459">
            <v>45748</v>
          </cell>
          <cell r="H459">
            <v>0</v>
          </cell>
          <cell r="I459" t="str">
            <v>STOG Madr-e-Millat</v>
          </cell>
          <cell r="J459" t="str">
            <v>05400010139324220011</v>
          </cell>
        </row>
        <row r="460">
          <cell r="B460">
            <v>3520170121565</v>
          </cell>
          <cell r="C460" t="str">
            <v>3rd Tranche</v>
          </cell>
          <cell r="D460">
            <v>455</v>
          </cell>
          <cell r="E460" t="str">
            <v>Ali Hassan</v>
          </cell>
          <cell r="F460" t="str">
            <v>Sahulat Bazaar Supervisor</v>
          </cell>
          <cell r="G460">
            <v>45748</v>
          </cell>
          <cell r="H460">
            <v>0</v>
          </cell>
          <cell r="I460" t="str">
            <v>SB Kasur</v>
          </cell>
          <cell r="J460" t="str">
            <v>12950010138632440010</v>
          </cell>
        </row>
        <row r="461">
          <cell r="B461">
            <v>3520182599334</v>
          </cell>
          <cell r="C461" t="str">
            <v>3rd Tranche</v>
          </cell>
          <cell r="D461">
            <v>456</v>
          </cell>
          <cell r="E461" t="str">
            <v>Maryam Aslam Khan</v>
          </cell>
          <cell r="F461" t="str">
            <v>Research Assistant</v>
          </cell>
          <cell r="G461">
            <v>45748</v>
          </cell>
          <cell r="H461">
            <v>0</v>
          </cell>
          <cell r="I461" t="str">
            <v>SB Harbanspura</v>
          </cell>
          <cell r="J461" t="str">
            <v>02880010142066640012</v>
          </cell>
        </row>
        <row r="462">
          <cell r="B462">
            <v>3520188006911</v>
          </cell>
          <cell r="C462" t="str">
            <v>3rd Tranche</v>
          </cell>
          <cell r="D462">
            <v>457</v>
          </cell>
          <cell r="E462" t="str">
            <v>Shafiq Masih</v>
          </cell>
          <cell r="F462" t="str">
            <v>Sahulat Bazaar Supervisor</v>
          </cell>
          <cell r="G462">
            <v>45748</v>
          </cell>
          <cell r="H462">
            <v>0</v>
          </cell>
          <cell r="I462" t="str">
            <v>SB Township</v>
          </cell>
          <cell r="J462" t="str">
            <v>02880010136692650023</v>
          </cell>
        </row>
        <row r="463">
          <cell r="B463">
            <v>3520201507099</v>
          </cell>
          <cell r="C463" t="str">
            <v>3rd Tranche</v>
          </cell>
          <cell r="D463">
            <v>458</v>
          </cell>
          <cell r="E463" t="str">
            <v>Khalid Mehmood</v>
          </cell>
          <cell r="F463" t="str">
            <v>Sahulat Bazaar Supervisor</v>
          </cell>
          <cell r="G463">
            <v>45748</v>
          </cell>
          <cell r="H463">
            <v>0</v>
          </cell>
          <cell r="I463" t="str">
            <v>SB Township</v>
          </cell>
          <cell r="J463" t="str">
            <v>02880010051099580025</v>
          </cell>
        </row>
        <row r="464">
          <cell r="B464">
            <v>3520203699861</v>
          </cell>
          <cell r="C464" t="str">
            <v>3rd Tranche</v>
          </cell>
          <cell r="D464">
            <v>459</v>
          </cell>
          <cell r="E464" t="str">
            <v>Bilal Hussain</v>
          </cell>
          <cell r="F464" t="str">
            <v>Sahulat Bazaar Supervisor</v>
          </cell>
          <cell r="G464">
            <v>45748</v>
          </cell>
          <cell r="H464">
            <v>0</v>
          </cell>
          <cell r="I464" t="str">
            <v>SB Johar Town</v>
          </cell>
          <cell r="J464" t="str">
            <v>13470010100528710021</v>
          </cell>
        </row>
        <row r="465">
          <cell r="B465">
            <v>3520203941713</v>
          </cell>
          <cell r="C465" t="str">
            <v>3rd Tranche</v>
          </cell>
          <cell r="D465">
            <v>460</v>
          </cell>
          <cell r="E465" t="str">
            <v>Ali Raza</v>
          </cell>
          <cell r="F465" t="str">
            <v>Sahulat Bazaar Supervisor</v>
          </cell>
          <cell r="G465">
            <v>45748</v>
          </cell>
          <cell r="H465">
            <v>0</v>
          </cell>
          <cell r="I465" t="str">
            <v>SB Raiwind</v>
          </cell>
          <cell r="J465" t="str">
            <v>51570020089258640013</v>
          </cell>
        </row>
        <row r="466">
          <cell r="B466">
            <v>3520210137977</v>
          </cell>
          <cell r="C466" t="str">
            <v>3rd Tranche</v>
          </cell>
          <cell r="D466">
            <v>461</v>
          </cell>
          <cell r="E466" t="str">
            <v>Muhammad Umair</v>
          </cell>
          <cell r="F466" t="str">
            <v>Record Keeper</v>
          </cell>
          <cell r="G466">
            <v>45748</v>
          </cell>
          <cell r="H466">
            <v>0</v>
          </cell>
          <cell r="I466" t="str">
            <v>STOG Kotha Pind Faisal Town</v>
          </cell>
          <cell r="J466" t="str">
            <v>13460010144386570010</v>
          </cell>
        </row>
        <row r="467">
          <cell r="B467">
            <v>3520212422893</v>
          </cell>
          <cell r="C467" t="str">
            <v>3rd Tranche</v>
          </cell>
          <cell r="D467">
            <v>462</v>
          </cell>
          <cell r="E467" t="str">
            <v>Rana Muhammad Abdullah Khan</v>
          </cell>
          <cell r="F467" t="str">
            <v>Sahulat Bazaar Supervisor (Look after charge of Incharge)</v>
          </cell>
          <cell r="G467">
            <v>45748</v>
          </cell>
          <cell r="H467">
            <v>0</v>
          </cell>
          <cell r="I467" t="str">
            <v>STOG Kotha Pind Faisal Town</v>
          </cell>
          <cell r="J467" t="str">
            <v>02880010130076150013</v>
          </cell>
        </row>
        <row r="468">
          <cell r="B468">
            <v>3520215841227</v>
          </cell>
          <cell r="C468" t="str">
            <v>3rd Tranche</v>
          </cell>
          <cell r="D468">
            <v>463</v>
          </cell>
          <cell r="E468" t="str">
            <v xml:space="preserve">Zain   </v>
          </cell>
          <cell r="F468" t="str">
            <v>Record Keeper</v>
          </cell>
          <cell r="G468">
            <v>45748</v>
          </cell>
          <cell r="H468">
            <v>0</v>
          </cell>
          <cell r="I468" t="str">
            <v>STOG Valencia</v>
          </cell>
          <cell r="J468" t="str">
            <v>10790010141961240015</v>
          </cell>
        </row>
        <row r="469">
          <cell r="B469">
            <v>3520216224149</v>
          </cell>
          <cell r="C469" t="str">
            <v>3rd Tranche</v>
          </cell>
          <cell r="D469">
            <v>464</v>
          </cell>
          <cell r="E469" t="str">
            <v>Ahsan Shahid Awan</v>
          </cell>
          <cell r="F469" t="str">
            <v>Sahulat Bazaar Supervisor</v>
          </cell>
          <cell r="G469">
            <v>45748</v>
          </cell>
          <cell r="H469">
            <v>0</v>
          </cell>
          <cell r="I469" t="str">
            <v>STOG Valencia</v>
          </cell>
          <cell r="J469" t="str">
            <v>07660010135457020010</v>
          </cell>
        </row>
        <row r="470">
          <cell r="B470">
            <v>3520216647253</v>
          </cell>
          <cell r="C470" t="str">
            <v>3rd Tranche</v>
          </cell>
          <cell r="D470">
            <v>465</v>
          </cell>
          <cell r="E470" t="str">
            <v>Ahsan Mahmood</v>
          </cell>
          <cell r="F470" t="str">
            <v>Record Keeper</v>
          </cell>
          <cell r="G470">
            <v>45748</v>
          </cell>
          <cell r="H470">
            <v>0</v>
          </cell>
          <cell r="I470" t="str">
            <v>STOG Madr-e-Millat</v>
          </cell>
          <cell r="J470" t="str">
            <v>07660010046377710024</v>
          </cell>
        </row>
        <row r="471">
          <cell r="B471">
            <v>3520216806483</v>
          </cell>
          <cell r="C471" t="str">
            <v>3rd Tranche</v>
          </cell>
          <cell r="D471">
            <v>466</v>
          </cell>
          <cell r="E471" t="str">
            <v>Muhammad Fayyaz</v>
          </cell>
          <cell r="F471" t="str">
            <v>Record Keeper</v>
          </cell>
          <cell r="G471">
            <v>45748</v>
          </cell>
          <cell r="H471">
            <v>0</v>
          </cell>
          <cell r="I471" t="str">
            <v>SB Sher Sha colony</v>
          </cell>
          <cell r="J471" t="str">
            <v>13860010141413870017</v>
          </cell>
        </row>
        <row r="472">
          <cell r="B472">
            <v>3520218965289</v>
          </cell>
          <cell r="C472" t="str">
            <v>3rd Tranche</v>
          </cell>
          <cell r="D472">
            <v>467</v>
          </cell>
          <cell r="E472" t="str">
            <v>Muhammad Wajdan</v>
          </cell>
          <cell r="F472" t="str">
            <v>Sahulat Bazaar Supervisor</v>
          </cell>
          <cell r="G472">
            <v>45748</v>
          </cell>
          <cell r="H472">
            <v>0</v>
          </cell>
          <cell r="I472" t="str">
            <v>STOG Gulshan-e-Ravi</v>
          </cell>
          <cell r="J472" t="str">
            <v>06850010142887680010</v>
          </cell>
        </row>
        <row r="473">
          <cell r="B473">
            <v>3520219484371</v>
          </cell>
          <cell r="C473" t="str">
            <v>3rd Tranche</v>
          </cell>
          <cell r="D473">
            <v>468</v>
          </cell>
          <cell r="E473" t="str">
            <v>Ali Akbar Bhatti</v>
          </cell>
          <cell r="F473" t="str">
            <v>Sahulat Bazaar Supervisor</v>
          </cell>
          <cell r="G473">
            <v>45748</v>
          </cell>
          <cell r="H473">
            <v>0</v>
          </cell>
          <cell r="I473" t="str">
            <v>SB China Scheme</v>
          </cell>
          <cell r="J473" t="str">
            <v>06890010138628050018</v>
          </cell>
        </row>
        <row r="474">
          <cell r="B474">
            <v>3520219808247</v>
          </cell>
          <cell r="C474" t="str">
            <v>3rd Tranche</v>
          </cell>
          <cell r="D474">
            <v>469</v>
          </cell>
          <cell r="E474" t="str">
            <v>Muhammad Danish Ali</v>
          </cell>
          <cell r="F474" t="str">
            <v>Sahulat Bazaar Supervisor</v>
          </cell>
          <cell r="G474">
            <v>45748</v>
          </cell>
          <cell r="H474">
            <v>0</v>
          </cell>
          <cell r="I474" t="str">
            <v>SB Wahdat Colony</v>
          </cell>
          <cell r="J474" t="str">
            <v>11960010079993190010</v>
          </cell>
        </row>
        <row r="475">
          <cell r="B475">
            <v>3520219815663</v>
          </cell>
          <cell r="C475" t="str">
            <v>3rd Tranche</v>
          </cell>
          <cell r="D475">
            <v>470</v>
          </cell>
          <cell r="E475" t="str">
            <v>Umer Huraira</v>
          </cell>
          <cell r="F475" t="str">
            <v>Sahulat Bazaar Supervisor</v>
          </cell>
          <cell r="G475">
            <v>45748</v>
          </cell>
          <cell r="H475">
            <v>0</v>
          </cell>
          <cell r="I475" t="str">
            <v>SB Nishter Town</v>
          </cell>
          <cell r="J475" t="str">
            <v>09650010095770330017</v>
          </cell>
        </row>
        <row r="476">
          <cell r="B476">
            <v>3520223676027</v>
          </cell>
          <cell r="C476" t="str">
            <v>3rd Tranche</v>
          </cell>
          <cell r="D476">
            <v>471</v>
          </cell>
          <cell r="E476" t="str">
            <v>Muhammad Waseem</v>
          </cell>
          <cell r="F476" t="str">
            <v>Sahulat Bazaar Supervisor</v>
          </cell>
          <cell r="G476">
            <v>45748</v>
          </cell>
          <cell r="H476">
            <v>0</v>
          </cell>
          <cell r="I476" t="str">
            <v>SB Chung</v>
          </cell>
          <cell r="J476" t="str">
            <v>05400010139707370017</v>
          </cell>
        </row>
        <row r="477">
          <cell r="B477">
            <v>3520226220123</v>
          </cell>
          <cell r="C477" t="str">
            <v>3rd Tranche</v>
          </cell>
          <cell r="D477">
            <v>472</v>
          </cell>
          <cell r="E477" t="str">
            <v>Muhammad Naveed Habib</v>
          </cell>
          <cell r="F477" t="str">
            <v>Sahulat Bazaar Supervisor</v>
          </cell>
          <cell r="G477">
            <v>45748</v>
          </cell>
          <cell r="H477">
            <v>0</v>
          </cell>
          <cell r="I477" t="str">
            <v>SB Sher Sha Colony</v>
          </cell>
          <cell r="J477" t="str">
            <v>07660010141699920017</v>
          </cell>
        </row>
        <row r="478">
          <cell r="B478">
            <v>3520228515313</v>
          </cell>
          <cell r="C478" t="str">
            <v>3rd Tranche</v>
          </cell>
          <cell r="D478">
            <v>473</v>
          </cell>
          <cell r="E478" t="str">
            <v>Alap Arslan</v>
          </cell>
          <cell r="F478" t="str">
            <v>Record Keeper</v>
          </cell>
          <cell r="G478">
            <v>45748</v>
          </cell>
          <cell r="H478">
            <v>0</v>
          </cell>
          <cell r="I478" t="str">
            <v>SB Johar Town</v>
          </cell>
          <cell r="J478" t="str">
            <v>02880010002767600011</v>
          </cell>
        </row>
        <row r="479">
          <cell r="B479">
            <v>3520228846985</v>
          </cell>
          <cell r="C479" t="str">
            <v>3rd Tranche</v>
          </cell>
          <cell r="D479">
            <v>474</v>
          </cell>
          <cell r="E479" t="str">
            <v>Muhammad Haider Hassan</v>
          </cell>
          <cell r="F479" t="str">
            <v>Graphic Designer</v>
          </cell>
          <cell r="G479">
            <v>45748</v>
          </cell>
          <cell r="H479">
            <v>0</v>
          </cell>
          <cell r="I479" t="str">
            <v>SB Township</v>
          </cell>
          <cell r="J479" t="str">
            <v>02880010142885450018</v>
          </cell>
        </row>
        <row r="480">
          <cell r="B480">
            <v>3520229462637</v>
          </cell>
          <cell r="C480" t="str">
            <v>3rd Tranche</v>
          </cell>
          <cell r="D480">
            <v>475</v>
          </cell>
          <cell r="E480" t="str">
            <v>Ahmad Ali</v>
          </cell>
          <cell r="F480" t="str">
            <v>Record Keeper</v>
          </cell>
          <cell r="G480">
            <v>45748</v>
          </cell>
          <cell r="H480">
            <v>0</v>
          </cell>
          <cell r="I480" t="str">
            <v>STOG Gulshan-e-Ravi</v>
          </cell>
          <cell r="J480" t="str">
            <v>03420010139773490017</v>
          </cell>
        </row>
        <row r="481">
          <cell r="B481">
            <v>3520230266763</v>
          </cell>
          <cell r="C481" t="str">
            <v>3rd Tranche</v>
          </cell>
          <cell r="D481">
            <v>476</v>
          </cell>
          <cell r="E481" t="str">
            <v>Muhammad Naveed</v>
          </cell>
          <cell r="F481" t="str">
            <v>Sahulat Bazaar Supervisor</v>
          </cell>
          <cell r="G481">
            <v>45748</v>
          </cell>
          <cell r="H481">
            <v>0</v>
          </cell>
          <cell r="I481" t="str">
            <v>SB Raiwind</v>
          </cell>
          <cell r="J481" t="str">
            <v>13460010131119950013</v>
          </cell>
        </row>
        <row r="482">
          <cell r="B482">
            <v>3520232804593</v>
          </cell>
          <cell r="C482" t="str">
            <v>3rd Tranche</v>
          </cell>
          <cell r="D482">
            <v>477</v>
          </cell>
          <cell r="E482" t="str">
            <v>Abdul Rehman</v>
          </cell>
          <cell r="F482" t="str">
            <v>Record Keeper</v>
          </cell>
          <cell r="G482">
            <v>45748</v>
          </cell>
          <cell r="H482">
            <v>0</v>
          </cell>
          <cell r="I482" t="str">
            <v>SB Johar Town</v>
          </cell>
          <cell r="J482" t="str">
            <v>02880010134231700013</v>
          </cell>
        </row>
        <row r="483">
          <cell r="B483">
            <v>3520233950025</v>
          </cell>
          <cell r="C483" t="str">
            <v>3rd Tranche</v>
          </cell>
          <cell r="D483">
            <v>478</v>
          </cell>
          <cell r="E483" t="str">
            <v>Ahmar Raza</v>
          </cell>
          <cell r="F483" t="str">
            <v>Record Keeper</v>
          </cell>
          <cell r="G483">
            <v>45748</v>
          </cell>
          <cell r="H483">
            <v>0</v>
          </cell>
          <cell r="I483" t="str">
            <v>SB Raiwind</v>
          </cell>
          <cell r="J483" t="str">
            <v>03910010141495390016</v>
          </cell>
        </row>
        <row r="484">
          <cell r="B484">
            <v>3520235473673</v>
          </cell>
          <cell r="C484" t="str">
            <v>3rd Tranche</v>
          </cell>
          <cell r="D484">
            <v>479</v>
          </cell>
          <cell r="E484" t="str">
            <v>Muhammad Shahzaib</v>
          </cell>
          <cell r="F484" t="str">
            <v>Sahulat Bazaar Supervisor</v>
          </cell>
          <cell r="G484">
            <v>45748</v>
          </cell>
          <cell r="H484">
            <v>0</v>
          </cell>
          <cell r="I484" t="str">
            <v>STOG Gulshan-e-Ravi</v>
          </cell>
          <cell r="J484" t="str">
            <v>05320010142202070016</v>
          </cell>
        </row>
        <row r="485">
          <cell r="B485">
            <v>3520237255021</v>
          </cell>
          <cell r="C485" t="str">
            <v>3rd Tranche</v>
          </cell>
          <cell r="D485">
            <v>480</v>
          </cell>
          <cell r="E485" t="str">
            <v>Mohsin Ali</v>
          </cell>
          <cell r="F485" t="str">
            <v>Record Keeper</v>
          </cell>
          <cell r="G485">
            <v>45748</v>
          </cell>
          <cell r="H485">
            <v>0</v>
          </cell>
          <cell r="I485" t="str">
            <v>STOG Awan Town</v>
          </cell>
          <cell r="J485" t="str">
            <v>03910010141463770015</v>
          </cell>
        </row>
        <row r="486">
          <cell r="B486">
            <v>3520238378453</v>
          </cell>
          <cell r="C486" t="str">
            <v>3rd Tranche</v>
          </cell>
          <cell r="D486">
            <v>481</v>
          </cell>
          <cell r="E486" t="str">
            <v>Muhammad Nisar</v>
          </cell>
          <cell r="F486" t="str">
            <v>Sahulat Bazaar Supervisor</v>
          </cell>
          <cell r="G486">
            <v>45748</v>
          </cell>
          <cell r="H486">
            <v>0</v>
          </cell>
          <cell r="I486" t="str">
            <v>SB Thokar</v>
          </cell>
          <cell r="J486" t="str">
            <v>07660010142476210012</v>
          </cell>
        </row>
        <row r="487">
          <cell r="B487">
            <v>3520242510771</v>
          </cell>
          <cell r="C487" t="str">
            <v>3rd Tranche</v>
          </cell>
          <cell r="D487">
            <v>482</v>
          </cell>
          <cell r="E487" t="str">
            <v>Mudassar Mahmood</v>
          </cell>
          <cell r="F487" t="str">
            <v>Operations Assistant</v>
          </cell>
          <cell r="G487">
            <v>45748</v>
          </cell>
          <cell r="H487">
            <v>0</v>
          </cell>
          <cell r="I487" t="str">
            <v>SB Sabzazaar</v>
          </cell>
          <cell r="J487" t="str">
            <v>09410010142854850010</v>
          </cell>
        </row>
        <row r="488">
          <cell r="B488">
            <v>3520245210941</v>
          </cell>
          <cell r="C488" t="str">
            <v>3rd Tranche</v>
          </cell>
          <cell r="D488">
            <v>483</v>
          </cell>
          <cell r="E488" t="str">
            <v>Malik Noor Hussain Khalid</v>
          </cell>
          <cell r="F488" t="str">
            <v>Sahulat Bazaar Supervisor</v>
          </cell>
          <cell r="G488">
            <v>45748</v>
          </cell>
          <cell r="H488">
            <v>0</v>
          </cell>
          <cell r="I488" t="str">
            <v>SB Thokar</v>
          </cell>
          <cell r="J488" t="str">
            <v>07890010048964810022</v>
          </cell>
        </row>
        <row r="489">
          <cell r="B489">
            <v>3520246599950</v>
          </cell>
          <cell r="C489" t="str">
            <v>3rd Tranche</v>
          </cell>
          <cell r="D489">
            <v>484</v>
          </cell>
          <cell r="E489" t="str">
            <v>Jaweria Sherazi</v>
          </cell>
          <cell r="F489" t="str">
            <v>Sahulat Bazaar Supervisor</v>
          </cell>
          <cell r="G489">
            <v>45748</v>
          </cell>
          <cell r="H489">
            <v>0</v>
          </cell>
          <cell r="I489" t="str">
            <v>SB Raiwind</v>
          </cell>
          <cell r="J489" t="str">
            <v>03910010141671090013</v>
          </cell>
        </row>
        <row r="490">
          <cell r="B490">
            <v>3520250938147</v>
          </cell>
          <cell r="C490" t="str">
            <v>3rd Tranche</v>
          </cell>
          <cell r="D490">
            <v>485</v>
          </cell>
          <cell r="E490" t="str">
            <v>Moeez Ahmad</v>
          </cell>
          <cell r="F490" t="str">
            <v>Record Keeper</v>
          </cell>
          <cell r="G490">
            <v>45748</v>
          </cell>
          <cell r="H490">
            <v>0</v>
          </cell>
          <cell r="I490" t="str">
            <v>STOG Shahdran</v>
          </cell>
          <cell r="J490" t="str">
            <v>05150010140080700010</v>
          </cell>
        </row>
        <row r="491">
          <cell r="B491">
            <v>3520251901966</v>
          </cell>
          <cell r="C491" t="str">
            <v>3rd Tranche</v>
          </cell>
          <cell r="D491">
            <v>486</v>
          </cell>
          <cell r="E491" t="str">
            <v>Faiqa Shaheen</v>
          </cell>
          <cell r="F491" t="str">
            <v>Record Keeper</v>
          </cell>
          <cell r="G491">
            <v>45748</v>
          </cell>
          <cell r="H491">
            <v>0</v>
          </cell>
          <cell r="I491" t="str">
            <v>SB Chung</v>
          </cell>
          <cell r="J491" t="str">
            <v>07660010140896810018</v>
          </cell>
        </row>
        <row r="492">
          <cell r="B492">
            <v>3520253369153</v>
          </cell>
          <cell r="C492" t="str">
            <v>3rd Tranche</v>
          </cell>
          <cell r="D492">
            <v>487</v>
          </cell>
          <cell r="E492" t="str">
            <v>Muhammad Razzaq</v>
          </cell>
          <cell r="F492" t="str">
            <v>Sahulat Bazaar Supervisor</v>
          </cell>
          <cell r="G492">
            <v>45748</v>
          </cell>
          <cell r="H492">
            <v>0</v>
          </cell>
          <cell r="I492" t="str">
            <v>SB Raiwind</v>
          </cell>
          <cell r="J492" t="str">
            <v>10520010138323080012</v>
          </cell>
        </row>
        <row r="493">
          <cell r="B493">
            <v>3520253413405</v>
          </cell>
          <cell r="C493" t="str">
            <v>3rd Tranche</v>
          </cell>
          <cell r="D493">
            <v>488</v>
          </cell>
          <cell r="E493" t="str">
            <v>Muhammad Qasim</v>
          </cell>
          <cell r="F493" t="str">
            <v>Record Keeper</v>
          </cell>
          <cell r="G493">
            <v>45748</v>
          </cell>
          <cell r="H493">
            <v>0</v>
          </cell>
          <cell r="I493" t="str">
            <v>SB Sher Sha Colony</v>
          </cell>
          <cell r="J493" t="str">
            <v>10080010091767690019</v>
          </cell>
        </row>
        <row r="494">
          <cell r="B494">
            <v>3520257022395</v>
          </cell>
          <cell r="C494" t="str">
            <v>3rd Tranche</v>
          </cell>
          <cell r="D494">
            <v>489</v>
          </cell>
          <cell r="E494" t="str">
            <v>Muhammad Habib</v>
          </cell>
          <cell r="F494" t="str">
            <v>Sahulat Bazaar Supervisor</v>
          </cell>
          <cell r="G494">
            <v>45748</v>
          </cell>
          <cell r="H494">
            <v>0</v>
          </cell>
          <cell r="I494" t="str">
            <v>SB Wahdat Colony</v>
          </cell>
          <cell r="J494" t="str">
            <v>12630010092778280015</v>
          </cell>
        </row>
        <row r="495">
          <cell r="B495">
            <v>3520257140437</v>
          </cell>
          <cell r="C495" t="str">
            <v>3rd Tranche</v>
          </cell>
          <cell r="D495">
            <v>490</v>
          </cell>
          <cell r="E495" t="str">
            <v>Mirza Muhammad Aleem Baig</v>
          </cell>
          <cell r="F495" t="str">
            <v>Record Keeper</v>
          </cell>
          <cell r="G495">
            <v>45748</v>
          </cell>
          <cell r="H495">
            <v>0</v>
          </cell>
          <cell r="I495" t="str">
            <v>STOG Shadman</v>
          </cell>
          <cell r="J495" t="str">
            <v>09650010141768300013</v>
          </cell>
        </row>
        <row r="496">
          <cell r="B496">
            <v>3520258204277</v>
          </cell>
          <cell r="C496" t="str">
            <v>3rd Tranche</v>
          </cell>
          <cell r="D496">
            <v>491</v>
          </cell>
          <cell r="E496" t="str">
            <v>Muhammad Usama</v>
          </cell>
          <cell r="F496" t="str">
            <v>Sahulat Bazaar Supervisor</v>
          </cell>
          <cell r="G496">
            <v>45748</v>
          </cell>
          <cell r="H496">
            <v>0</v>
          </cell>
          <cell r="I496" t="str">
            <v>STOG Manga Mandi</v>
          </cell>
          <cell r="J496" t="str">
            <v>07660010138488290019</v>
          </cell>
        </row>
        <row r="497">
          <cell r="B497">
            <v>3520258987265</v>
          </cell>
          <cell r="C497" t="str">
            <v>3rd Tranche</v>
          </cell>
          <cell r="D497">
            <v>492</v>
          </cell>
          <cell r="E497" t="str">
            <v>Danish Adeeb</v>
          </cell>
          <cell r="F497" t="str">
            <v>Record Keeper</v>
          </cell>
          <cell r="G497">
            <v>45748</v>
          </cell>
          <cell r="H497">
            <v>0</v>
          </cell>
          <cell r="I497" t="str">
            <v>SB Township</v>
          </cell>
          <cell r="J497" t="str">
            <v>07660010131019000013</v>
          </cell>
        </row>
        <row r="498">
          <cell r="B498">
            <v>3520260013031</v>
          </cell>
          <cell r="C498" t="str">
            <v>3rd Tranche</v>
          </cell>
          <cell r="D498">
            <v>493</v>
          </cell>
          <cell r="E498" t="str">
            <v>Usama Chand</v>
          </cell>
          <cell r="F498" t="str">
            <v>Sahulat Bazaar Supervisor</v>
          </cell>
          <cell r="G498">
            <v>45748</v>
          </cell>
          <cell r="H498">
            <v>0</v>
          </cell>
          <cell r="I498" t="str">
            <v>SB Thokar</v>
          </cell>
          <cell r="J498" t="str">
            <v>07660010142476360010</v>
          </cell>
        </row>
        <row r="499">
          <cell r="B499">
            <v>3520261938775</v>
          </cell>
          <cell r="C499" t="str">
            <v>3rd Tranche</v>
          </cell>
          <cell r="D499">
            <v>494</v>
          </cell>
          <cell r="E499" t="str">
            <v>Muhammad Sufiyan</v>
          </cell>
          <cell r="F499" t="str">
            <v>Record Keeper</v>
          </cell>
          <cell r="G499">
            <v>45748</v>
          </cell>
          <cell r="H499">
            <v>0</v>
          </cell>
          <cell r="I499" t="str">
            <v>SB Sher Sha Colony</v>
          </cell>
          <cell r="J499" t="str">
            <v>09650010129996180014</v>
          </cell>
        </row>
        <row r="500">
          <cell r="B500">
            <v>3520262569395</v>
          </cell>
          <cell r="C500" t="str">
            <v>3rd Tranche</v>
          </cell>
          <cell r="D500">
            <v>495</v>
          </cell>
          <cell r="E500" t="str">
            <v>Muhammad Ali</v>
          </cell>
          <cell r="F500" t="str">
            <v>Sahulat Bazaar Supervisor</v>
          </cell>
          <cell r="G500">
            <v>45748</v>
          </cell>
          <cell r="H500">
            <v>0</v>
          </cell>
          <cell r="I500" t="str">
            <v>SB Raiwind</v>
          </cell>
          <cell r="J500" t="str">
            <v>12630010139339150017</v>
          </cell>
        </row>
        <row r="501">
          <cell r="B501">
            <v>3520263118895</v>
          </cell>
          <cell r="C501" t="str">
            <v>3rd Tranche</v>
          </cell>
          <cell r="D501">
            <v>496</v>
          </cell>
          <cell r="E501" t="str">
            <v>Usman Anwar</v>
          </cell>
          <cell r="F501" t="str">
            <v>Record Keeper</v>
          </cell>
          <cell r="G501">
            <v>45748</v>
          </cell>
          <cell r="H501">
            <v>0</v>
          </cell>
          <cell r="I501" t="str">
            <v>SB China Scheme</v>
          </cell>
          <cell r="J501" t="str">
            <v>07660010138565260011</v>
          </cell>
        </row>
        <row r="502">
          <cell r="B502">
            <v>3520263901423</v>
          </cell>
          <cell r="C502" t="str">
            <v>3rd Tranche</v>
          </cell>
          <cell r="D502">
            <v>497</v>
          </cell>
          <cell r="E502" t="str">
            <v>Rashid Ali</v>
          </cell>
          <cell r="F502" t="str">
            <v>Sahulat Bazaar Incharge</v>
          </cell>
          <cell r="G502">
            <v>45748</v>
          </cell>
          <cell r="H502">
            <v>0</v>
          </cell>
          <cell r="I502" t="str">
            <v>SB Chung</v>
          </cell>
          <cell r="J502" t="str">
            <v>03910010128791570010</v>
          </cell>
        </row>
        <row r="503">
          <cell r="B503">
            <v>3520265497789</v>
          </cell>
          <cell r="C503" t="str">
            <v>3rd Tranche</v>
          </cell>
          <cell r="D503">
            <v>498</v>
          </cell>
          <cell r="E503" t="str">
            <v>Dawood Muneer</v>
          </cell>
          <cell r="F503" t="str">
            <v>Sahulat Bazaar Supervisor</v>
          </cell>
          <cell r="G503">
            <v>45748</v>
          </cell>
          <cell r="H503">
            <v>0</v>
          </cell>
          <cell r="I503" t="str">
            <v>SB Wahdat Colony</v>
          </cell>
          <cell r="J503" t="str">
            <v>02880010045640920029</v>
          </cell>
        </row>
        <row r="504">
          <cell r="B504">
            <v>3520267206256</v>
          </cell>
          <cell r="C504" t="str">
            <v>3rd Tranche</v>
          </cell>
          <cell r="D504">
            <v>499</v>
          </cell>
          <cell r="E504" t="str">
            <v>Iqra Amir</v>
          </cell>
          <cell r="F504" t="str">
            <v>Operations Assistant</v>
          </cell>
          <cell r="G504">
            <v>45748</v>
          </cell>
          <cell r="H504">
            <v>0</v>
          </cell>
          <cell r="I504" t="str">
            <v>SB Wahdat Colony</v>
          </cell>
          <cell r="J504" t="str">
            <v>05400010134609250017</v>
          </cell>
        </row>
        <row r="505">
          <cell r="B505">
            <v>3520268924647</v>
          </cell>
          <cell r="C505" t="str">
            <v>3rd Tranche</v>
          </cell>
          <cell r="D505">
            <v>500</v>
          </cell>
          <cell r="E505" t="str">
            <v>Aqib Saleem</v>
          </cell>
          <cell r="F505" t="str">
            <v>Sahulat Bazaar Supervisor</v>
          </cell>
          <cell r="G505">
            <v>45748</v>
          </cell>
          <cell r="H505">
            <v>0</v>
          </cell>
          <cell r="I505" t="str">
            <v>SB Sher Sha Colony</v>
          </cell>
          <cell r="J505" t="str">
            <v>01260010135244350013</v>
          </cell>
        </row>
        <row r="506">
          <cell r="B506">
            <v>3520269431433</v>
          </cell>
          <cell r="C506" t="str">
            <v>3rd Tranche</v>
          </cell>
          <cell r="D506">
            <v>501</v>
          </cell>
          <cell r="E506" t="str">
            <v>Ali Raza</v>
          </cell>
          <cell r="F506" t="str">
            <v>Sahulat Bazaar Supervisor</v>
          </cell>
          <cell r="G506">
            <v>45748</v>
          </cell>
          <cell r="H506">
            <v>0</v>
          </cell>
          <cell r="I506" t="str">
            <v>SB Johar Town</v>
          </cell>
          <cell r="J506" t="str">
            <v>51450020124375520011</v>
          </cell>
        </row>
        <row r="507">
          <cell r="B507">
            <v>3520269893877</v>
          </cell>
          <cell r="C507" t="str">
            <v>3rd Tranche</v>
          </cell>
          <cell r="D507">
            <v>502</v>
          </cell>
          <cell r="E507" t="str">
            <v>Noor ul Hassan</v>
          </cell>
          <cell r="F507" t="str">
            <v>Record Keeper</v>
          </cell>
          <cell r="G507">
            <v>45748</v>
          </cell>
          <cell r="H507">
            <v>0</v>
          </cell>
          <cell r="I507" t="str">
            <v>STOG Shadman</v>
          </cell>
          <cell r="J507" t="str">
            <v>13900010134278820019</v>
          </cell>
        </row>
        <row r="508">
          <cell r="B508">
            <v>3520270735919</v>
          </cell>
          <cell r="C508" t="str">
            <v>3rd Tranche</v>
          </cell>
          <cell r="D508">
            <v>503</v>
          </cell>
          <cell r="E508" t="str">
            <v>Anas ur Rehman</v>
          </cell>
          <cell r="F508" t="str">
            <v>Sahulat Bazaar Supervisor</v>
          </cell>
          <cell r="G508">
            <v>45748</v>
          </cell>
          <cell r="H508">
            <v>0</v>
          </cell>
          <cell r="I508" t="str">
            <v>STOG Barki Road</v>
          </cell>
          <cell r="J508" t="str">
            <v>04730010115715770011</v>
          </cell>
        </row>
        <row r="509">
          <cell r="B509">
            <v>3520272066599</v>
          </cell>
          <cell r="C509" t="str">
            <v>Suspended 29-04-25</v>
          </cell>
          <cell r="D509">
            <v>504</v>
          </cell>
          <cell r="E509" t="str">
            <v>Usama Ali Shakir</v>
          </cell>
          <cell r="F509" t="str">
            <v>Sahulat Bazaar Supervisor</v>
          </cell>
          <cell r="G509">
            <v>45748</v>
          </cell>
          <cell r="H509">
            <v>0</v>
          </cell>
          <cell r="I509" t="str">
            <v>SB Township</v>
          </cell>
          <cell r="J509" t="str">
            <v>10960010062454810017</v>
          </cell>
        </row>
        <row r="510">
          <cell r="B510">
            <v>3520273282247</v>
          </cell>
          <cell r="C510" t="str">
            <v>3rd Tranche</v>
          </cell>
          <cell r="D510">
            <v>505</v>
          </cell>
          <cell r="E510" t="str">
            <v>Shaukat Ali Shah</v>
          </cell>
          <cell r="F510" t="str">
            <v>Sahulat Bazaar Supervisor</v>
          </cell>
          <cell r="G510">
            <v>45748</v>
          </cell>
          <cell r="H510">
            <v>0</v>
          </cell>
          <cell r="I510" t="str">
            <v>SB Sher Sha Colony</v>
          </cell>
          <cell r="J510" t="str">
            <v>03910010007946400020</v>
          </cell>
        </row>
        <row r="511">
          <cell r="B511">
            <v>3520274261144</v>
          </cell>
          <cell r="C511" t="str">
            <v>3rd Tranche</v>
          </cell>
          <cell r="D511">
            <v>506</v>
          </cell>
          <cell r="E511" t="str">
            <v>Rafia Shabir</v>
          </cell>
          <cell r="F511" t="str">
            <v>Supervisor FHD</v>
          </cell>
          <cell r="G511">
            <v>45748</v>
          </cell>
          <cell r="H511">
            <v>0</v>
          </cell>
          <cell r="I511" t="str">
            <v>SB Township</v>
          </cell>
          <cell r="J511" t="str">
            <v>01530010074217780011</v>
          </cell>
        </row>
        <row r="512">
          <cell r="B512">
            <v>3520274546221</v>
          </cell>
          <cell r="C512" t="str">
            <v>3rd Tranche</v>
          </cell>
          <cell r="D512">
            <v>507</v>
          </cell>
          <cell r="E512" t="str">
            <v>Ali Raza Liaquat</v>
          </cell>
          <cell r="F512" t="str">
            <v>Sahulat Bazaar Supervisor</v>
          </cell>
          <cell r="G512">
            <v>45748</v>
          </cell>
          <cell r="H512">
            <v>0</v>
          </cell>
          <cell r="I512" t="str">
            <v>SB Wahdat Colony</v>
          </cell>
          <cell r="J512" t="str">
            <v>02880010143980800014</v>
          </cell>
        </row>
        <row r="513">
          <cell r="B513">
            <v>3520274856315</v>
          </cell>
          <cell r="C513" t="str">
            <v>3rd Tranche</v>
          </cell>
          <cell r="D513">
            <v>508</v>
          </cell>
          <cell r="E513" t="str">
            <v>Muhammad Usama Mubarik</v>
          </cell>
          <cell r="F513" t="str">
            <v>Sahulat Bazaar Supervisor</v>
          </cell>
          <cell r="G513">
            <v>45748</v>
          </cell>
          <cell r="H513">
            <v>0</v>
          </cell>
          <cell r="I513" t="str">
            <v>SB Chunian</v>
          </cell>
          <cell r="J513" t="str">
            <v>51210020143302750027</v>
          </cell>
        </row>
        <row r="514">
          <cell r="B514">
            <v>3520276038885</v>
          </cell>
          <cell r="C514" t="str">
            <v>3rd Tranche</v>
          </cell>
          <cell r="D514">
            <v>509</v>
          </cell>
          <cell r="E514" t="str">
            <v>Muhammad Haroon</v>
          </cell>
          <cell r="F514" t="str">
            <v>Sahulat Bazaar Supervisor</v>
          </cell>
          <cell r="G514">
            <v>45748</v>
          </cell>
          <cell r="H514">
            <v>0</v>
          </cell>
          <cell r="I514" t="str">
            <v>SB Johar Town</v>
          </cell>
          <cell r="J514" t="str">
            <v>02880010142853920010</v>
          </cell>
        </row>
        <row r="515">
          <cell r="B515">
            <v>3520278865219</v>
          </cell>
          <cell r="C515" t="str">
            <v>3rd Tranche</v>
          </cell>
          <cell r="D515">
            <v>510</v>
          </cell>
          <cell r="E515" t="str">
            <v>Muhammad Shahzad Hanif</v>
          </cell>
          <cell r="F515" t="str">
            <v>Sahulat Bazaar Supervisor</v>
          </cell>
          <cell r="G515">
            <v>45748</v>
          </cell>
          <cell r="H515">
            <v>0</v>
          </cell>
          <cell r="I515" t="str">
            <v>SB Johar Town</v>
          </cell>
          <cell r="J515" t="str">
            <v>07890010141745870010</v>
          </cell>
        </row>
        <row r="516">
          <cell r="B516">
            <v>3520280883235</v>
          </cell>
          <cell r="C516" t="str">
            <v>3rd Tranche</v>
          </cell>
          <cell r="D516">
            <v>511</v>
          </cell>
          <cell r="E516" t="str">
            <v>Muhammad Adil</v>
          </cell>
          <cell r="F516" t="str">
            <v>Sahulat Bazaar Supervisor</v>
          </cell>
          <cell r="G516">
            <v>45748</v>
          </cell>
          <cell r="H516">
            <v>0</v>
          </cell>
          <cell r="I516" t="str">
            <v>SB Township</v>
          </cell>
          <cell r="J516" t="str">
            <v>03900010132570190010</v>
          </cell>
        </row>
        <row r="517">
          <cell r="B517">
            <v>3520283315345</v>
          </cell>
          <cell r="C517" t="str">
            <v>3rd Tranche</v>
          </cell>
          <cell r="D517">
            <v>512</v>
          </cell>
          <cell r="E517" t="str">
            <v>Sohail Munir</v>
          </cell>
          <cell r="F517" t="str">
            <v>Sahulat Bazaar Supervisor</v>
          </cell>
          <cell r="G517">
            <v>45748</v>
          </cell>
          <cell r="H517">
            <v>0</v>
          </cell>
          <cell r="I517" t="str">
            <v>STOG Awan Town</v>
          </cell>
          <cell r="J517" t="str">
            <v>12630010090982510013</v>
          </cell>
        </row>
        <row r="518">
          <cell r="B518">
            <v>3520283452099</v>
          </cell>
          <cell r="C518" t="str">
            <v>3rd Tranche</v>
          </cell>
          <cell r="D518">
            <v>513</v>
          </cell>
          <cell r="E518" t="str">
            <v>Khawaja Jawad Ahmad</v>
          </cell>
          <cell r="F518" t="str">
            <v>Record Keeper</v>
          </cell>
          <cell r="G518">
            <v>45748</v>
          </cell>
          <cell r="H518">
            <v>0</v>
          </cell>
          <cell r="I518" t="str">
            <v>STOG Raiwind Road Sundar</v>
          </cell>
          <cell r="J518" t="str">
            <v>12630010080703140013</v>
          </cell>
        </row>
        <row r="519">
          <cell r="B519">
            <v>3520286605879</v>
          </cell>
          <cell r="C519" t="str">
            <v>3rd Tranche</v>
          </cell>
          <cell r="D519">
            <v>514</v>
          </cell>
          <cell r="E519" t="str">
            <v xml:space="preserve">Hassan Raza Khokhar </v>
          </cell>
          <cell r="F519" t="str">
            <v>Sahulat Bazaar Supervisor</v>
          </cell>
          <cell r="G519">
            <v>45748</v>
          </cell>
          <cell r="H519">
            <v>0</v>
          </cell>
          <cell r="I519" t="str">
            <v>SB Thokar</v>
          </cell>
          <cell r="J519" t="str">
            <v>02880010046413410012</v>
          </cell>
        </row>
        <row r="520">
          <cell r="B520">
            <v>3520287651143</v>
          </cell>
          <cell r="C520" t="str">
            <v>3rd Tranche</v>
          </cell>
          <cell r="D520">
            <v>515</v>
          </cell>
          <cell r="E520" t="str">
            <v>Suleman</v>
          </cell>
          <cell r="F520" t="str">
            <v>Sahulat Bazaar Supervisor</v>
          </cell>
          <cell r="G520">
            <v>45748</v>
          </cell>
          <cell r="H520">
            <v>0</v>
          </cell>
          <cell r="I520" t="str">
            <v>STOG Valencia</v>
          </cell>
          <cell r="J520" t="str">
            <v>11950010080957750018</v>
          </cell>
        </row>
        <row r="521">
          <cell r="B521">
            <v>3520288383053</v>
          </cell>
          <cell r="C521" t="str">
            <v>3rd Tranche</v>
          </cell>
          <cell r="D521">
            <v>516</v>
          </cell>
          <cell r="E521" t="str">
            <v>Muhammad Zeeshan Mansha</v>
          </cell>
          <cell r="F521" t="str">
            <v>Supervisor FHD</v>
          </cell>
          <cell r="G521">
            <v>45748</v>
          </cell>
          <cell r="H521">
            <v>0</v>
          </cell>
          <cell r="I521" t="str">
            <v>SB Johar Town</v>
          </cell>
          <cell r="J521" t="str">
            <v>07660010134267540016</v>
          </cell>
        </row>
        <row r="522">
          <cell r="B522">
            <v>3520288487529</v>
          </cell>
          <cell r="C522" t="str">
            <v>3rd Tranche</v>
          </cell>
          <cell r="D522">
            <v>517</v>
          </cell>
          <cell r="E522" t="str">
            <v>Rafaqat Ali</v>
          </cell>
          <cell r="F522" t="str">
            <v>Record Keeper</v>
          </cell>
          <cell r="G522">
            <v>45748</v>
          </cell>
          <cell r="H522">
            <v>0</v>
          </cell>
          <cell r="I522" t="str">
            <v>SB Raiwind</v>
          </cell>
          <cell r="J522" t="str">
            <v>13460010138423280024</v>
          </cell>
        </row>
        <row r="523">
          <cell r="B523">
            <v>3520288885089</v>
          </cell>
          <cell r="C523" t="str">
            <v>3rd Tranche</v>
          </cell>
          <cell r="D523">
            <v>518</v>
          </cell>
          <cell r="E523" t="str">
            <v>Haris Asif</v>
          </cell>
          <cell r="F523" t="str">
            <v>Sahulat Bazaar Supervisor</v>
          </cell>
          <cell r="G523">
            <v>45748</v>
          </cell>
          <cell r="H523">
            <v>0</v>
          </cell>
          <cell r="I523" t="str">
            <v>SB Raiwind</v>
          </cell>
          <cell r="J523" t="str">
            <v>03910010142774560017</v>
          </cell>
        </row>
        <row r="524">
          <cell r="B524">
            <v>3520289693279</v>
          </cell>
          <cell r="C524" t="str">
            <v>3rd Tranche</v>
          </cell>
          <cell r="D524">
            <v>519</v>
          </cell>
          <cell r="E524" t="str">
            <v>Muhammad Javaid Sardar</v>
          </cell>
          <cell r="F524" t="str">
            <v>Sahulat Bazaar Supervisor</v>
          </cell>
          <cell r="G524">
            <v>45748</v>
          </cell>
          <cell r="H524">
            <v>0</v>
          </cell>
          <cell r="I524" t="str">
            <v>SB Thokar</v>
          </cell>
          <cell r="J524" t="str">
            <v>09650010135268420013</v>
          </cell>
        </row>
        <row r="525">
          <cell r="B525">
            <v>3520290567665</v>
          </cell>
          <cell r="C525" t="str">
            <v>3rd Tranche</v>
          </cell>
          <cell r="D525">
            <v>520</v>
          </cell>
          <cell r="E525" t="str">
            <v>Malik Farhan Ali</v>
          </cell>
          <cell r="F525" t="str">
            <v>Sahulat Bazaar Supervisor</v>
          </cell>
          <cell r="G525">
            <v>45748</v>
          </cell>
          <cell r="H525">
            <v>0</v>
          </cell>
          <cell r="I525" t="str">
            <v>SB Johar Town</v>
          </cell>
          <cell r="J525" t="str">
            <v>10080010139537410010</v>
          </cell>
        </row>
        <row r="526">
          <cell r="B526">
            <v>3520290888511</v>
          </cell>
          <cell r="C526" t="str">
            <v>3rd Tranche</v>
          </cell>
          <cell r="D526">
            <v>521</v>
          </cell>
          <cell r="E526" t="str">
            <v>Ali Hamza</v>
          </cell>
          <cell r="F526" t="str">
            <v>Sahulat Bazaar Supervisor</v>
          </cell>
          <cell r="G526">
            <v>45748</v>
          </cell>
          <cell r="H526">
            <v>0</v>
          </cell>
          <cell r="I526" t="str">
            <v>STOG Manga Mandi</v>
          </cell>
          <cell r="J526" t="str">
            <v>01530010132457830010</v>
          </cell>
        </row>
        <row r="527">
          <cell r="B527">
            <v>3520291968959</v>
          </cell>
          <cell r="C527" t="str">
            <v>3rd Tranche</v>
          </cell>
          <cell r="D527">
            <v>522</v>
          </cell>
          <cell r="E527" t="str">
            <v>Rashid Masih</v>
          </cell>
          <cell r="F527" t="str">
            <v>Sahulat Bazaar Supervisor</v>
          </cell>
          <cell r="G527">
            <v>45748</v>
          </cell>
          <cell r="H527">
            <v>0</v>
          </cell>
          <cell r="I527" t="str">
            <v>SB Raiwind</v>
          </cell>
          <cell r="J527" t="str">
            <v>04810010103264930014</v>
          </cell>
        </row>
        <row r="528">
          <cell r="B528">
            <v>3520292242625</v>
          </cell>
          <cell r="C528" t="str">
            <v>3rd Tranche</v>
          </cell>
          <cell r="D528">
            <v>523</v>
          </cell>
          <cell r="E528" t="str">
            <v>Ghulam Haider</v>
          </cell>
          <cell r="F528" t="str">
            <v>Sahulat Bazaar Supervisor</v>
          </cell>
          <cell r="G528">
            <v>45748</v>
          </cell>
          <cell r="H528">
            <v>0</v>
          </cell>
          <cell r="I528" t="str">
            <v>SB Thokar</v>
          </cell>
          <cell r="J528" t="str">
            <v>12960010107115560019</v>
          </cell>
        </row>
        <row r="529">
          <cell r="B529">
            <v>3520292712793</v>
          </cell>
          <cell r="C529" t="str">
            <v>3rd Tranche</v>
          </cell>
          <cell r="D529">
            <v>524</v>
          </cell>
          <cell r="E529" t="str">
            <v>Abrar Hussain</v>
          </cell>
          <cell r="F529" t="str">
            <v>Sahulat Bazaar Supervisor</v>
          </cell>
          <cell r="G529">
            <v>45748</v>
          </cell>
          <cell r="H529">
            <v>0</v>
          </cell>
          <cell r="I529" t="str">
            <v>SB Raiwind</v>
          </cell>
          <cell r="J529" t="str">
            <v>00620010082897740019</v>
          </cell>
        </row>
        <row r="530">
          <cell r="B530">
            <v>3520293261653</v>
          </cell>
          <cell r="C530" t="str">
            <v>3rd Tranche</v>
          </cell>
          <cell r="D530">
            <v>525</v>
          </cell>
          <cell r="E530" t="str">
            <v>Muhammad Abubakar Riaz</v>
          </cell>
          <cell r="F530" t="str">
            <v>Sahulat Bazaar Supervisor</v>
          </cell>
          <cell r="G530">
            <v>45748</v>
          </cell>
          <cell r="H530">
            <v>0</v>
          </cell>
          <cell r="I530" t="str">
            <v>SB Raiwind</v>
          </cell>
          <cell r="J530" t="str">
            <v>03910010133755810016</v>
          </cell>
        </row>
        <row r="531">
          <cell r="B531">
            <v>3520296400575</v>
          </cell>
          <cell r="C531" t="str">
            <v>3rd Tranche</v>
          </cell>
          <cell r="D531">
            <v>526</v>
          </cell>
          <cell r="E531" t="str">
            <v>Ali Jahangir</v>
          </cell>
          <cell r="F531" t="str">
            <v>Sahulat Bazaar Supervisor</v>
          </cell>
          <cell r="G531">
            <v>45748</v>
          </cell>
          <cell r="H531">
            <v>0</v>
          </cell>
          <cell r="I531" t="str">
            <v>SB Sabzazaar</v>
          </cell>
          <cell r="J531" t="str">
            <v>09410010131053610014</v>
          </cell>
        </row>
        <row r="532">
          <cell r="B532">
            <v>3520303443406</v>
          </cell>
          <cell r="C532" t="str">
            <v>3rd Tranche</v>
          </cell>
          <cell r="D532">
            <v>527</v>
          </cell>
          <cell r="E532" t="str">
            <v>Tahreem Saeed</v>
          </cell>
          <cell r="F532" t="str">
            <v>Sahulat Bazaar Supervisor</v>
          </cell>
          <cell r="G532">
            <v>45748</v>
          </cell>
          <cell r="H532">
            <v>0</v>
          </cell>
          <cell r="I532" t="str">
            <v>SB Raiwind</v>
          </cell>
          <cell r="J532" t="str">
            <v>03910010142947510010</v>
          </cell>
        </row>
        <row r="533">
          <cell r="B533">
            <v>3520403398921</v>
          </cell>
          <cell r="C533" t="str">
            <v>3rd Tranche</v>
          </cell>
          <cell r="D533">
            <v>528</v>
          </cell>
          <cell r="E533" t="str">
            <v>Rana Sheharyar</v>
          </cell>
          <cell r="F533" t="str">
            <v>Record Keeper</v>
          </cell>
          <cell r="G533">
            <v>45748</v>
          </cell>
          <cell r="H533">
            <v>0</v>
          </cell>
          <cell r="I533" t="str">
            <v>STOG Valencia</v>
          </cell>
          <cell r="J533" t="str">
            <v>13460010138423400010</v>
          </cell>
        </row>
        <row r="534">
          <cell r="B534">
            <v>3520403400249</v>
          </cell>
          <cell r="C534" t="str">
            <v>3rd Tranche</v>
          </cell>
          <cell r="D534">
            <v>529</v>
          </cell>
          <cell r="E534" t="str">
            <v>Muhammad Kaif</v>
          </cell>
          <cell r="F534" t="str">
            <v>Record Keeper</v>
          </cell>
          <cell r="G534">
            <v>45748</v>
          </cell>
          <cell r="H534">
            <v>0</v>
          </cell>
          <cell r="I534" t="str">
            <v>SB Chung</v>
          </cell>
          <cell r="J534" t="str">
            <v>12630010139341120011</v>
          </cell>
        </row>
        <row r="535">
          <cell r="B535">
            <v>3520403401971</v>
          </cell>
          <cell r="C535" t="str">
            <v>3rd Tranche</v>
          </cell>
          <cell r="D535">
            <v>530</v>
          </cell>
          <cell r="E535" t="str">
            <v>Ali Raza</v>
          </cell>
          <cell r="F535" t="str">
            <v>Sahulat Bazaar Supervisor</v>
          </cell>
          <cell r="G535">
            <v>45748</v>
          </cell>
          <cell r="H535">
            <v>0</v>
          </cell>
          <cell r="I535" t="str">
            <v>SB Wahdat Colony</v>
          </cell>
          <cell r="J535" t="str">
            <v>09650010073939480015</v>
          </cell>
        </row>
        <row r="536">
          <cell r="B536">
            <v>3520403433969</v>
          </cell>
          <cell r="C536" t="str">
            <v>3rd Tranche</v>
          </cell>
          <cell r="D536">
            <v>531</v>
          </cell>
          <cell r="E536" t="str">
            <v>Gulfam</v>
          </cell>
          <cell r="F536" t="str">
            <v>Sahulat Bazaar Supervisor</v>
          </cell>
          <cell r="G536">
            <v>45748</v>
          </cell>
          <cell r="H536">
            <v>0</v>
          </cell>
          <cell r="I536" t="str">
            <v>SB Raiwind</v>
          </cell>
          <cell r="J536" t="str">
            <v>13860010139449000017</v>
          </cell>
        </row>
        <row r="537">
          <cell r="B537">
            <v>3520403478489</v>
          </cell>
          <cell r="C537" t="str">
            <v>3rd Tranche</v>
          </cell>
          <cell r="D537">
            <v>532</v>
          </cell>
          <cell r="E537" t="str">
            <v>Ghulam Mustafa</v>
          </cell>
          <cell r="F537" t="str">
            <v>Monitoring Supervisor</v>
          </cell>
          <cell r="G537">
            <v>45748</v>
          </cell>
          <cell r="H537">
            <v>0</v>
          </cell>
          <cell r="I537" t="str">
            <v>SB Johar Town</v>
          </cell>
          <cell r="J537" t="str">
            <v>03910010138374100018</v>
          </cell>
        </row>
        <row r="538">
          <cell r="B538">
            <v>3520403799509</v>
          </cell>
          <cell r="C538" t="str">
            <v>3rd Tranche</v>
          </cell>
          <cell r="D538">
            <v>533</v>
          </cell>
          <cell r="E538" t="str">
            <v>Bilal Hussain</v>
          </cell>
          <cell r="F538" t="str">
            <v>Record Keeper</v>
          </cell>
          <cell r="G538">
            <v>45748</v>
          </cell>
          <cell r="H538">
            <v>0</v>
          </cell>
          <cell r="I538" t="str">
            <v>STOG Raiwind Road Sundar</v>
          </cell>
          <cell r="J538" t="str">
            <v>03910010140278050015</v>
          </cell>
        </row>
        <row r="539">
          <cell r="B539">
            <v>3520503523469</v>
          </cell>
          <cell r="C539" t="str">
            <v>3rd Tranche</v>
          </cell>
          <cell r="D539">
            <v>534</v>
          </cell>
          <cell r="E539" t="str">
            <v>Muhammad Umar</v>
          </cell>
          <cell r="F539" t="str">
            <v>Sahulat Bazaar Supervisor</v>
          </cell>
          <cell r="G539">
            <v>45748</v>
          </cell>
          <cell r="H539">
            <v>0</v>
          </cell>
          <cell r="I539" t="str">
            <v>SB Harbanspura</v>
          </cell>
          <cell r="J539" t="str">
            <v>01260010138301080017</v>
          </cell>
        </row>
        <row r="540">
          <cell r="B540">
            <v>3530385533611</v>
          </cell>
          <cell r="C540" t="str">
            <v>3rd Tranche</v>
          </cell>
          <cell r="D540">
            <v>535</v>
          </cell>
          <cell r="E540" t="str">
            <v>Muzammal Ali</v>
          </cell>
          <cell r="F540" t="str">
            <v>Sahulat Bazaar Supervisor</v>
          </cell>
          <cell r="G540">
            <v>45748</v>
          </cell>
          <cell r="H540">
            <v>0</v>
          </cell>
          <cell r="I540" t="str">
            <v>SB Okara</v>
          </cell>
          <cell r="J540" t="str">
            <v>03480010142177150010</v>
          </cell>
        </row>
        <row r="541">
          <cell r="B541">
            <v>3620365317975</v>
          </cell>
          <cell r="C541" t="str">
            <v>3rd Tranche</v>
          </cell>
          <cell r="D541">
            <v>536</v>
          </cell>
          <cell r="E541" t="str">
            <v>Muhammad Affaq</v>
          </cell>
          <cell r="F541" t="str">
            <v>Sahulat Bazaar Supervisor</v>
          </cell>
          <cell r="G541">
            <v>45748</v>
          </cell>
          <cell r="H541">
            <v>0</v>
          </cell>
          <cell r="I541" t="str">
            <v>SB Lodhran</v>
          </cell>
          <cell r="J541" t="str">
            <v>08390010140773910010</v>
          </cell>
        </row>
        <row r="542">
          <cell r="B542">
            <v>3640101381636</v>
          </cell>
          <cell r="C542" t="str">
            <v>3rd Tranche</v>
          </cell>
          <cell r="D542">
            <v>537</v>
          </cell>
          <cell r="E542" t="str">
            <v xml:space="preserve">Kanwal Khalid </v>
          </cell>
          <cell r="F542" t="str">
            <v>Sahulat Bazaar Supervisor</v>
          </cell>
          <cell r="G542">
            <v>45748</v>
          </cell>
          <cell r="H542">
            <v>0</v>
          </cell>
          <cell r="I542" t="str">
            <v>SB Jhang Road (Fsd)</v>
          </cell>
          <cell r="J542" t="str">
            <v>00100010081672470015</v>
          </cell>
        </row>
        <row r="543">
          <cell r="B543">
            <v>3640271743423</v>
          </cell>
          <cell r="C543" t="str">
            <v>3rd Tranche</v>
          </cell>
          <cell r="D543">
            <v>538</v>
          </cell>
          <cell r="E543" t="str">
            <v>Muneeb ur Rehman</v>
          </cell>
          <cell r="F543" t="str">
            <v>Sahulat Bazaar Supervisor</v>
          </cell>
          <cell r="G543">
            <v>45748</v>
          </cell>
          <cell r="H543">
            <v>0</v>
          </cell>
          <cell r="I543" t="str">
            <v>SB Pakpattan</v>
          </cell>
          <cell r="J543" t="str">
            <v>02980010135358590011</v>
          </cell>
        </row>
        <row r="544">
          <cell r="B544">
            <v>3650268626143</v>
          </cell>
          <cell r="C544" t="str">
            <v>3rd Tranche</v>
          </cell>
          <cell r="D544">
            <v>539</v>
          </cell>
          <cell r="E544" t="str">
            <v>Muhammad Shabir</v>
          </cell>
          <cell r="F544" t="str">
            <v>Sahulat Bazaar Supervisor</v>
          </cell>
          <cell r="G544">
            <v>45748</v>
          </cell>
          <cell r="H544">
            <v>0</v>
          </cell>
          <cell r="I544" t="str">
            <v>SB Sahiwal</v>
          </cell>
          <cell r="J544" t="str">
            <v>10890010131674350013</v>
          </cell>
        </row>
        <row r="545">
          <cell r="B545">
            <v>3660136027103</v>
          </cell>
          <cell r="C545" t="str">
            <v>3rd Tranche</v>
          </cell>
          <cell r="D545">
            <v>540</v>
          </cell>
          <cell r="E545" t="str">
            <v>Kamal Ud Din Ahmad</v>
          </cell>
          <cell r="F545" t="str">
            <v>Sahulat Bazaar Supervisor</v>
          </cell>
          <cell r="G545">
            <v>45748</v>
          </cell>
          <cell r="H545">
            <v>0</v>
          </cell>
          <cell r="I545" t="str">
            <v>SB Sialkot</v>
          </cell>
          <cell r="J545" t="str">
            <v>09140010135074420013</v>
          </cell>
        </row>
        <row r="546">
          <cell r="B546">
            <v>3810111173323</v>
          </cell>
          <cell r="C546" t="str">
            <v>3rd Tranche</v>
          </cell>
          <cell r="D546">
            <v>541</v>
          </cell>
          <cell r="E546" t="str">
            <v xml:space="preserve">Muhammad Mehboob  </v>
          </cell>
          <cell r="F546" t="str">
            <v>Sahulat Bazaar Supervisor</v>
          </cell>
          <cell r="G546">
            <v>45748</v>
          </cell>
          <cell r="H546">
            <v>0</v>
          </cell>
          <cell r="I546" t="str">
            <v>SB Gujranwala</v>
          </cell>
          <cell r="J546" t="str">
            <v>09160010140309840015</v>
          </cell>
        </row>
        <row r="547">
          <cell r="B547">
            <v>3810183201537</v>
          </cell>
          <cell r="C547" t="str">
            <v>3rd Tranche</v>
          </cell>
          <cell r="D547">
            <v>542</v>
          </cell>
          <cell r="E547" t="str">
            <v>Muhammad Huzaifa Gulazar</v>
          </cell>
          <cell r="F547" t="str">
            <v>Record Keeper</v>
          </cell>
          <cell r="G547">
            <v>45748</v>
          </cell>
          <cell r="H547">
            <v>0</v>
          </cell>
          <cell r="I547" t="str">
            <v>SB Bhakar</v>
          </cell>
          <cell r="J547" t="str">
            <v>05030010145036820016</v>
          </cell>
        </row>
        <row r="548">
          <cell r="B548">
            <v>3820130007115</v>
          </cell>
          <cell r="C548" t="str">
            <v>3rd Tranche</v>
          </cell>
          <cell r="D548">
            <v>543</v>
          </cell>
          <cell r="E548" t="str">
            <v>Ismail Ahmad</v>
          </cell>
          <cell r="F548" t="str">
            <v>Sahulat Bazaar Supervisor</v>
          </cell>
          <cell r="G548">
            <v>45748</v>
          </cell>
          <cell r="H548">
            <v>0</v>
          </cell>
          <cell r="I548" t="str">
            <v>SB Khushab</v>
          </cell>
          <cell r="J548" t="str">
            <v>01220010129899050018</v>
          </cell>
        </row>
        <row r="549">
          <cell r="B549">
            <v>3830285359963</v>
          </cell>
          <cell r="C549" t="str">
            <v>3rd Tranche</v>
          </cell>
          <cell r="D549">
            <v>544</v>
          </cell>
          <cell r="E549" t="str">
            <v>Muhammad Umar</v>
          </cell>
          <cell r="F549" t="str">
            <v>Record Keeper</v>
          </cell>
          <cell r="G549">
            <v>45748</v>
          </cell>
          <cell r="H549">
            <v>0</v>
          </cell>
          <cell r="I549" t="str">
            <v>SB Mianwali</v>
          </cell>
          <cell r="J549" t="str">
            <v>02670010139032770010</v>
          </cell>
        </row>
        <row r="550">
          <cell r="B550">
            <v>3840121327803</v>
          </cell>
          <cell r="C550" t="str">
            <v>2nd Tranche</v>
          </cell>
          <cell r="D550">
            <v>545</v>
          </cell>
          <cell r="E550" t="str">
            <v>Adnan Afzal</v>
          </cell>
          <cell r="F550" t="str">
            <v>Security &amp; Parking Attendant</v>
          </cell>
          <cell r="G550">
            <v>45748</v>
          </cell>
          <cell r="H550">
            <v>0</v>
          </cell>
          <cell r="I550" t="str">
            <v>SB Sargodha</v>
          </cell>
          <cell r="J550" t="str">
            <v>06150010050097260026</v>
          </cell>
        </row>
        <row r="551">
          <cell r="B551">
            <v>3840253575703</v>
          </cell>
          <cell r="C551" t="str">
            <v>3rd Tranche</v>
          </cell>
          <cell r="D551">
            <v>546</v>
          </cell>
          <cell r="E551" t="str">
            <v>Salman Fiaz</v>
          </cell>
          <cell r="F551" t="str">
            <v>Filing Assistant</v>
          </cell>
          <cell r="G551">
            <v>45748</v>
          </cell>
          <cell r="H551">
            <v>0</v>
          </cell>
          <cell r="I551" t="str">
            <v>SB Wahdat Colony</v>
          </cell>
          <cell r="J551" t="str">
            <v>51210020140342140017</v>
          </cell>
        </row>
        <row r="552">
          <cell r="B552">
            <v>3840364484507</v>
          </cell>
          <cell r="C552" t="str">
            <v>3rd Tranche</v>
          </cell>
          <cell r="D552">
            <v>547</v>
          </cell>
          <cell r="E552" t="str">
            <v>Faisal Aziz</v>
          </cell>
          <cell r="F552" t="str">
            <v>Sahulat Bazaar Supervisor</v>
          </cell>
          <cell r="G552">
            <v>45748</v>
          </cell>
          <cell r="H552">
            <v>0</v>
          </cell>
          <cell r="I552" t="str">
            <v>SB Sargodha</v>
          </cell>
          <cell r="J552" t="str">
            <v>51300020144279740014</v>
          </cell>
        </row>
        <row r="553">
          <cell r="B553">
            <v>3840389795829</v>
          </cell>
          <cell r="C553" t="str">
            <v>3rd Tranche</v>
          </cell>
          <cell r="D553">
            <v>548</v>
          </cell>
          <cell r="E553" t="str">
            <v>Saeed Ahmad</v>
          </cell>
          <cell r="F553" t="str">
            <v>Sahulat Bazaar Supervisor</v>
          </cell>
          <cell r="G553">
            <v>45748</v>
          </cell>
          <cell r="H553">
            <v>0</v>
          </cell>
          <cell r="I553" t="str">
            <v>SB Hafizabad</v>
          </cell>
          <cell r="J553" t="str">
            <v>00940010128529080014</v>
          </cell>
        </row>
        <row r="554">
          <cell r="B554">
            <v>3840397794869</v>
          </cell>
          <cell r="C554" t="str">
            <v>Suspended 28-11-25</v>
          </cell>
          <cell r="D554">
            <v>549</v>
          </cell>
          <cell r="E554" t="str">
            <v>Shahid Imran</v>
          </cell>
          <cell r="F554" t="str">
            <v>Sahulat Bazaar Supervisor</v>
          </cell>
          <cell r="G554">
            <v>45748</v>
          </cell>
          <cell r="H554">
            <v>0</v>
          </cell>
          <cell r="I554" t="str">
            <v>SB Khushab</v>
          </cell>
          <cell r="J554" t="str">
            <v>51300020042103190014</v>
          </cell>
        </row>
        <row r="555">
          <cell r="B555">
            <v>3840548994275</v>
          </cell>
          <cell r="C555" t="str">
            <v>3rd Tranche</v>
          </cell>
          <cell r="D555">
            <v>550</v>
          </cell>
          <cell r="E555" t="str">
            <v>Zulfiqar Ali</v>
          </cell>
          <cell r="F555" t="str">
            <v>Record Keeper</v>
          </cell>
          <cell r="G555">
            <v>45748</v>
          </cell>
          <cell r="H555">
            <v>0</v>
          </cell>
          <cell r="I555" t="str">
            <v>SB Wahdat Colony</v>
          </cell>
          <cell r="J555" t="str">
            <v>02880010045964380015</v>
          </cell>
        </row>
        <row r="556">
          <cell r="B556">
            <v>1310105696741</v>
          </cell>
          <cell r="C556" t="str">
            <v>Suspended 16-04-26</v>
          </cell>
          <cell r="D556">
            <v>551</v>
          </cell>
          <cell r="E556" t="str">
            <v>Muhammad Sharjeel</v>
          </cell>
          <cell r="F556" t="str">
            <v>Security &amp; Parking Attendant</v>
          </cell>
          <cell r="G556">
            <v>45748</v>
          </cell>
          <cell r="H556">
            <v>0</v>
          </cell>
          <cell r="I556" t="str">
            <v>STOG Gulshan-e-Ravi</v>
          </cell>
          <cell r="J556" t="str">
            <v>02200010136385210015</v>
          </cell>
        </row>
        <row r="557">
          <cell r="B557">
            <v>1310159450447</v>
          </cell>
          <cell r="C557" t="str">
            <v>2nd Tranche</v>
          </cell>
          <cell r="D557">
            <v>552</v>
          </cell>
          <cell r="E557" t="str">
            <v>Bashir</v>
          </cell>
          <cell r="F557" t="str">
            <v>Security &amp; Parking Attendant</v>
          </cell>
          <cell r="G557">
            <v>45748</v>
          </cell>
          <cell r="H557">
            <v>0</v>
          </cell>
          <cell r="I557" t="str">
            <v>SB Harbanspura</v>
          </cell>
          <cell r="J557" t="str">
            <v>01260010139926410017</v>
          </cell>
        </row>
        <row r="558">
          <cell r="B558">
            <v>3110104561501</v>
          </cell>
          <cell r="C558" t="str">
            <v>2nd Tranche</v>
          </cell>
          <cell r="D558">
            <v>553</v>
          </cell>
          <cell r="E558" t="str">
            <v>Muhammad Dilshad</v>
          </cell>
          <cell r="F558" t="str">
            <v>Security &amp; Parking Attendant</v>
          </cell>
          <cell r="G558">
            <v>45748</v>
          </cell>
          <cell r="H558">
            <v>0</v>
          </cell>
          <cell r="I558" t="str">
            <v>SB Pakpattan</v>
          </cell>
          <cell r="J558" t="str">
            <v>02980010103482510012</v>
          </cell>
        </row>
        <row r="559">
          <cell r="B559">
            <v>3110112549121</v>
          </cell>
          <cell r="C559" t="str">
            <v>2nd Tranche</v>
          </cell>
          <cell r="D559">
            <v>554</v>
          </cell>
          <cell r="E559" t="str">
            <v>Mehboob Ahmad</v>
          </cell>
          <cell r="F559" t="str">
            <v>Security &amp; Parking Attendant</v>
          </cell>
          <cell r="G559">
            <v>45748</v>
          </cell>
          <cell r="H559">
            <v>0</v>
          </cell>
          <cell r="I559" t="str">
            <v>SB Chakwal</v>
          </cell>
          <cell r="J559" t="str">
            <v>51340020138254000019</v>
          </cell>
        </row>
        <row r="560">
          <cell r="B560">
            <v>3110126574839</v>
          </cell>
          <cell r="C560" t="str">
            <v>2nd Tranche</v>
          </cell>
          <cell r="D560">
            <v>555</v>
          </cell>
          <cell r="E560" t="str">
            <v>Muhammad Amir Ilyas</v>
          </cell>
          <cell r="F560" t="str">
            <v>Security &amp; Parking Attendant</v>
          </cell>
          <cell r="G560">
            <v>45748</v>
          </cell>
          <cell r="H560">
            <v>0</v>
          </cell>
          <cell r="I560" t="str">
            <v>SB Pakpattan</v>
          </cell>
          <cell r="J560" t="str">
            <v>02980010140378480013</v>
          </cell>
        </row>
        <row r="561">
          <cell r="B561">
            <v>3110160990403</v>
          </cell>
          <cell r="C561" t="str">
            <v>2nd Tranche</v>
          </cell>
          <cell r="D561">
            <v>556</v>
          </cell>
          <cell r="E561" t="str">
            <v>Ali Haider</v>
          </cell>
          <cell r="F561" t="str">
            <v>Sanitation Attendant</v>
          </cell>
          <cell r="G561">
            <v>45748</v>
          </cell>
          <cell r="H561">
            <v>0</v>
          </cell>
          <cell r="I561" t="str">
            <v>SB Jhang Road (FSD)</v>
          </cell>
          <cell r="J561" t="str">
            <v>00660010135001080016</v>
          </cell>
        </row>
        <row r="562">
          <cell r="B562">
            <v>3110180946267</v>
          </cell>
          <cell r="C562" t="str">
            <v>2nd Tranche</v>
          </cell>
          <cell r="D562">
            <v>557</v>
          </cell>
          <cell r="E562" t="str">
            <v>Muhammad Shahzad</v>
          </cell>
          <cell r="F562" t="str">
            <v>Security &amp; Parking Attendant</v>
          </cell>
          <cell r="G562">
            <v>45748</v>
          </cell>
          <cell r="H562">
            <v>0</v>
          </cell>
          <cell r="I562" t="str">
            <v>SB Jhang Road (Fsd)</v>
          </cell>
          <cell r="J562" t="str">
            <v>00940010138289300014</v>
          </cell>
        </row>
        <row r="563">
          <cell r="B563">
            <v>3110458390665</v>
          </cell>
          <cell r="C563" t="str">
            <v>3rd Tranche</v>
          </cell>
          <cell r="D563">
            <v>558</v>
          </cell>
          <cell r="E563" t="str">
            <v>Sagheer Iqbal</v>
          </cell>
          <cell r="F563" t="str">
            <v>Gardener</v>
          </cell>
          <cell r="G563">
            <v>45748</v>
          </cell>
          <cell r="H563">
            <v>0</v>
          </cell>
          <cell r="I563" t="str">
            <v>SB Vehari</v>
          </cell>
          <cell r="J563" t="str">
            <v>10660010067424080012</v>
          </cell>
        </row>
        <row r="564">
          <cell r="B564">
            <v>3120150581673</v>
          </cell>
          <cell r="C564" t="str">
            <v>2nd Tranche</v>
          </cell>
          <cell r="D564">
            <v>559</v>
          </cell>
          <cell r="E564" t="str">
            <v>Jaffir Ali Khan</v>
          </cell>
          <cell r="F564" t="str">
            <v>Security &amp; Parking Attendant</v>
          </cell>
          <cell r="G564">
            <v>45748</v>
          </cell>
          <cell r="H564">
            <v>0</v>
          </cell>
          <cell r="I564" t="str">
            <v>SB Bahawalpur</v>
          </cell>
          <cell r="J564" t="str">
            <v>04840010100817260014</v>
          </cell>
        </row>
        <row r="565">
          <cell r="B565">
            <v>3120201691769</v>
          </cell>
          <cell r="C565" t="str">
            <v>2nd Tranche</v>
          </cell>
          <cell r="D565">
            <v>560</v>
          </cell>
          <cell r="E565" t="str">
            <v>Farhan Ali</v>
          </cell>
          <cell r="F565" t="str">
            <v>Sanitation Attendant</v>
          </cell>
          <cell r="G565">
            <v>45748</v>
          </cell>
          <cell r="H565">
            <v>0</v>
          </cell>
          <cell r="I565" t="str">
            <v>STOG Bahawalpur</v>
          </cell>
          <cell r="J565" t="str">
            <v>09630010080010280017</v>
          </cell>
        </row>
        <row r="566">
          <cell r="B566">
            <v>3120224038005</v>
          </cell>
          <cell r="C566" t="str">
            <v>3rd Tranche</v>
          </cell>
          <cell r="D566">
            <v>561</v>
          </cell>
          <cell r="E566" t="str">
            <v>Fida Hussain</v>
          </cell>
          <cell r="F566" t="str">
            <v>Gardener</v>
          </cell>
          <cell r="G566">
            <v>45748</v>
          </cell>
          <cell r="H566">
            <v>0</v>
          </cell>
          <cell r="I566" t="str">
            <v>SB Bahawalpur</v>
          </cell>
          <cell r="J566" t="str">
            <v>09630010045793020012</v>
          </cell>
        </row>
        <row r="567">
          <cell r="B567">
            <v>3120262402555</v>
          </cell>
          <cell r="C567" t="str">
            <v>2nd Tranche</v>
          </cell>
          <cell r="D567">
            <v>562</v>
          </cell>
          <cell r="E567" t="str">
            <v>Kashif Mukhtiar</v>
          </cell>
          <cell r="F567" t="str">
            <v>Security &amp; Parking Attendant</v>
          </cell>
          <cell r="G567">
            <v>45748</v>
          </cell>
          <cell r="H567">
            <v>0</v>
          </cell>
          <cell r="I567" t="str">
            <v>SB Bahawalpur</v>
          </cell>
          <cell r="J567" t="str">
            <v>09630010081185170019</v>
          </cell>
        </row>
        <row r="568">
          <cell r="B568">
            <v>3120291612821</v>
          </cell>
          <cell r="C568" t="str">
            <v>3rd Tranche</v>
          </cell>
          <cell r="D568">
            <v>563</v>
          </cell>
          <cell r="E568" t="str">
            <v>Muhammad Dilshad</v>
          </cell>
          <cell r="F568" t="str">
            <v>Gardener</v>
          </cell>
          <cell r="G568">
            <v>45748</v>
          </cell>
          <cell r="H568">
            <v>0</v>
          </cell>
          <cell r="I568" t="str">
            <v>SB Bahawalpur</v>
          </cell>
          <cell r="J568" t="str">
            <v>09630010080803470019</v>
          </cell>
        </row>
        <row r="569">
          <cell r="B569">
            <v>3130308733533</v>
          </cell>
          <cell r="C569" t="str">
            <v>2nd Tranche</v>
          </cell>
          <cell r="D569">
            <v>564</v>
          </cell>
          <cell r="E569" t="str">
            <v>Wazir Ahmad</v>
          </cell>
          <cell r="F569" t="str">
            <v>Security &amp; Parking Attendant</v>
          </cell>
          <cell r="G569">
            <v>45748</v>
          </cell>
          <cell r="H569">
            <v>0</v>
          </cell>
          <cell r="I569" t="str">
            <v>SB Taunsa</v>
          </cell>
          <cell r="J569" t="str">
            <v>13800010131601230011</v>
          </cell>
        </row>
        <row r="570">
          <cell r="B570">
            <v>3210118578679</v>
          </cell>
          <cell r="C570" t="str">
            <v>2nd Tranche</v>
          </cell>
          <cell r="D570">
            <v>565</v>
          </cell>
          <cell r="E570" t="str">
            <v>Yaqoob Ali</v>
          </cell>
          <cell r="F570" t="str">
            <v>Security &amp; Parking Attendant</v>
          </cell>
          <cell r="G570">
            <v>45748</v>
          </cell>
          <cell r="H570">
            <v>0</v>
          </cell>
          <cell r="I570" t="str">
            <v>SB Taunsa</v>
          </cell>
          <cell r="J570" t="str">
            <v>07330010101786570018</v>
          </cell>
        </row>
        <row r="571">
          <cell r="B571">
            <v>3210139896989</v>
          </cell>
          <cell r="C571" t="str">
            <v>2nd Tranche</v>
          </cell>
          <cell r="D571">
            <v>566</v>
          </cell>
          <cell r="E571" t="str">
            <v>Ghulam Mustafa</v>
          </cell>
          <cell r="F571" t="str">
            <v>Security &amp; Parking Attendant</v>
          </cell>
          <cell r="G571">
            <v>45748</v>
          </cell>
          <cell r="H571">
            <v>0</v>
          </cell>
          <cell r="I571" t="str">
            <v>SB Taunsa</v>
          </cell>
          <cell r="J571" t="str">
            <v>07330010101812820015</v>
          </cell>
        </row>
        <row r="572">
          <cell r="B572">
            <v>3210207166313</v>
          </cell>
          <cell r="C572" t="str">
            <v>2nd Tranche</v>
          </cell>
          <cell r="D572">
            <v>567</v>
          </cell>
          <cell r="E572" t="str">
            <v>Nasir Dilshad</v>
          </cell>
          <cell r="F572" t="str">
            <v>Security &amp; Parking Attendant</v>
          </cell>
          <cell r="G572">
            <v>45748</v>
          </cell>
          <cell r="H572">
            <v>0</v>
          </cell>
          <cell r="I572" t="str">
            <v>SB DG Khan</v>
          </cell>
          <cell r="J572" t="str">
            <v>52000020138688920014</v>
          </cell>
        </row>
        <row r="573">
          <cell r="B573">
            <v>3210213501877</v>
          </cell>
          <cell r="C573" t="str">
            <v>2nd Tranche</v>
          </cell>
          <cell r="D573">
            <v>568</v>
          </cell>
          <cell r="E573" t="str">
            <v>Qadir Baksh</v>
          </cell>
          <cell r="F573" t="str">
            <v>Sanitation Attendant</v>
          </cell>
          <cell r="G573">
            <v>45748</v>
          </cell>
          <cell r="H573">
            <v>0</v>
          </cell>
          <cell r="I573" t="str">
            <v>SB DG Khan</v>
          </cell>
          <cell r="J573" t="str">
            <v>03660010100982040015</v>
          </cell>
        </row>
        <row r="574">
          <cell r="B574">
            <v>3210225316637</v>
          </cell>
          <cell r="C574" t="str">
            <v>3rd Tranche</v>
          </cell>
          <cell r="D574">
            <v>569</v>
          </cell>
          <cell r="E574" t="str">
            <v>Rasheed Ahmed</v>
          </cell>
          <cell r="F574" t="str">
            <v>Gardener</v>
          </cell>
          <cell r="G574">
            <v>45748</v>
          </cell>
          <cell r="H574">
            <v>0</v>
          </cell>
          <cell r="I574" t="str">
            <v>SB DG Khan</v>
          </cell>
          <cell r="J574" t="str">
            <v>03660010100926680017</v>
          </cell>
        </row>
        <row r="575">
          <cell r="B575">
            <v>3210241065168</v>
          </cell>
          <cell r="C575" t="str">
            <v>2nd Tranche</v>
          </cell>
          <cell r="D575">
            <v>570</v>
          </cell>
          <cell r="E575" t="str">
            <v>Tasleem Kosar</v>
          </cell>
          <cell r="F575" t="str">
            <v>Security &amp; Parking Attendant</v>
          </cell>
          <cell r="G575">
            <v>45748</v>
          </cell>
          <cell r="H575">
            <v>0</v>
          </cell>
          <cell r="I575" t="str">
            <v>SB DG Khan</v>
          </cell>
          <cell r="J575" t="str">
            <v>52670020138950380011</v>
          </cell>
        </row>
        <row r="576">
          <cell r="B576">
            <v>3210256809295</v>
          </cell>
          <cell r="C576" t="str">
            <v>2nd Tranche</v>
          </cell>
          <cell r="D576">
            <v>571</v>
          </cell>
          <cell r="E576" t="str">
            <v>Muhammad Nawaz</v>
          </cell>
          <cell r="F576" t="str">
            <v>Security &amp; Parking Attendant</v>
          </cell>
          <cell r="G576">
            <v>45748</v>
          </cell>
          <cell r="H576">
            <v>0</v>
          </cell>
          <cell r="I576" t="str">
            <v>SB Jampur</v>
          </cell>
          <cell r="J576" t="str">
            <v>03660010140281120017</v>
          </cell>
        </row>
        <row r="577">
          <cell r="B577">
            <v>3210284786517</v>
          </cell>
          <cell r="C577" t="str">
            <v>2nd Tranche</v>
          </cell>
          <cell r="D577">
            <v>572</v>
          </cell>
          <cell r="E577" t="str">
            <v>Allah Yar</v>
          </cell>
          <cell r="F577" t="str">
            <v>Sanitation Attendant</v>
          </cell>
          <cell r="G577">
            <v>45748</v>
          </cell>
          <cell r="H577">
            <v>0</v>
          </cell>
          <cell r="I577" t="str">
            <v>SB DG Khan</v>
          </cell>
          <cell r="J577" t="str">
            <v>00720010120350140015</v>
          </cell>
        </row>
        <row r="578">
          <cell r="B578">
            <v>3210293919685</v>
          </cell>
          <cell r="C578" t="str">
            <v>3rd Tranche</v>
          </cell>
          <cell r="D578">
            <v>573</v>
          </cell>
          <cell r="E578" t="str">
            <v>Ahmad Shahid</v>
          </cell>
          <cell r="F578" t="str">
            <v>Sahulat Bazaar Supervisor</v>
          </cell>
          <cell r="G578">
            <v>45748</v>
          </cell>
          <cell r="H578">
            <v>0</v>
          </cell>
          <cell r="I578" t="str">
            <v>SB DG Khan</v>
          </cell>
          <cell r="J578" t="str">
            <v>00720010117465790018</v>
          </cell>
        </row>
        <row r="579">
          <cell r="B579">
            <v>3210302234285</v>
          </cell>
          <cell r="C579" t="str">
            <v>2nd Tranche</v>
          </cell>
          <cell r="D579">
            <v>574</v>
          </cell>
          <cell r="E579" t="str">
            <v>Muzamil Saeed</v>
          </cell>
          <cell r="F579" t="str">
            <v>Sanitation Attendant</v>
          </cell>
          <cell r="G579">
            <v>45748</v>
          </cell>
          <cell r="H579">
            <v>0</v>
          </cell>
          <cell r="I579" t="str">
            <v>SB Taunsa</v>
          </cell>
          <cell r="J579" t="str">
            <v>07330010135365990017</v>
          </cell>
        </row>
        <row r="580">
          <cell r="B580">
            <v>3210342826685</v>
          </cell>
          <cell r="C580" t="str">
            <v>2nd Tranche</v>
          </cell>
          <cell r="D580">
            <v>575</v>
          </cell>
          <cell r="E580" t="str">
            <v xml:space="preserve">Ghulam Abbas   </v>
          </cell>
          <cell r="F580" t="str">
            <v>Sanitation Attendant</v>
          </cell>
          <cell r="G580">
            <v>45748</v>
          </cell>
          <cell r="H580">
            <v>0</v>
          </cell>
          <cell r="I580" t="str">
            <v>SB Taunsa</v>
          </cell>
          <cell r="J580" t="str">
            <v>07330010101956540016</v>
          </cell>
        </row>
        <row r="581">
          <cell r="B581">
            <v>3210357375279</v>
          </cell>
          <cell r="C581" t="str">
            <v>2nd Tranche</v>
          </cell>
          <cell r="D581">
            <v>576</v>
          </cell>
          <cell r="E581" t="str">
            <v>Muhammad Yaqoob</v>
          </cell>
          <cell r="F581" t="str">
            <v>Security &amp; Parking Attendant</v>
          </cell>
          <cell r="G581">
            <v>45748</v>
          </cell>
          <cell r="H581">
            <v>0</v>
          </cell>
          <cell r="I581" t="str">
            <v>SB Taunsa</v>
          </cell>
          <cell r="J581" t="str">
            <v>07330010138614820016</v>
          </cell>
        </row>
        <row r="582">
          <cell r="B582">
            <v>3210364703125</v>
          </cell>
          <cell r="C582" t="str">
            <v>2nd Tranche</v>
          </cell>
          <cell r="D582">
            <v>577</v>
          </cell>
          <cell r="E582" t="str">
            <v>Muhammad Shoaib</v>
          </cell>
          <cell r="F582" t="str">
            <v>Sanitation Attendant</v>
          </cell>
          <cell r="G582">
            <v>45748</v>
          </cell>
          <cell r="H582">
            <v>0</v>
          </cell>
          <cell r="I582" t="str">
            <v>SB Taunsa</v>
          </cell>
          <cell r="J582" t="str">
            <v>07330010135464650018</v>
          </cell>
        </row>
        <row r="583">
          <cell r="B583">
            <v>3210367471079</v>
          </cell>
          <cell r="C583" t="str">
            <v>2nd Tranche</v>
          </cell>
          <cell r="D583">
            <v>578</v>
          </cell>
          <cell r="E583" t="str">
            <v>Muhammad Kosar</v>
          </cell>
          <cell r="F583" t="str">
            <v>Sanitation Attendant</v>
          </cell>
          <cell r="G583">
            <v>45748</v>
          </cell>
          <cell r="H583">
            <v>0</v>
          </cell>
          <cell r="I583" t="str">
            <v>SB DG Khan</v>
          </cell>
          <cell r="J583" t="str">
            <v>07330010104514190010</v>
          </cell>
        </row>
        <row r="584">
          <cell r="B584">
            <v>3210390889433</v>
          </cell>
          <cell r="C584" t="str">
            <v>2nd Tranche</v>
          </cell>
          <cell r="D584">
            <v>579</v>
          </cell>
          <cell r="E584" t="str">
            <v>Muhammad Safdar</v>
          </cell>
          <cell r="F584" t="str">
            <v>Security &amp; Parking Attendant</v>
          </cell>
          <cell r="G584">
            <v>45748</v>
          </cell>
          <cell r="H584">
            <v>0</v>
          </cell>
          <cell r="I584" t="str">
            <v>SB Taunsa</v>
          </cell>
          <cell r="J584" t="str">
            <v>07330010106984590015</v>
          </cell>
        </row>
        <row r="585">
          <cell r="B585">
            <v>3210403926133</v>
          </cell>
          <cell r="C585" t="str">
            <v>2nd Tranche</v>
          </cell>
          <cell r="D585">
            <v>580</v>
          </cell>
          <cell r="E585" t="str">
            <v>Shahid Iqbal</v>
          </cell>
          <cell r="F585" t="str">
            <v>Security &amp; Parking Attendant</v>
          </cell>
          <cell r="G585">
            <v>45748</v>
          </cell>
          <cell r="H585">
            <v>0</v>
          </cell>
          <cell r="I585" t="str">
            <v>SB DG Khan</v>
          </cell>
          <cell r="J585" t="str">
            <v>52000020140775580012</v>
          </cell>
        </row>
        <row r="586">
          <cell r="B586">
            <v>3210403984157</v>
          </cell>
          <cell r="C586" t="str">
            <v>2nd Tranche</v>
          </cell>
          <cell r="D586">
            <v>581</v>
          </cell>
          <cell r="E586" t="str">
            <v>Muhammad Naseem</v>
          </cell>
          <cell r="F586" t="str">
            <v>Security &amp; Parking Attendant</v>
          </cell>
          <cell r="G586">
            <v>45748</v>
          </cell>
          <cell r="H586">
            <v>0</v>
          </cell>
          <cell r="I586" t="str">
            <v>SB DG Khan</v>
          </cell>
          <cell r="J586" t="str">
            <v>07330010101809140018</v>
          </cell>
        </row>
        <row r="587">
          <cell r="B587">
            <v>3220151420599</v>
          </cell>
          <cell r="C587" t="str">
            <v>2nd Tranche</v>
          </cell>
          <cell r="D587">
            <v>582</v>
          </cell>
          <cell r="E587" t="str">
            <v>Abdul Majeed</v>
          </cell>
          <cell r="F587" t="str">
            <v>Sanitation Attendant</v>
          </cell>
          <cell r="G587">
            <v>45748</v>
          </cell>
          <cell r="H587">
            <v>0</v>
          </cell>
          <cell r="I587" t="str">
            <v>SB Layyah</v>
          </cell>
          <cell r="J587" t="str">
            <v>00600010131074810010</v>
          </cell>
        </row>
        <row r="588">
          <cell r="B588">
            <v>3220337509037</v>
          </cell>
          <cell r="C588" t="str">
            <v>2nd Tranche</v>
          </cell>
          <cell r="D588">
            <v>583</v>
          </cell>
          <cell r="E588" t="str">
            <v>Muhammad Asif</v>
          </cell>
          <cell r="F588" t="str">
            <v>Sanitation Attendant</v>
          </cell>
          <cell r="G588">
            <v>45748</v>
          </cell>
          <cell r="H588">
            <v>0</v>
          </cell>
          <cell r="I588" t="str">
            <v>SB Layyah</v>
          </cell>
          <cell r="J588" t="str">
            <v>51400020117273410016</v>
          </cell>
        </row>
        <row r="589">
          <cell r="B589">
            <v>3230155001545</v>
          </cell>
          <cell r="C589" t="str">
            <v>3rd Tranche</v>
          </cell>
          <cell r="D589">
            <v>584</v>
          </cell>
          <cell r="E589" t="str">
            <v>Syed Mohsin Raza Naqvi</v>
          </cell>
          <cell r="F589" t="str">
            <v>Operations Assistant</v>
          </cell>
          <cell r="G589">
            <v>45748</v>
          </cell>
          <cell r="H589">
            <v>0</v>
          </cell>
          <cell r="I589" t="str">
            <v>SB Taunsa</v>
          </cell>
          <cell r="J589" t="str">
            <v>12670010124743160013</v>
          </cell>
        </row>
        <row r="590">
          <cell r="B590">
            <v>3230318689601</v>
          </cell>
          <cell r="C590" t="str">
            <v>2nd Tranche</v>
          </cell>
          <cell r="D590">
            <v>585</v>
          </cell>
          <cell r="E590" t="str">
            <v>Jamal Maseeh</v>
          </cell>
          <cell r="F590" t="str">
            <v>Sanitation Attendant</v>
          </cell>
          <cell r="G590">
            <v>45748</v>
          </cell>
          <cell r="H590">
            <v>0</v>
          </cell>
          <cell r="I590" t="str">
            <v>SB Muzaffargarh</v>
          </cell>
          <cell r="J590" t="str">
            <v>02880010067709940023</v>
          </cell>
        </row>
        <row r="591">
          <cell r="B591">
            <v>3230399077205</v>
          </cell>
          <cell r="C591" t="str">
            <v>2nd Tranche</v>
          </cell>
          <cell r="D591">
            <v>586</v>
          </cell>
          <cell r="E591" t="str">
            <v>Muhammad Usama</v>
          </cell>
          <cell r="F591" t="str">
            <v>Security &amp; Parking Attendant</v>
          </cell>
          <cell r="G591">
            <v>45748</v>
          </cell>
          <cell r="H591">
            <v>0</v>
          </cell>
          <cell r="I591" t="str">
            <v>SB Muzaffargarh</v>
          </cell>
          <cell r="J591" t="str">
            <v>51340020138253050010</v>
          </cell>
        </row>
        <row r="592">
          <cell r="B592">
            <v>3240253710491</v>
          </cell>
          <cell r="C592" t="str">
            <v>2nd Tranche</v>
          </cell>
          <cell r="D592">
            <v>587</v>
          </cell>
          <cell r="E592" t="str">
            <v>Siraj Ahmad</v>
          </cell>
          <cell r="F592" t="str">
            <v>Sanitation Attendant</v>
          </cell>
          <cell r="G592">
            <v>45748</v>
          </cell>
          <cell r="H592">
            <v>0</v>
          </cell>
          <cell r="I592" t="str">
            <v>SB Jampur</v>
          </cell>
          <cell r="J592" t="str">
            <v>08210010122839290015</v>
          </cell>
        </row>
        <row r="593">
          <cell r="B593">
            <v>3240274766701</v>
          </cell>
          <cell r="C593" t="str">
            <v>2nd Tranche</v>
          </cell>
          <cell r="D593">
            <v>588</v>
          </cell>
          <cell r="E593" t="str">
            <v>Muhammad Sabir</v>
          </cell>
          <cell r="F593" t="str">
            <v>Sanitation Attendant</v>
          </cell>
          <cell r="G593">
            <v>45748</v>
          </cell>
          <cell r="H593">
            <v>0</v>
          </cell>
          <cell r="I593" t="str">
            <v>SB DG Khan</v>
          </cell>
          <cell r="J593" t="str">
            <v>13620010109619880010</v>
          </cell>
        </row>
        <row r="594">
          <cell r="B594">
            <v>3240284975091</v>
          </cell>
          <cell r="C594" t="str">
            <v>2nd Tranche</v>
          </cell>
          <cell r="D594">
            <v>589</v>
          </cell>
          <cell r="E594" t="str">
            <v>Muhammad Alamgir</v>
          </cell>
          <cell r="F594" t="str">
            <v>Sanitation Attendant</v>
          </cell>
          <cell r="G594">
            <v>45748</v>
          </cell>
          <cell r="H594">
            <v>0</v>
          </cell>
          <cell r="I594" t="str">
            <v>SB Jampur</v>
          </cell>
          <cell r="J594" t="str">
            <v>08210010095268650011</v>
          </cell>
        </row>
        <row r="595">
          <cell r="B595">
            <v>3240298190253</v>
          </cell>
          <cell r="C595" t="str">
            <v>2nd Tranche</v>
          </cell>
          <cell r="D595">
            <v>590</v>
          </cell>
          <cell r="E595" t="str">
            <v>Azhar Hussain</v>
          </cell>
          <cell r="F595" t="str">
            <v>Security &amp; Parking Attendant</v>
          </cell>
          <cell r="G595">
            <v>45748</v>
          </cell>
          <cell r="H595">
            <v>0</v>
          </cell>
          <cell r="I595" t="str">
            <v>SB Jampur</v>
          </cell>
          <cell r="J595" t="str">
            <v>08210010128873960014</v>
          </cell>
        </row>
        <row r="596">
          <cell r="B596">
            <v>3310434781091</v>
          </cell>
          <cell r="C596" t="str">
            <v>2nd Tranche</v>
          </cell>
          <cell r="D596">
            <v>591</v>
          </cell>
          <cell r="E596" t="str">
            <v>Rishe Abbas</v>
          </cell>
          <cell r="F596" t="str">
            <v>Sanitation Attendant</v>
          </cell>
          <cell r="G596">
            <v>45748</v>
          </cell>
          <cell r="H596">
            <v>0</v>
          </cell>
          <cell r="I596" t="str">
            <v>SB Gujrat</v>
          </cell>
          <cell r="J596" t="str">
            <v>04970010112018580018</v>
          </cell>
        </row>
        <row r="597">
          <cell r="B597">
            <v>3320207884007</v>
          </cell>
          <cell r="C597" t="str">
            <v>2nd Tranche</v>
          </cell>
          <cell r="D597">
            <v>592</v>
          </cell>
          <cell r="E597" t="str">
            <v>Nouman Tahir</v>
          </cell>
          <cell r="F597" t="str">
            <v>Sanitation Attendant</v>
          </cell>
          <cell r="G597">
            <v>45748</v>
          </cell>
          <cell r="H597">
            <v>0</v>
          </cell>
          <cell r="I597" t="str">
            <v>SB Jhang</v>
          </cell>
          <cell r="J597" t="str">
            <v>06480010088096390010</v>
          </cell>
        </row>
        <row r="598">
          <cell r="B598">
            <v>3320223076037</v>
          </cell>
          <cell r="C598" t="str">
            <v>2nd Tranche</v>
          </cell>
          <cell r="D598">
            <v>593</v>
          </cell>
          <cell r="E598" t="str">
            <v>Basharat Aslam</v>
          </cell>
          <cell r="F598" t="str">
            <v>Security &amp; Parking Attendant</v>
          </cell>
          <cell r="G598">
            <v>45748</v>
          </cell>
          <cell r="H598">
            <v>0</v>
          </cell>
          <cell r="I598" t="str">
            <v>SB Jhang</v>
          </cell>
          <cell r="J598" t="str">
            <v>05110010104342650012</v>
          </cell>
        </row>
        <row r="599">
          <cell r="B599">
            <v>3320225069143</v>
          </cell>
          <cell r="C599" t="str">
            <v>2nd Tranche</v>
          </cell>
          <cell r="D599">
            <v>594</v>
          </cell>
          <cell r="E599" t="str">
            <v>Muhammad sajjad</v>
          </cell>
          <cell r="F599" t="str">
            <v>Security &amp; Parking Attendant</v>
          </cell>
          <cell r="G599">
            <v>45748</v>
          </cell>
          <cell r="H599">
            <v>0</v>
          </cell>
          <cell r="I599" t="str">
            <v>SB Jhang</v>
          </cell>
          <cell r="J599" t="str">
            <v>00660010100458310019</v>
          </cell>
        </row>
        <row r="600">
          <cell r="B600">
            <v>3320226207771</v>
          </cell>
          <cell r="C600" t="str">
            <v>2nd Tranche</v>
          </cell>
          <cell r="D600">
            <v>595</v>
          </cell>
          <cell r="E600" t="str">
            <v>Rahul Faryad</v>
          </cell>
          <cell r="F600" t="str">
            <v>Sanitation Attendant</v>
          </cell>
          <cell r="G600">
            <v>45748</v>
          </cell>
          <cell r="H600">
            <v>0</v>
          </cell>
          <cell r="I600" t="str">
            <v>SB Jhang</v>
          </cell>
          <cell r="J600" t="str">
            <v>04310010130919530010</v>
          </cell>
        </row>
        <row r="601">
          <cell r="B601">
            <v>3320231111013</v>
          </cell>
          <cell r="C601" t="str">
            <v>2nd Tranche</v>
          </cell>
          <cell r="D601">
            <v>596</v>
          </cell>
          <cell r="E601" t="str">
            <v>Muhammad Abdullah</v>
          </cell>
          <cell r="F601" t="str">
            <v>Security &amp; Parking Attendant</v>
          </cell>
          <cell r="G601">
            <v>45748</v>
          </cell>
          <cell r="H601">
            <v>0</v>
          </cell>
          <cell r="I601" t="str">
            <v>SB Jhang</v>
          </cell>
          <cell r="J601" t="str">
            <v>06480010100820580017</v>
          </cell>
        </row>
        <row r="602">
          <cell r="B602">
            <v>3320235308245</v>
          </cell>
          <cell r="C602" t="str">
            <v>2nd Tranche</v>
          </cell>
          <cell r="D602">
            <v>597</v>
          </cell>
          <cell r="E602" t="str">
            <v>Manzar Abbas</v>
          </cell>
          <cell r="F602" t="str">
            <v>Security &amp; Parking Attendant</v>
          </cell>
          <cell r="G602">
            <v>45748</v>
          </cell>
          <cell r="H602">
            <v>0</v>
          </cell>
          <cell r="I602" t="str">
            <v>SB Toba Tek Singh</v>
          </cell>
          <cell r="J602" t="str">
            <v>02980010100971300014</v>
          </cell>
        </row>
        <row r="603">
          <cell r="B603">
            <v>3320268434327</v>
          </cell>
          <cell r="C603" t="str">
            <v>2nd Tranche</v>
          </cell>
          <cell r="D603">
            <v>598</v>
          </cell>
          <cell r="E603" t="str">
            <v>Muhammad Saddam Hussain</v>
          </cell>
          <cell r="F603" t="str">
            <v>Security &amp; Parking Attendant</v>
          </cell>
          <cell r="G603">
            <v>45748</v>
          </cell>
          <cell r="H603">
            <v>0</v>
          </cell>
          <cell r="I603" t="str">
            <v>SB Jhang</v>
          </cell>
          <cell r="J603" t="str">
            <v>02630010100801530010</v>
          </cell>
        </row>
        <row r="604">
          <cell r="B604">
            <v>3320275101575</v>
          </cell>
          <cell r="C604" t="str">
            <v>2nd Tranche</v>
          </cell>
          <cell r="D604">
            <v>599</v>
          </cell>
          <cell r="E604" t="str">
            <v>Shawan</v>
          </cell>
          <cell r="F604" t="str">
            <v>Sanitation Attendant</v>
          </cell>
          <cell r="G604">
            <v>45748</v>
          </cell>
          <cell r="H604">
            <v>0</v>
          </cell>
          <cell r="I604" t="str">
            <v>SB Jhang</v>
          </cell>
          <cell r="J604" t="str">
            <v>04310010130941180013</v>
          </cell>
        </row>
        <row r="605">
          <cell r="B605">
            <v>3320277307911</v>
          </cell>
          <cell r="C605" t="str">
            <v>2nd Tranche</v>
          </cell>
          <cell r="D605">
            <v>600</v>
          </cell>
          <cell r="E605" t="str">
            <v xml:space="preserve">Muhammad Tahir </v>
          </cell>
          <cell r="F605" t="str">
            <v>Security &amp; Parking Attendant</v>
          </cell>
          <cell r="G605">
            <v>45748</v>
          </cell>
          <cell r="H605">
            <v>0</v>
          </cell>
          <cell r="I605" t="str">
            <v>SB Chakwal</v>
          </cell>
          <cell r="J605" t="str">
            <v>00600010136967400014</v>
          </cell>
        </row>
        <row r="606">
          <cell r="B606">
            <v>3330201621735</v>
          </cell>
          <cell r="C606" t="str">
            <v>2nd Tranche</v>
          </cell>
          <cell r="D606">
            <v>601</v>
          </cell>
          <cell r="E606" t="str">
            <v>Nosher Akram</v>
          </cell>
          <cell r="F606" t="str">
            <v>Security &amp; Parking Attendant</v>
          </cell>
          <cell r="G606">
            <v>45748</v>
          </cell>
          <cell r="H606">
            <v>0</v>
          </cell>
          <cell r="I606" t="str">
            <v>SB Toba Tek Singh</v>
          </cell>
          <cell r="J606" t="str">
            <v>02020010133736200019</v>
          </cell>
        </row>
        <row r="607">
          <cell r="B607">
            <v>3330332183419</v>
          </cell>
          <cell r="C607" t="str">
            <v>2nd Tranche</v>
          </cell>
          <cell r="D607">
            <v>602</v>
          </cell>
          <cell r="E607" t="str">
            <v>Zeeshan Shamoon</v>
          </cell>
          <cell r="F607" t="str">
            <v>Sanitation Attendant</v>
          </cell>
          <cell r="G607">
            <v>45748</v>
          </cell>
          <cell r="H607">
            <v>0</v>
          </cell>
          <cell r="I607" t="str">
            <v>SB Toba Tek Singh</v>
          </cell>
          <cell r="J607" t="str">
            <v>53170020142856330017</v>
          </cell>
        </row>
        <row r="608">
          <cell r="B608">
            <v>3410123458481</v>
          </cell>
          <cell r="C608" t="str">
            <v>2nd Tranche</v>
          </cell>
          <cell r="D608">
            <v>603</v>
          </cell>
          <cell r="E608" t="str">
            <v xml:space="preserve">Muhammad Amjad </v>
          </cell>
          <cell r="F608" t="str">
            <v>Security &amp; Parking Attendant</v>
          </cell>
          <cell r="G608">
            <v>45748</v>
          </cell>
          <cell r="H608">
            <v>0</v>
          </cell>
          <cell r="I608" t="str">
            <v>SB Gujranwala</v>
          </cell>
          <cell r="J608" t="str">
            <v>07300010079539970011</v>
          </cell>
        </row>
        <row r="609">
          <cell r="B609">
            <v>3410136970521</v>
          </cell>
          <cell r="C609" t="str">
            <v>Salary Stop (Discuss)</v>
          </cell>
          <cell r="D609">
            <v>604</v>
          </cell>
          <cell r="E609" t="str">
            <v>Labin Masih</v>
          </cell>
          <cell r="F609" t="str">
            <v>Sanitation Attendant</v>
          </cell>
          <cell r="G609">
            <v>45748</v>
          </cell>
          <cell r="H609">
            <v>0</v>
          </cell>
          <cell r="I609" t="str">
            <v>SB Gujranwala</v>
          </cell>
          <cell r="J609" t="str">
            <v>12620010117215700015</v>
          </cell>
        </row>
        <row r="610">
          <cell r="B610">
            <v>3410159007785</v>
          </cell>
          <cell r="C610" t="str">
            <v>2nd Tranche</v>
          </cell>
          <cell r="D610">
            <v>605</v>
          </cell>
          <cell r="E610" t="str">
            <v>Anjum Masih</v>
          </cell>
          <cell r="F610" t="str">
            <v>Sanitation Attendant</v>
          </cell>
          <cell r="G610">
            <v>45748</v>
          </cell>
          <cell r="H610">
            <v>0</v>
          </cell>
          <cell r="I610" t="str">
            <v>SB Gujranwala</v>
          </cell>
          <cell r="J610" t="str">
            <v>07300010085368880019</v>
          </cell>
        </row>
        <row r="611">
          <cell r="B611">
            <v>3410160715637</v>
          </cell>
          <cell r="C611" t="str">
            <v>2nd Tranche</v>
          </cell>
          <cell r="D611">
            <v>606</v>
          </cell>
          <cell r="E611" t="str">
            <v>Nouman Masih</v>
          </cell>
          <cell r="F611" t="str">
            <v>Sanitation Attendant</v>
          </cell>
          <cell r="G611">
            <v>45748</v>
          </cell>
          <cell r="H611">
            <v>0</v>
          </cell>
          <cell r="I611" t="str">
            <v>SB Gujranwala</v>
          </cell>
          <cell r="J611" t="str">
            <v>52250020115884290025</v>
          </cell>
        </row>
        <row r="612">
          <cell r="B612">
            <v>3410174065033</v>
          </cell>
          <cell r="C612" t="str">
            <v>Susupended 10-10-25</v>
          </cell>
          <cell r="D612">
            <v>607</v>
          </cell>
          <cell r="E612" t="str">
            <v xml:space="preserve">Ashraf Masih </v>
          </cell>
          <cell r="F612" t="str">
            <v>Sanitation Attendant</v>
          </cell>
          <cell r="G612">
            <v>45748</v>
          </cell>
          <cell r="H612">
            <v>0</v>
          </cell>
          <cell r="I612" t="str">
            <v>SB Gujranwala</v>
          </cell>
          <cell r="J612" t="str">
            <v>07300010100713250017</v>
          </cell>
        </row>
        <row r="613">
          <cell r="B613">
            <v>3410176923096</v>
          </cell>
          <cell r="C613" t="str">
            <v>Suspended 07-05-26</v>
          </cell>
          <cell r="D613">
            <v>608</v>
          </cell>
          <cell r="E613" t="str">
            <v>Zarina Bibi</v>
          </cell>
          <cell r="F613" t="str">
            <v>Security &amp; Parking Attendant</v>
          </cell>
          <cell r="G613">
            <v>45748</v>
          </cell>
          <cell r="H613">
            <v>0</v>
          </cell>
          <cell r="I613" t="str">
            <v>SB Gujranwala</v>
          </cell>
          <cell r="J613" t="str">
            <v>07300010139419620017</v>
          </cell>
        </row>
        <row r="614">
          <cell r="B614">
            <v>3410183437737</v>
          </cell>
          <cell r="C614" t="str">
            <v>2nd Tranche</v>
          </cell>
          <cell r="D614">
            <v>609</v>
          </cell>
          <cell r="E614" t="str">
            <v>Ashfaq Masih</v>
          </cell>
          <cell r="F614" t="str">
            <v>Sanitation Attendant</v>
          </cell>
          <cell r="G614">
            <v>45748</v>
          </cell>
          <cell r="H614">
            <v>0</v>
          </cell>
          <cell r="I614" t="str">
            <v>SB Gujranwala</v>
          </cell>
          <cell r="J614" t="str">
            <v>07300010094512630011</v>
          </cell>
        </row>
        <row r="615">
          <cell r="B615">
            <v>3410186785053</v>
          </cell>
          <cell r="C615" t="str">
            <v>2nd Tranche</v>
          </cell>
          <cell r="D615">
            <v>610</v>
          </cell>
          <cell r="E615" t="str">
            <v>Muhammad Waqas</v>
          </cell>
          <cell r="F615" t="str">
            <v>Sanitation Attendant</v>
          </cell>
          <cell r="G615">
            <v>45748</v>
          </cell>
          <cell r="H615">
            <v>0</v>
          </cell>
          <cell r="I615" t="str">
            <v>SB Gujranwala</v>
          </cell>
          <cell r="J615" t="str">
            <v>07300010118639490017</v>
          </cell>
        </row>
        <row r="616">
          <cell r="B616">
            <v>3410305357901</v>
          </cell>
          <cell r="C616" t="str">
            <v>2nd Tranche</v>
          </cell>
          <cell r="D616">
            <v>611</v>
          </cell>
          <cell r="E616" t="str">
            <v>Sabir Hussain</v>
          </cell>
          <cell r="F616" t="str">
            <v>Security &amp; Parking Attendant</v>
          </cell>
          <cell r="G616">
            <v>45748</v>
          </cell>
          <cell r="H616">
            <v>0</v>
          </cell>
          <cell r="I616" t="str">
            <v>SB Gujranwala</v>
          </cell>
          <cell r="J616" t="str">
            <v>06520010013331470023</v>
          </cell>
        </row>
        <row r="617">
          <cell r="B617">
            <v>3410333012683</v>
          </cell>
          <cell r="C617" t="str">
            <v>2nd Tranche</v>
          </cell>
          <cell r="D617">
            <v>612</v>
          </cell>
          <cell r="E617" t="str">
            <v>Youhana Arif</v>
          </cell>
          <cell r="F617" t="str">
            <v>Security &amp; Parking Attendant</v>
          </cell>
          <cell r="G617">
            <v>45748</v>
          </cell>
          <cell r="H617">
            <v>0</v>
          </cell>
          <cell r="I617" t="str">
            <v>SB Noshehran Virkan</v>
          </cell>
          <cell r="J617" t="str">
            <v>02900010103542160014</v>
          </cell>
        </row>
        <row r="618">
          <cell r="B618">
            <v>3410351262487</v>
          </cell>
          <cell r="C618" t="str">
            <v>2nd Tranche</v>
          </cell>
          <cell r="D618">
            <v>613</v>
          </cell>
          <cell r="E618" t="str">
            <v>Al Syed Jalal Haider Naqvi</v>
          </cell>
          <cell r="F618" t="str">
            <v>Security &amp; Parking Attendant</v>
          </cell>
          <cell r="G618">
            <v>45748</v>
          </cell>
          <cell r="H618">
            <v>0</v>
          </cell>
          <cell r="I618" t="str">
            <v>SB Gujranwala</v>
          </cell>
          <cell r="J618" t="str">
            <v>07300010132444990015</v>
          </cell>
        </row>
        <row r="619">
          <cell r="B619">
            <v>3410472280985</v>
          </cell>
          <cell r="C619" t="str">
            <v>2nd Tranche</v>
          </cell>
          <cell r="D619">
            <v>614</v>
          </cell>
          <cell r="E619" t="str">
            <v>Malik Ashir Jahangir</v>
          </cell>
          <cell r="F619" t="str">
            <v>Security &amp; Parking Attendant</v>
          </cell>
          <cell r="G619">
            <v>45748</v>
          </cell>
          <cell r="H619">
            <v>0</v>
          </cell>
          <cell r="I619" t="str">
            <v>SB Gujranwala</v>
          </cell>
          <cell r="J619" t="str">
            <v>07300010120658780014</v>
          </cell>
        </row>
        <row r="620">
          <cell r="B620">
            <v>3410483231533</v>
          </cell>
          <cell r="C620" t="str">
            <v>2nd Tranche</v>
          </cell>
          <cell r="D620">
            <v>615</v>
          </cell>
          <cell r="E620" t="str">
            <v>David Masih</v>
          </cell>
          <cell r="F620" t="str">
            <v>Sanitation Attendant</v>
          </cell>
          <cell r="G620">
            <v>45748</v>
          </cell>
          <cell r="H620">
            <v>0</v>
          </cell>
          <cell r="I620" t="str">
            <v>SB Gujranwala</v>
          </cell>
          <cell r="J620" t="str">
            <v>07300010082717960017</v>
          </cell>
        </row>
        <row r="621">
          <cell r="B621">
            <v>3420103415639</v>
          </cell>
          <cell r="C621" t="str">
            <v>2nd Tranche</v>
          </cell>
          <cell r="D621">
            <v>616</v>
          </cell>
          <cell r="E621" t="str">
            <v xml:space="preserve">Dawood  </v>
          </cell>
          <cell r="F621" t="str">
            <v>Sanitation Attendant</v>
          </cell>
          <cell r="G621">
            <v>45748</v>
          </cell>
          <cell r="H621">
            <v>0</v>
          </cell>
          <cell r="I621" t="str">
            <v>SB Gujrat</v>
          </cell>
          <cell r="J621" t="str">
            <v>51040020132688320016</v>
          </cell>
        </row>
        <row r="622">
          <cell r="B622">
            <v>3420107742431</v>
          </cell>
          <cell r="C622" t="str">
            <v>2nd Tranche</v>
          </cell>
          <cell r="D622">
            <v>617</v>
          </cell>
          <cell r="E622" t="str">
            <v>Qadeer Haider Shah</v>
          </cell>
          <cell r="F622" t="str">
            <v>Sanitation Attendant</v>
          </cell>
          <cell r="G622">
            <v>45748</v>
          </cell>
          <cell r="H622">
            <v>0</v>
          </cell>
          <cell r="I622" t="str">
            <v>SB Gujrat</v>
          </cell>
          <cell r="J622" t="str">
            <v>00940010130692880018</v>
          </cell>
        </row>
        <row r="623">
          <cell r="B623">
            <v>3420143080563</v>
          </cell>
          <cell r="C623" t="str">
            <v>2nd Tranche</v>
          </cell>
          <cell r="D623">
            <v>618</v>
          </cell>
          <cell r="E623" t="str">
            <v>Shahbaz Masih</v>
          </cell>
          <cell r="F623" t="str">
            <v>Sanitation Attendant</v>
          </cell>
          <cell r="G623">
            <v>45748</v>
          </cell>
          <cell r="H623">
            <v>0</v>
          </cell>
          <cell r="I623" t="str">
            <v>SB Gujrat</v>
          </cell>
          <cell r="J623" t="str">
            <v>51040020123618630014</v>
          </cell>
        </row>
        <row r="624">
          <cell r="B624">
            <v>3420165374439</v>
          </cell>
          <cell r="C624" t="str">
            <v>Leaver</v>
          </cell>
          <cell r="D624">
            <v>619</v>
          </cell>
          <cell r="E624" t="str">
            <v>Hassan Raza</v>
          </cell>
          <cell r="F624" t="str">
            <v>Security &amp; Parking Attendant</v>
          </cell>
          <cell r="G624">
            <v>45748</v>
          </cell>
          <cell r="H624">
            <v>0</v>
          </cell>
          <cell r="I624" t="str">
            <v>SB Gujrat</v>
          </cell>
          <cell r="J624" t="str">
            <v>51870020080010140018</v>
          </cell>
        </row>
        <row r="625">
          <cell r="B625">
            <v>3420193901455</v>
          </cell>
          <cell r="C625" t="str">
            <v>2nd Tranche</v>
          </cell>
          <cell r="D625">
            <v>620</v>
          </cell>
          <cell r="E625" t="str">
            <v>Zubair Masih</v>
          </cell>
          <cell r="F625" t="str">
            <v>Sanitation Attendant</v>
          </cell>
          <cell r="G625">
            <v>45748</v>
          </cell>
          <cell r="H625">
            <v>0</v>
          </cell>
          <cell r="I625" t="str">
            <v>SB Gujranwala</v>
          </cell>
          <cell r="J625" t="str">
            <v>07300010064054810014</v>
          </cell>
        </row>
        <row r="626">
          <cell r="B626">
            <v>3420195926691</v>
          </cell>
          <cell r="C626" t="str">
            <v>Suspended 20-04-26</v>
          </cell>
          <cell r="D626">
            <v>621</v>
          </cell>
          <cell r="E626" t="str">
            <v>Welsin Masih</v>
          </cell>
          <cell r="F626" t="str">
            <v>Sanitation Attendant</v>
          </cell>
          <cell r="G626">
            <v>45748</v>
          </cell>
          <cell r="H626">
            <v>0</v>
          </cell>
          <cell r="I626" t="str">
            <v>SB Gujranwala</v>
          </cell>
          <cell r="J626" t="str">
            <v>07300010085368640017</v>
          </cell>
        </row>
        <row r="627">
          <cell r="B627">
            <v>3430160773453</v>
          </cell>
          <cell r="C627" t="str">
            <v>2nd Tranche</v>
          </cell>
          <cell r="D627">
            <v>622</v>
          </cell>
          <cell r="E627" t="str">
            <v>Saqib Masih</v>
          </cell>
          <cell r="F627" t="str">
            <v>Sanitation Attendant</v>
          </cell>
          <cell r="G627">
            <v>45748</v>
          </cell>
          <cell r="H627">
            <v>0</v>
          </cell>
          <cell r="I627" t="str">
            <v>SB Hafizabad</v>
          </cell>
          <cell r="J627" t="str">
            <v>07940010123277700014</v>
          </cell>
        </row>
        <row r="628">
          <cell r="B628">
            <v>3430190971743</v>
          </cell>
          <cell r="C628" t="str">
            <v>2nd Tranche</v>
          </cell>
          <cell r="D628">
            <v>623</v>
          </cell>
          <cell r="E628" t="str">
            <v>Shafqat Hussain</v>
          </cell>
          <cell r="F628" t="str">
            <v>Sanitation Attendant</v>
          </cell>
          <cell r="G628">
            <v>45748</v>
          </cell>
          <cell r="H628">
            <v>0</v>
          </cell>
          <cell r="I628" t="str">
            <v>SB Hafizabad</v>
          </cell>
          <cell r="J628" t="str">
            <v>51040020057157410029</v>
          </cell>
        </row>
        <row r="629">
          <cell r="B629">
            <v>3450156496227</v>
          </cell>
          <cell r="C629" t="str">
            <v>2nd Tranche</v>
          </cell>
          <cell r="D629">
            <v>624</v>
          </cell>
          <cell r="E629" t="str">
            <v>Ali Hassan</v>
          </cell>
          <cell r="F629" t="str">
            <v>Security &amp; Parking Attendant</v>
          </cell>
          <cell r="G629">
            <v>45748</v>
          </cell>
          <cell r="H629">
            <v>0</v>
          </cell>
          <cell r="I629" t="str">
            <v>SB Gujrat</v>
          </cell>
          <cell r="J629" t="str">
            <v>00940010133865270012</v>
          </cell>
        </row>
        <row r="630">
          <cell r="B630">
            <v>3460220084205</v>
          </cell>
          <cell r="C630" t="str">
            <v>2nd Tranche</v>
          </cell>
          <cell r="D630">
            <v>625</v>
          </cell>
          <cell r="E630" t="str">
            <v>Amjad Masih</v>
          </cell>
          <cell r="F630" t="str">
            <v>Sanitation Attendant</v>
          </cell>
          <cell r="G630">
            <v>45748</v>
          </cell>
          <cell r="H630">
            <v>0</v>
          </cell>
          <cell r="I630" t="str">
            <v>SB Gujranwala</v>
          </cell>
          <cell r="J630" t="str">
            <v>12620010090000790017</v>
          </cell>
        </row>
        <row r="631">
          <cell r="B631">
            <v>3460234802353</v>
          </cell>
          <cell r="C631" t="str">
            <v>2nd Tranche</v>
          </cell>
          <cell r="D631">
            <v>626</v>
          </cell>
          <cell r="E631" t="str">
            <v>Muhammad Sarfraz</v>
          </cell>
          <cell r="F631" t="str">
            <v>Security &amp; Parking Attendant</v>
          </cell>
          <cell r="G631">
            <v>45748</v>
          </cell>
          <cell r="H631">
            <v>0</v>
          </cell>
          <cell r="I631" t="str">
            <v>SB Sialkot</v>
          </cell>
          <cell r="J631" t="str">
            <v>09140010117342700016</v>
          </cell>
        </row>
        <row r="632">
          <cell r="B632">
            <v>3510170329981</v>
          </cell>
          <cell r="C632" t="str">
            <v>Suspended 13-08-2025</v>
          </cell>
          <cell r="D632">
            <v>627</v>
          </cell>
          <cell r="E632" t="str">
            <v>Ramzan Masih Khan</v>
          </cell>
          <cell r="F632" t="str">
            <v>Sanitation Attendant</v>
          </cell>
          <cell r="G632">
            <v>45748</v>
          </cell>
          <cell r="H632">
            <v>0</v>
          </cell>
          <cell r="I632" t="str">
            <v>SB Chung</v>
          </cell>
          <cell r="J632" t="str">
            <v>09650010126228830019</v>
          </cell>
        </row>
        <row r="633">
          <cell r="B633">
            <v>3510201517401</v>
          </cell>
          <cell r="C633" t="str">
            <v>2nd Tranche</v>
          </cell>
          <cell r="D633">
            <v>628</v>
          </cell>
          <cell r="E633" t="str">
            <v>Muhammad Sattar</v>
          </cell>
          <cell r="F633" t="str">
            <v>Security &amp; Parking Attendant</v>
          </cell>
          <cell r="G633">
            <v>45748</v>
          </cell>
          <cell r="H633">
            <v>0</v>
          </cell>
          <cell r="I633" t="str">
            <v>SB Kasur</v>
          </cell>
          <cell r="J633" t="str">
            <v>05390010135255930014</v>
          </cell>
        </row>
        <row r="634">
          <cell r="B634">
            <v>3510206322045</v>
          </cell>
          <cell r="C634" t="str">
            <v>2nd Tranche</v>
          </cell>
          <cell r="D634">
            <v>629</v>
          </cell>
          <cell r="E634" t="str">
            <v>Tanveer Hussain</v>
          </cell>
          <cell r="F634" t="str">
            <v>Security &amp; Parking Attendant</v>
          </cell>
          <cell r="G634">
            <v>45748</v>
          </cell>
          <cell r="H634">
            <v>0</v>
          </cell>
          <cell r="I634" t="str">
            <v>SB Kasur</v>
          </cell>
          <cell r="J634" t="str">
            <v>05390010092839680024</v>
          </cell>
        </row>
        <row r="635">
          <cell r="B635">
            <v>3510208505295</v>
          </cell>
          <cell r="C635" t="str">
            <v>2nd Tranche</v>
          </cell>
          <cell r="D635">
            <v>630</v>
          </cell>
          <cell r="E635" t="str">
            <v>Ali Raza</v>
          </cell>
          <cell r="F635" t="str">
            <v>Security &amp; Parking Attendant</v>
          </cell>
          <cell r="G635">
            <v>45748</v>
          </cell>
          <cell r="H635">
            <v>0</v>
          </cell>
          <cell r="I635" t="str">
            <v>SB Kasur</v>
          </cell>
          <cell r="J635" t="str">
            <v>52060020109605700019</v>
          </cell>
        </row>
        <row r="636">
          <cell r="B636">
            <v>3510210228225</v>
          </cell>
          <cell r="C636" t="str">
            <v>2nd Tranche</v>
          </cell>
          <cell r="D636">
            <v>631</v>
          </cell>
          <cell r="E636" t="str">
            <v>Aslam Masih</v>
          </cell>
          <cell r="F636" t="str">
            <v>Sanitation Attendant</v>
          </cell>
          <cell r="G636">
            <v>45748</v>
          </cell>
          <cell r="H636">
            <v>0</v>
          </cell>
          <cell r="I636" t="str">
            <v>SB Kasur</v>
          </cell>
          <cell r="J636" t="str">
            <v>02880010142894040011</v>
          </cell>
        </row>
        <row r="637">
          <cell r="B637">
            <v>3510228138566</v>
          </cell>
          <cell r="C637" t="str">
            <v>2nd Tranche</v>
          </cell>
          <cell r="D637">
            <v>632</v>
          </cell>
          <cell r="E637" t="str">
            <v>Maria Lal</v>
          </cell>
          <cell r="F637" t="str">
            <v>Sanitation Attendant</v>
          </cell>
          <cell r="G637">
            <v>45748</v>
          </cell>
          <cell r="H637">
            <v>0</v>
          </cell>
          <cell r="I637" t="str">
            <v>SB Kasur</v>
          </cell>
          <cell r="J637" t="str">
            <v>05390010137215570014</v>
          </cell>
        </row>
        <row r="638">
          <cell r="B638">
            <v>3510235795326</v>
          </cell>
          <cell r="C638" t="str">
            <v>2nd Tranche</v>
          </cell>
          <cell r="D638">
            <v>633</v>
          </cell>
          <cell r="E638" t="str">
            <v>Kosar Bibi</v>
          </cell>
          <cell r="F638" t="str">
            <v>Security &amp; Parking Attendant</v>
          </cell>
          <cell r="G638">
            <v>45748</v>
          </cell>
          <cell r="H638">
            <v>0</v>
          </cell>
          <cell r="I638" t="str">
            <v>SB Kasur</v>
          </cell>
          <cell r="J638" t="str">
            <v>05390010105283750016</v>
          </cell>
        </row>
        <row r="639">
          <cell r="B639">
            <v>3510238717687</v>
          </cell>
          <cell r="C639" t="str">
            <v>2nd Tranche</v>
          </cell>
          <cell r="D639">
            <v>634</v>
          </cell>
          <cell r="E639" t="str">
            <v>Ali Raza</v>
          </cell>
          <cell r="F639" t="str">
            <v>Sanitation Attendant</v>
          </cell>
          <cell r="G639">
            <v>45748</v>
          </cell>
          <cell r="H639">
            <v>0</v>
          </cell>
          <cell r="I639" t="str">
            <v>SB Raiwind</v>
          </cell>
          <cell r="J639" t="str">
            <v>03910010136158160017</v>
          </cell>
        </row>
        <row r="640">
          <cell r="B640">
            <v>3510253830107</v>
          </cell>
          <cell r="C640" t="str">
            <v>2nd Tranche</v>
          </cell>
          <cell r="D640">
            <v>635</v>
          </cell>
          <cell r="E640" t="str">
            <v>Muhammad Naeem</v>
          </cell>
          <cell r="F640" t="str">
            <v>Security &amp; Parking Attendant</v>
          </cell>
          <cell r="G640">
            <v>45748</v>
          </cell>
          <cell r="H640">
            <v>0</v>
          </cell>
          <cell r="I640" t="str">
            <v>SB Kasur</v>
          </cell>
          <cell r="J640" t="str">
            <v>05390010100555830017</v>
          </cell>
        </row>
        <row r="641">
          <cell r="B641">
            <v>3510273104577</v>
          </cell>
          <cell r="C641" t="str">
            <v>2nd Tranche</v>
          </cell>
          <cell r="D641">
            <v>636</v>
          </cell>
          <cell r="E641" t="str">
            <v>Shanon Masih</v>
          </cell>
          <cell r="F641" t="str">
            <v>Sanitation Attendant</v>
          </cell>
          <cell r="G641">
            <v>45748</v>
          </cell>
          <cell r="H641">
            <v>0</v>
          </cell>
          <cell r="I641" t="str">
            <v>SB Kasur</v>
          </cell>
          <cell r="J641" t="str">
            <v>05390010102958400010</v>
          </cell>
        </row>
        <row r="642">
          <cell r="B642">
            <v>3510274602837</v>
          </cell>
          <cell r="C642" t="str">
            <v>2nd Tranche</v>
          </cell>
          <cell r="D642">
            <v>637</v>
          </cell>
          <cell r="E642" t="str">
            <v>Malik Zahid Hussain</v>
          </cell>
          <cell r="F642" t="str">
            <v>Security &amp; Parking Attendant</v>
          </cell>
          <cell r="G642">
            <v>45748</v>
          </cell>
          <cell r="H642">
            <v>0</v>
          </cell>
          <cell r="I642" t="str">
            <v>SB Sher Sha Colony</v>
          </cell>
          <cell r="J642" t="str">
            <v>13860010108560130012</v>
          </cell>
        </row>
        <row r="643">
          <cell r="B643">
            <v>3510290423679</v>
          </cell>
          <cell r="C643" t="str">
            <v>2nd Tranche</v>
          </cell>
          <cell r="D643">
            <v>638</v>
          </cell>
          <cell r="E643" t="str">
            <v>Usama Hassan</v>
          </cell>
          <cell r="F643" t="str">
            <v>Security &amp; Parking Attendant</v>
          </cell>
          <cell r="G643">
            <v>45748</v>
          </cell>
          <cell r="H643">
            <v>0</v>
          </cell>
          <cell r="I643" t="str">
            <v>SB Township</v>
          </cell>
          <cell r="J643" t="str">
            <v>01530010132194270019</v>
          </cell>
        </row>
        <row r="644">
          <cell r="B644">
            <v>3510294581159</v>
          </cell>
          <cell r="C644" t="str">
            <v>2nd Tranche</v>
          </cell>
          <cell r="D644">
            <v>639</v>
          </cell>
          <cell r="E644" t="str">
            <v>Muhammad Nadeem</v>
          </cell>
          <cell r="F644" t="str">
            <v>Security &amp; Parking Attendant</v>
          </cell>
          <cell r="G644">
            <v>45748</v>
          </cell>
          <cell r="H644">
            <v>0</v>
          </cell>
          <cell r="I644" t="str">
            <v>SB Kasur</v>
          </cell>
          <cell r="J644" t="str">
            <v>03910010135394480014</v>
          </cell>
        </row>
        <row r="645">
          <cell r="B645">
            <v>3510298071418</v>
          </cell>
          <cell r="C645" t="str">
            <v>2nd Tranche</v>
          </cell>
          <cell r="D645">
            <v>640</v>
          </cell>
          <cell r="E645" t="str">
            <v>Malaika</v>
          </cell>
          <cell r="F645" t="str">
            <v>Security &amp; Parking Attendant</v>
          </cell>
          <cell r="G645">
            <v>45748</v>
          </cell>
          <cell r="H645">
            <v>0</v>
          </cell>
          <cell r="I645" t="str">
            <v>SB Kasur</v>
          </cell>
          <cell r="J645" t="str">
            <v>05390010105559670014</v>
          </cell>
        </row>
        <row r="646">
          <cell r="B646">
            <v>3510313462591</v>
          </cell>
          <cell r="C646" t="str">
            <v>2nd Tranche</v>
          </cell>
          <cell r="D646">
            <v>641</v>
          </cell>
          <cell r="E646" t="str">
            <v>Muhammad Yaseen</v>
          </cell>
          <cell r="F646" t="str">
            <v>Security &amp; Parking Attendant</v>
          </cell>
          <cell r="G646">
            <v>45748</v>
          </cell>
          <cell r="H646">
            <v>0</v>
          </cell>
          <cell r="I646" t="str">
            <v>SB Raiwind</v>
          </cell>
          <cell r="J646" t="str">
            <v>02040010084592340012</v>
          </cell>
        </row>
        <row r="647">
          <cell r="B647">
            <v>3510318443655</v>
          </cell>
          <cell r="C647" t="str">
            <v>2nd Tranche</v>
          </cell>
          <cell r="D647">
            <v>642</v>
          </cell>
          <cell r="E647" t="str">
            <v>Dilawar Hussain</v>
          </cell>
          <cell r="F647" t="str">
            <v>Sanitation Attendant</v>
          </cell>
          <cell r="G647">
            <v>45748</v>
          </cell>
          <cell r="H647">
            <v>0</v>
          </cell>
          <cell r="I647" t="str">
            <v>SB Township</v>
          </cell>
          <cell r="J647" t="str">
            <v>10080010122944390013</v>
          </cell>
        </row>
        <row r="648">
          <cell r="B648">
            <v>3510333870093</v>
          </cell>
          <cell r="C648" t="str">
            <v>3rd Tranche</v>
          </cell>
          <cell r="D648">
            <v>643</v>
          </cell>
          <cell r="E648" t="str">
            <v>Muhammad Usman</v>
          </cell>
          <cell r="F648" t="str">
            <v>Sahulat Bazaar Supervisor</v>
          </cell>
          <cell r="G648">
            <v>45748</v>
          </cell>
          <cell r="H648">
            <v>0</v>
          </cell>
          <cell r="I648" t="str">
            <v>SB Wahdat Colony</v>
          </cell>
          <cell r="J648" t="str">
            <v>05400010142872030017</v>
          </cell>
        </row>
        <row r="649">
          <cell r="B649">
            <v>3510389329683</v>
          </cell>
          <cell r="C649" t="str">
            <v>2nd Tranche</v>
          </cell>
          <cell r="D649">
            <v>644</v>
          </cell>
          <cell r="E649" t="str">
            <v>Ali Raza</v>
          </cell>
          <cell r="F649" t="str">
            <v>Security &amp; Parking Attendant</v>
          </cell>
          <cell r="G649">
            <v>45748</v>
          </cell>
          <cell r="H649">
            <v>0</v>
          </cell>
          <cell r="I649" t="str">
            <v>SB Kasur</v>
          </cell>
          <cell r="J649" t="str">
            <v>02880010098306190017</v>
          </cell>
        </row>
        <row r="650">
          <cell r="B650">
            <v>3520014933179</v>
          </cell>
          <cell r="C650" t="str">
            <v>2nd Tranche</v>
          </cell>
          <cell r="D650">
            <v>645</v>
          </cell>
          <cell r="E650" t="str">
            <v>Khalid Masih</v>
          </cell>
          <cell r="F650" t="str">
            <v>Sanitation Attendant</v>
          </cell>
          <cell r="G650">
            <v>45748</v>
          </cell>
          <cell r="H650">
            <v>0</v>
          </cell>
          <cell r="I650" t="str">
            <v>SB Sher Sha Colony</v>
          </cell>
          <cell r="J650" t="str">
            <v>12630010136615980010</v>
          </cell>
        </row>
        <row r="651">
          <cell r="B651">
            <v>3520107838069</v>
          </cell>
          <cell r="C651" t="str">
            <v>2nd Tranche</v>
          </cell>
          <cell r="D651">
            <v>646</v>
          </cell>
          <cell r="E651" t="str">
            <v>Haroon Masih</v>
          </cell>
          <cell r="F651" t="str">
            <v>Sanitation Attendant</v>
          </cell>
          <cell r="G651">
            <v>45748</v>
          </cell>
          <cell r="H651">
            <v>0</v>
          </cell>
          <cell r="I651" t="str">
            <v>SB Johar Town</v>
          </cell>
          <cell r="J651" t="str">
            <v>02880010135432740018</v>
          </cell>
        </row>
        <row r="652">
          <cell r="B652">
            <v>3520109187939</v>
          </cell>
          <cell r="C652" t="str">
            <v>2nd Tranche</v>
          </cell>
          <cell r="D652">
            <v>647</v>
          </cell>
          <cell r="E652" t="str">
            <v>Rauf</v>
          </cell>
          <cell r="F652" t="str">
            <v>Sanitation Attendant</v>
          </cell>
          <cell r="G652">
            <v>45748</v>
          </cell>
          <cell r="H652">
            <v>0</v>
          </cell>
          <cell r="I652" t="str">
            <v>SB Township</v>
          </cell>
          <cell r="J652" t="str">
            <v>10480010049990580011</v>
          </cell>
        </row>
        <row r="653">
          <cell r="B653">
            <v>3520109320329</v>
          </cell>
          <cell r="C653" t="str">
            <v>Suspended</v>
          </cell>
          <cell r="D653">
            <v>648</v>
          </cell>
          <cell r="E653" t="str">
            <v xml:space="preserve">Amjad  </v>
          </cell>
          <cell r="F653" t="str">
            <v>Sanitation Attendant</v>
          </cell>
          <cell r="G653">
            <v>45748</v>
          </cell>
          <cell r="H653">
            <v>0</v>
          </cell>
          <cell r="I653" t="str">
            <v>SB Township</v>
          </cell>
          <cell r="J653" t="str">
            <v>10080010100608250011</v>
          </cell>
        </row>
        <row r="654">
          <cell r="B654">
            <v>3520116434511</v>
          </cell>
          <cell r="C654" t="str">
            <v>2nd Tranche</v>
          </cell>
          <cell r="D654">
            <v>649</v>
          </cell>
          <cell r="E654" t="str">
            <v>Naveed Masih</v>
          </cell>
          <cell r="F654" t="str">
            <v>Sanitation Attendant</v>
          </cell>
          <cell r="G654">
            <v>45748</v>
          </cell>
          <cell r="H654">
            <v>0</v>
          </cell>
          <cell r="I654" t="str">
            <v>SB China Scheme</v>
          </cell>
          <cell r="J654" t="str">
            <v>51990020136425220015</v>
          </cell>
        </row>
        <row r="655">
          <cell r="B655">
            <v>3520119793999</v>
          </cell>
          <cell r="C655" t="str">
            <v>2nd Tranche</v>
          </cell>
          <cell r="D655">
            <v>650</v>
          </cell>
          <cell r="E655" t="str">
            <v>Muhammad Asif Saddiqi</v>
          </cell>
          <cell r="F655" t="str">
            <v>Security &amp; Parking Attendant</v>
          </cell>
          <cell r="G655">
            <v>45748</v>
          </cell>
          <cell r="H655">
            <v>0</v>
          </cell>
          <cell r="I655" t="str">
            <v>SB Harbanspura</v>
          </cell>
          <cell r="J655" t="str">
            <v>02200010111689660027</v>
          </cell>
        </row>
        <row r="656">
          <cell r="B656">
            <v>3520122568541</v>
          </cell>
          <cell r="C656" t="str">
            <v>2nd Tranche</v>
          </cell>
          <cell r="D656">
            <v>651</v>
          </cell>
          <cell r="E656" t="str">
            <v>Zahid Mahmood</v>
          </cell>
          <cell r="F656" t="str">
            <v>Sanitation Attendant</v>
          </cell>
          <cell r="G656">
            <v>45748</v>
          </cell>
          <cell r="H656">
            <v>0</v>
          </cell>
          <cell r="I656" t="str">
            <v>SB China Scheme</v>
          </cell>
          <cell r="J656" t="str">
            <v>06750010136042870010</v>
          </cell>
        </row>
        <row r="657">
          <cell r="B657">
            <v>3520125343245</v>
          </cell>
          <cell r="C657" t="str">
            <v>2nd Tranche</v>
          </cell>
          <cell r="D657">
            <v>652</v>
          </cell>
          <cell r="E657" t="str">
            <v>Amir Masih</v>
          </cell>
          <cell r="F657" t="str">
            <v>Sanitation Attendant</v>
          </cell>
          <cell r="G657">
            <v>45748</v>
          </cell>
          <cell r="H657">
            <v>0</v>
          </cell>
          <cell r="I657" t="str">
            <v>SB Harbanspura</v>
          </cell>
          <cell r="J657" t="str">
            <v>01260010102535590014</v>
          </cell>
        </row>
        <row r="658">
          <cell r="B658">
            <v>3520126645303</v>
          </cell>
          <cell r="C658" t="str">
            <v>2nd Tranche</v>
          </cell>
          <cell r="D658">
            <v>653</v>
          </cell>
          <cell r="E658" t="str">
            <v>Irfan Ishhaq</v>
          </cell>
          <cell r="F658" t="str">
            <v>Sanitation Attendant</v>
          </cell>
          <cell r="G658">
            <v>45748</v>
          </cell>
          <cell r="H658">
            <v>0</v>
          </cell>
          <cell r="I658" t="str">
            <v>SB Thokar</v>
          </cell>
          <cell r="J658" t="str">
            <v>02880010101203570025</v>
          </cell>
        </row>
        <row r="659">
          <cell r="B659">
            <v>3520127779829</v>
          </cell>
          <cell r="C659" t="str">
            <v>2nd Tranche</v>
          </cell>
          <cell r="D659">
            <v>654</v>
          </cell>
          <cell r="E659" t="str">
            <v>Muhammad Huzaifa</v>
          </cell>
          <cell r="F659" t="str">
            <v>Security &amp; Parking Attendant</v>
          </cell>
          <cell r="G659">
            <v>45748</v>
          </cell>
          <cell r="H659">
            <v>0</v>
          </cell>
          <cell r="I659" t="str">
            <v>SB Harbanspura</v>
          </cell>
          <cell r="J659" t="str">
            <v>08770010138866100019</v>
          </cell>
        </row>
        <row r="660">
          <cell r="B660">
            <v>3520134048787</v>
          </cell>
          <cell r="C660" t="str">
            <v>2nd Tranche</v>
          </cell>
          <cell r="D660">
            <v>655</v>
          </cell>
          <cell r="E660" t="str">
            <v>Muhammad Rizwan Butt</v>
          </cell>
          <cell r="F660" t="str">
            <v>Security &amp; Parking Attendant</v>
          </cell>
          <cell r="G660">
            <v>45748</v>
          </cell>
          <cell r="H660">
            <v>0</v>
          </cell>
          <cell r="I660" t="str">
            <v>SB Harbanspura</v>
          </cell>
          <cell r="J660" t="str">
            <v>01260010100458680010</v>
          </cell>
        </row>
        <row r="661">
          <cell r="B661">
            <v>3520137603171</v>
          </cell>
          <cell r="C661" t="str">
            <v>2nd Tranche</v>
          </cell>
          <cell r="D661">
            <v>656</v>
          </cell>
          <cell r="E661" t="str">
            <v>Shamoon</v>
          </cell>
          <cell r="F661" t="str">
            <v>Sanitation Attendant</v>
          </cell>
          <cell r="G661">
            <v>45748</v>
          </cell>
          <cell r="H661">
            <v>0</v>
          </cell>
          <cell r="I661" t="str">
            <v>SB Township</v>
          </cell>
          <cell r="J661" t="str">
            <v>02880010141091430016</v>
          </cell>
        </row>
        <row r="662">
          <cell r="B662">
            <v>3520156786955</v>
          </cell>
          <cell r="C662" t="str">
            <v>3rd Tranche</v>
          </cell>
          <cell r="D662">
            <v>657</v>
          </cell>
          <cell r="E662" t="str">
            <v>Muhammad Muneeb</v>
          </cell>
          <cell r="F662" t="str">
            <v>Operations Assistant</v>
          </cell>
          <cell r="G662">
            <v>45748</v>
          </cell>
          <cell r="H662">
            <v>0</v>
          </cell>
          <cell r="I662" t="str">
            <v>SB Sargodha</v>
          </cell>
          <cell r="J662" t="str">
            <v>02880010130028170010</v>
          </cell>
        </row>
        <row r="663">
          <cell r="B663">
            <v>3520167304703</v>
          </cell>
          <cell r="C663" t="str">
            <v>2nd Tranche</v>
          </cell>
          <cell r="D663">
            <v>658</v>
          </cell>
          <cell r="E663" t="str">
            <v>Nadeem Masih</v>
          </cell>
          <cell r="F663" t="str">
            <v>Sanitation Attendant</v>
          </cell>
          <cell r="G663">
            <v>45748</v>
          </cell>
          <cell r="H663">
            <v>0</v>
          </cell>
          <cell r="I663" t="str">
            <v>SB Township</v>
          </cell>
          <cell r="J663" t="str">
            <v>02880010139961700016</v>
          </cell>
        </row>
        <row r="664">
          <cell r="B664">
            <v>3520167374173</v>
          </cell>
          <cell r="C664" t="str">
            <v>2nd Tranche</v>
          </cell>
          <cell r="D664">
            <v>659</v>
          </cell>
          <cell r="E664" t="str">
            <v>Salamat Ali</v>
          </cell>
          <cell r="F664" t="str">
            <v>Security &amp; Parking Attendant</v>
          </cell>
          <cell r="G664">
            <v>45748</v>
          </cell>
          <cell r="H664">
            <v>0</v>
          </cell>
          <cell r="I664" t="str">
            <v>SB China Scheme</v>
          </cell>
          <cell r="J664" t="str">
            <v>01260010140179430012</v>
          </cell>
        </row>
        <row r="665">
          <cell r="B665">
            <v>3520168367451</v>
          </cell>
          <cell r="C665" t="str">
            <v>2nd Tranche</v>
          </cell>
          <cell r="D665">
            <v>660</v>
          </cell>
          <cell r="E665" t="str">
            <v>Muhammad Safdar</v>
          </cell>
          <cell r="F665" t="str">
            <v>Sanitation Attendant</v>
          </cell>
          <cell r="G665">
            <v>45748</v>
          </cell>
          <cell r="H665">
            <v>0</v>
          </cell>
          <cell r="I665" t="str">
            <v>SB Harbanspura</v>
          </cell>
          <cell r="J665" t="str">
            <v>10080010102719960010</v>
          </cell>
        </row>
        <row r="666">
          <cell r="B666">
            <v>3520171006489</v>
          </cell>
          <cell r="C666" t="str">
            <v>2nd Tranche</v>
          </cell>
          <cell r="D666">
            <v>661</v>
          </cell>
          <cell r="E666" t="str">
            <v>Mujeeb Razzaq</v>
          </cell>
          <cell r="F666" t="str">
            <v>Security &amp; Parking Attendant</v>
          </cell>
          <cell r="G666">
            <v>45748</v>
          </cell>
          <cell r="H666">
            <v>0</v>
          </cell>
          <cell r="I666" t="str">
            <v>SB China Scheme</v>
          </cell>
          <cell r="J666" t="str">
            <v>07040010135667960019</v>
          </cell>
        </row>
        <row r="667">
          <cell r="B667">
            <v>3520172215461</v>
          </cell>
          <cell r="C667" t="str">
            <v>2nd Tranche</v>
          </cell>
          <cell r="D667">
            <v>662</v>
          </cell>
          <cell r="E667" t="str">
            <v xml:space="preserve">Sarfraz </v>
          </cell>
          <cell r="F667" t="str">
            <v>Security &amp; Parking Attendant</v>
          </cell>
          <cell r="G667">
            <v>45748</v>
          </cell>
          <cell r="H667">
            <v>0</v>
          </cell>
          <cell r="I667" t="str">
            <v>SB Johar Town</v>
          </cell>
          <cell r="J667" t="str">
            <v>13470010139281570010</v>
          </cell>
        </row>
        <row r="668">
          <cell r="B668">
            <v>3520182775437</v>
          </cell>
          <cell r="C668" t="str">
            <v>2nd Tranche</v>
          </cell>
          <cell r="D668">
            <v>663</v>
          </cell>
          <cell r="E668" t="str">
            <v>Muhammad Hamza Butt</v>
          </cell>
          <cell r="F668" t="str">
            <v>Security &amp; Parking Attendant</v>
          </cell>
          <cell r="G668">
            <v>45748</v>
          </cell>
          <cell r="H668">
            <v>0</v>
          </cell>
          <cell r="I668" t="str">
            <v>SB Wahdat Colony</v>
          </cell>
          <cell r="J668" t="str">
            <v>00260010138379200013</v>
          </cell>
        </row>
        <row r="669">
          <cell r="B669">
            <v>3520201446967</v>
          </cell>
          <cell r="C669" t="str">
            <v>2nd Tranche</v>
          </cell>
          <cell r="D669">
            <v>664</v>
          </cell>
          <cell r="E669" t="str">
            <v>Dildar Ahmad</v>
          </cell>
          <cell r="F669" t="str">
            <v>Security &amp; Parking Attendant</v>
          </cell>
          <cell r="G669">
            <v>45748</v>
          </cell>
          <cell r="H669">
            <v>0</v>
          </cell>
          <cell r="I669" t="str">
            <v>SB Chung</v>
          </cell>
          <cell r="J669" t="str">
            <v>03910010138849200019</v>
          </cell>
        </row>
        <row r="670">
          <cell r="B670">
            <v>3520202323285</v>
          </cell>
          <cell r="C670" t="str">
            <v>2nd Tranche</v>
          </cell>
          <cell r="D670">
            <v>665</v>
          </cell>
          <cell r="E670" t="str">
            <v>Rashid Ali</v>
          </cell>
          <cell r="F670" t="str">
            <v>Security &amp; Parking Attendant</v>
          </cell>
          <cell r="G670">
            <v>45748</v>
          </cell>
          <cell r="H670">
            <v>0</v>
          </cell>
          <cell r="I670" t="str">
            <v>SB Johar Town</v>
          </cell>
          <cell r="J670" t="str">
            <v>09650010134950600012</v>
          </cell>
        </row>
        <row r="671">
          <cell r="B671">
            <v>3520202853161</v>
          </cell>
          <cell r="C671" t="str">
            <v>Suspended 14-05-26</v>
          </cell>
          <cell r="D671">
            <v>666</v>
          </cell>
          <cell r="E671" t="str">
            <v>Moon</v>
          </cell>
          <cell r="F671" t="str">
            <v>Sanitation Attendant</v>
          </cell>
          <cell r="G671">
            <v>45748</v>
          </cell>
          <cell r="H671">
            <v>0</v>
          </cell>
          <cell r="I671" t="str">
            <v>SB Sabzazaar</v>
          </cell>
          <cell r="J671" t="str">
            <v>09650010136342700013</v>
          </cell>
        </row>
        <row r="672">
          <cell r="B672">
            <v>3520204861789</v>
          </cell>
          <cell r="C672" t="str">
            <v>2nd Tranche</v>
          </cell>
          <cell r="D672">
            <v>667</v>
          </cell>
          <cell r="E672" t="str">
            <v>Waqas Ahmad</v>
          </cell>
          <cell r="F672" t="str">
            <v>Security &amp; Parking Attendant</v>
          </cell>
          <cell r="G672">
            <v>45748</v>
          </cell>
          <cell r="H672">
            <v>0</v>
          </cell>
          <cell r="I672" t="str">
            <v>SB Township</v>
          </cell>
          <cell r="J672" t="str">
            <v>03910010132390590017</v>
          </cell>
        </row>
        <row r="673">
          <cell r="B673">
            <v>3520205372631</v>
          </cell>
          <cell r="C673" t="str">
            <v>2nd Tranche</v>
          </cell>
          <cell r="D673">
            <v>668</v>
          </cell>
          <cell r="E673" t="str">
            <v>Nouman Jan Muhammad</v>
          </cell>
          <cell r="F673" t="str">
            <v>Security &amp; Parking Attendant</v>
          </cell>
          <cell r="G673">
            <v>45748</v>
          </cell>
          <cell r="H673">
            <v>0</v>
          </cell>
          <cell r="I673" t="str">
            <v>SB Raiwind</v>
          </cell>
          <cell r="J673" t="str">
            <v>01530010132532750016</v>
          </cell>
        </row>
        <row r="674">
          <cell r="B674">
            <v>3520205534059</v>
          </cell>
          <cell r="C674" t="str">
            <v>2nd Tranche</v>
          </cell>
          <cell r="D674">
            <v>669</v>
          </cell>
          <cell r="E674" t="str">
            <v>Muhammad Nawaz</v>
          </cell>
          <cell r="F674" t="str">
            <v>Security &amp; Parking Attendant</v>
          </cell>
          <cell r="G674">
            <v>45748</v>
          </cell>
          <cell r="H674">
            <v>0</v>
          </cell>
          <cell r="I674" t="str">
            <v>SB Sabzazaar</v>
          </cell>
          <cell r="J674" t="str">
            <v>02880010119236190019</v>
          </cell>
        </row>
        <row r="675">
          <cell r="B675">
            <v>3520206336699</v>
          </cell>
          <cell r="C675" t="str">
            <v>2nd Tranche</v>
          </cell>
          <cell r="D675">
            <v>670</v>
          </cell>
          <cell r="E675" t="str">
            <v>Imran Ali</v>
          </cell>
          <cell r="F675" t="str">
            <v>Security &amp; Parking Attendant</v>
          </cell>
          <cell r="G675">
            <v>45748</v>
          </cell>
          <cell r="H675">
            <v>0</v>
          </cell>
          <cell r="I675" t="str">
            <v>SB Sabzazaar</v>
          </cell>
          <cell r="J675" t="str">
            <v>09410010073278230012</v>
          </cell>
        </row>
        <row r="676">
          <cell r="B676">
            <v>3520208158915</v>
          </cell>
          <cell r="C676" t="str">
            <v>2nd Tranche</v>
          </cell>
          <cell r="D676">
            <v>671</v>
          </cell>
          <cell r="E676" t="str">
            <v>Muhammad Nadeem</v>
          </cell>
          <cell r="F676" t="str">
            <v>Security &amp; Parking Attendant</v>
          </cell>
          <cell r="G676">
            <v>45748</v>
          </cell>
          <cell r="H676">
            <v>0</v>
          </cell>
          <cell r="I676" t="str">
            <v>SB Thokar</v>
          </cell>
          <cell r="J676" t="str">
            <v>10790010144206190012</v>
          </cell>
        </row>
        <row r="677">
          <cell r="B677">
            <v>3520208752023</v>
          </cell>
          <cell r="C677" t="str">
            <v>2nd Tranche</v>
          </cell>
          <cell r="D677">
            <v>672</v>
          </cell>
          <cell r="E677" t="str">
            <v>Mohsin Ali</v>
          </cell>
          <cell r="F677" t="str">
            <v>Security &amp; Parking Attendant</v>
          </cell>
          <cell r="G677">
            <v>45748</v>
          </cell>
          <cell r="H677">
            <v>0</v>
          </cell>
          <cell r="I677" t="str">
            <v>SB Township</v>
          </cell>
          <cell r="J677" t="str">
            <v>02880010071878180018</v>
          </cell>
        </row>
        <row r="678">
          <cell r="B678">
            <v>3520210421345</v>
          </cell>
          <cell r="C678" t="str">
            <v>2nd Tranche</v>
          </cell>
          <cell r="D678">
            <v>673</v>
          </cell>
          <cell r="E678" t="str">
            <v>Muhammad Bilal</v>
          </cell>
          <cell r="F678" t="str">
            <v>Security &amp; Parking Attendant</v>
          </cell>
          <cell r="G678">
            <v>45748</v>
          </cell>
          <cell r="H678">
            <v>0</v>
          </cell>
          <cell r="I678" t="str">
            <v>SB Township</v>
          </cell>
          <cell r="J678" t="str">
            <v>07620010142406320017</v>
          </cell>
        </row>
        <row r="679">
          <cell r="B679">
            <v>3520213056879</v>
          </cell>
          <cell r="C679" t="str">
            <v>2nd Tranche</v>
          </cell>
          <cell r="D679">
            <v>674</v>
          </cell>
          <cell r="E679" t="str">
            <v>Faisal Masih</v>
          </cell>
          <cell r="F679" t="str">
            <v>Sanitation Attendant</v>
          </cell>
          <cell r="G679">
            <v>45748</v>
          </cell>
          <cell r="H679">
            <v>0</v>
          </cell>
          <cell r="I679" t="str">
            <v>SB Nishter Town</v>
          </cell>
          <cell r="J679" t="str">
            <v>10080010101654470011</v>
          </cell>
        </row>
        <row r="680">
          <cell r="B680">
            <v>3520216881509</v>
          </cell>
          <cell r="C680" t="str">
            <v>2nd Tranche</v>
          </cell>
          <cell r="D680">
            <v>675</v>
          </cell>
          <cell r="E680" t="str">
            <v>Muhammad Salman</v>
          </cell>
          <cell r="F680" t="str">
            <v>Sanitation Attendant</v>
          </cell>
          <cell r="G680">
            <v>45748</v>
          </cell>
          <cell r="H680">
            <v>0</v>
          </cell>
          <cell r="I680" t="str">
            <v>SB Township</v>
          </cell>
          <cell r="J680" t="str">
            <v>01530010126287190019</v>
          </cell>
        </row>
        <row r="681">
          <cell r="B681">
            <v>3520217889907</v>
          </cell>
          <cell r="C681" t="str">
            <v>2nd Tranche</v>
          </cell>
          <cell r="D681">
            <v>676</v>
          </cell>
          <cell r="E681" t="str">
            <v>Tanveer Ahmad</v>
          </cell>
          <cell r="F681" t="str">
            <v>Security &amp; Parking Attendant</v>
          </cell>
          <cell r="G681">
            <v>45748</v>
          </cell>
          <cell r="H681">
            <v>0</v>
          </cell>
          <cell r="I681" t="str">
            <v>SB Raiwind</v>
          </cell>
          <cell r="J681" t="str">
            <v>07660010135237320011</v>
          </cell>
        </row>
        <row r="682">
          <cell r="B682">
            <v>3520218808873</v>
          </cell>
          <cell r="C682" t="str">
            <v>3rd Tranche</v>
          </cell>
          <cell r="D682">
            <v>677</v>
          </cell>
          <cell r="E682" t="str">
            <v xml:space="preserve">Haroon  </v>
          </cell>
          <cell r="F682" t="str">
            <v>Office Attendant</v>
          </cell>
          <cell r="G682">
            <v>45748</v>
          </cell>
          <cell r="H682">
            <v>0</v>
          </cell>
          <cell r="I682" t="str">
            <v>SB Sabzazaar</v>
          </cell>
          <cell r="J682" t="str">
            <v>02880010136193870015</v>
          </cell>
        </row>
        <row r="683">
          <cell r="B683">
            <v>3520218824973</v>
          </cell>
          <cell r="C683" t="str">
            <v>2nd Tranche</v>
          </cell>
          <cell r="D683">
            <v>678</v>
          </cell>
          <cell r="E683" t="str">
            <v>Usama Ejaz</v>
          </cell>
          <cell r="F683" t="str">
            <v>Security &amp; Parking Attendant</v>
          </cell>
          <cell r="G683">
            <v>45748</v>
          </cell>
          <cell r="H683">
            <v>0</v>
          </cell>
          <cell r="I683" t="str">
            <v>STOG Awan Town</v>
          </cell>
          <cell r="J683" t="str">
            <v>06850010142902950012</v>
          </cell>
        </row>
        <row r="684">
          <cell r="B684">
            <v>3520221697647</v>
          </cell>
          <cell r="C684" t="str">
            <v>3rd Tranche</v>
          </cell>
          <cell r="D684">
            <v>679</v>
          </cell>
          <cell r="E684" t="str">
            <v>Khurram iqbal</v>
          </cell>
          <cell r="F684" t="str">
            <v>Driver</v>
          </cell>
          <cell r="G684">
            <v>45748</v>
          </cell>
          <cell r="H684">
            <v>0</v>
          </cell>
          <cell r="I684" t="str">
            <v>SB Sher Sha Colony</v>
          </cell>
          <cell r="J684" t="str">
            <v>07040010078436170012</v>
          </cell>
        </row>
        <row r="685">
          <cell r="B685">
            <v>3520222225165</v>
          </cell>
          <cell r="C685" t="str">
            <v>2nd Tranche</v>
          </cell>
          <cell r="D685">
            <v>680</v>
          </cell>
          <cell r="E685" t="str">
            <v>Muhammad Sufyan</v>
          </cell>
          <cell r="F685" t="str">
            <v>Security &amp; Parking Attendant</v>
          </cell>
          <cell r="G685">
            <v>45748</v>
          </cell>
          <cell r="H685">
            <v>0</v>
          </cell>
          <cell r="I685" t="str">
            <v>SB Raiwind</v>
          </cell>
          <cell r="J685" t="str">
            <v>03910010132286380011</v>
          </cell>
        </row>
        <row r="686">
          <cell r="B686">
            <v>3520225952727</v>
          </cell>
          <cell r="C686" t="str">
            <v>2nd Tranche</v>
          </cell>
          <cell r="D686">
            <v>681</v>
          </cell>
          <cell r="E686" t="str">
            <v>Salamat Masih</v>
          </cell>
          <cell r="F686" t="str">
            <v>Sanitation Attendant</v>
          </cell>
          <cell r="G686">
            <v>45748</v>
          </cell>
          <cell r="H686">
            <v>0</v>
          </cell>
          <cell r="I686" t="str">
            <v>SB Sabzazaar</v>
          </cell>
          <cell r="J686" t="str">
            <v>14180010111782010017</v>
          </cell>
        </row>
        <row r="687">
          <cell r="B687">
            <v>3520226531057</v>
          </cell>
          <cell r="C687" t="str">
            <v>2nd Tranche</v>
          </cell>
          <cell r="D687">
            <v>682</v>
          </cell>
          <cell r="E687" t="str">
            <v>Sharafat Ali</v>
          </cell>
          <cell r="F687" t="str">
            <v>Security &amp; Parking Attendant</v>
          </cell>
          <cell r="G687">
            <v>45748</v>
          </cell>
          <cell r="H687">
            <v>0</v>
          </cell>
          <cell r="I687" t="str">
            <v>SB Chung</v>
          </cell>
          <cell r="J687" t="str">
            <v>09650010132185410016</v>
          </cell>
        </row>
        <row r="688">
          <cell r="B688">
            <v>3520228388815</v>
          </cell>
          <cell r="C688" t="str">
            <v>2nd Tranche</v>
          </cell>
          <cell r="D688">
            <v>683</v>
          </cell>
          <cell r="E688" t="str">
            <v>Shoukat Masih</v>
          </cell>
          <cell r="F688" t="str">
            <v>Sanitation Attendant</v>
          </cell>
          <cell r="G688">
            <v>45748</v>
          </cell>
          <cell r="H688">
            <v>0</v>
          </cell>
          <cell r="I688" t="str">
            <v>SB Thokar</v>
          </cell>
          <cell r="J688" t="str">
            <v>09650010116102490013</v>
          </cell>
        </row>
        <row r="689">
          <cell r="B689">
            <v>3520229534773</v>
          </cell>
          <cell r="C689" t="str">
            <v>2nd Tranche</v>
          </cell>
          <cell r="D689">
            <v>684</v>
          </cell>
          <cell r="E689" t="str">
            <v>Khurram Masih</v>
          </cell>
          <cell r="F689" t="str">
            <v>Sanitation Attendant</v>
          </cell>
          <cell r="G689">
            <v>45748</v>
          </cell>
          <cell r="H689">
            <v>0</v>
          </cell>
          <cell r="I689" t="str">
            <v>SB Chung</v>
          </cell>
          <cell r="J689" t="str">
            <v>06340010104598750013</v>
          </cell>
        </row>
        <row r="690">
          <cell r="B690">
            <v>3520230167789</v>
          </cell>
          <cell r="C690" t="str">
            <v>2nd Tranche</v>
          </cell>
          <cell r="D690">
            <v>685</v>
          </cell>
          <cell r="E690" t="str">
            <v xml:space="preserve">Awais  </v>
          </cell>
          <cell r="F690" t="str">
            <v>Sanitation Attendant</v>
          </cell>
          <cell r="G690">
            <v>45748</v>
          </cell>
          <cell r="H690">
            <v>0</v>
          </cell>
          <cell r="I690" t="str">
            <v>SB China Scheme</v>
          </cell>
          <cell r="J690" t="str">
            <v>07040010125887970019</v>
          </cell>
        </row>
        <row r="691">
          <cell r="B691">
            <v>3520230173731</v>
          </cell>
          <cell r="C691" t="str">
            <v>2nd Tranche</v>
          </cell>
          <cell r="D691">
            <v>686</v>
          </cell>
          <cell r="E691" t="str">
            <v xml:space="preserve">Salman  </v>
          </cell>
          <cell r="F691" t="str">
            <v>Security &amp; Parking Attendant</v>
          </cell>
          <cell r="G691">
            <v>45748</v>
          </cell>
          <cell r="H691">
            <v>0</v>
          </cell>
          <cell r="I691" t="str">
            <v>SB Johar Town</v>
          </cell>
          <cell r="J691" t="str">
            <v>08760010139126590012</v>
          </cell>
        </row>
        <row r="692">
          <cell r="B692">
            <v>3520230260537</v>
          </cell>
          <cell r="C692" t="str">
            <v>Salary Stop</v>
          </cell>
          <cell r="D692">
            <v>687</v>
          </cell>
          <cell r="E692" t="str">
            <v>Imtiaz Ahmad</v>
          </cell>
          <cell r="F692" t="str">
            <v>Security &amp; Parking Attendant</v>
          </cell>
          <cell r="G692">
            <v>45748</v>
          </cell>
          <cell r="H692">
            <v>0</v>
          </cell>
          <cell r="I692" t="str">
            <v>SB Wahdat Colony</v>
          </cell>
          <cell r="J692" t="str">
            <v>07690010139167140013</v>
          </cell>
        </row>
        <row r="693">
          <cell r="B693">
            <v>3520231509563</v>
          </cell>
          <cell r="C693" t="str">
            <v>2nd Tranche</v>
          </cell>
          <cell r="D693">
            <v>688</v>
          </cell>
          <cell r="E693" t="str">
            <v>Shahbaz Ali</v>
          </cell>
          <cell r="F693" t="str">
            <v>Security &amp; Parking Attendant</v>
          </cell>
          <cell r="G693">
            <v>45748</v>
          </cell>
          <cell r="H693">
            <v>0</v>
          </cell>
          <cell r="I693" t="str">
            <v>SB Chung</v>
          </cell>
          <cell r="J693" t="str">
            <v>52120020109433950015</v>
          </cell>
        </row>
        <row r="694">
          <cell r="B694">
            <v>3520234305233</v>
          </cell>
          <cell r="C694" t="str">
            <v>2nd Tranche</v>
          </cell>
          <cell r="D694">
            <v>689</v>
          </cell>
          <cell r="E694" t="str">
            <v xml:space="preserve">Muhammad Umer </v>
          </cell>
          <cell r="F694" t="str">
            <v>Security &amp; Parking Attendant</v>
          </cell>
          <cell r="G694">
            <v>45748</v>
          </cell>
          <cell r="H694">
            <v>0</v>
          </cell>
          <cell r="I694" t="str">
            <v>SB Township</v>
          </cell>
          <cell r="J694" t="str">
            <v>02880010070165230010</v>
          </cell>
        </row>
        <row r="695">
          <cell r="B695">
            <v>3520234499233</v>
          </cell>
          <cell r="C695" t="str">
            <v>2nd Tranche</v>
          </cell>
          <cell r="D695">
            <v>690</v>
          </cell>
          <cell r="E695" t="str">
            <v>Sikandar Javed</v>
          </cell>
          <cell r="F695" t="str">
            <v>Sanitation Attendant</v>
          </cell>
          <cell r="G695">
            <v>45748</v>
          </cell>
          <cell r="H695">
            <v>0</v>
          </cell>
          <cell r="I695" t="str">
            <v>SB Township</v>
          </cell>
          <cell r="J695" t="str">
            <v>02880010045266750018</v>
          </cell>
        </row>
        <row r="696">
          <cell r="B696">
            <v>3520234781621</v>
          </cell>
          <cell r="C696" t="str">
            <v>2nd Tranche</v>
          </cell>
          <cell r="D696">
            <v>691</v>
          </cell>
          <cell r="E696" t="str">
            <v>Ali Hassan</v>
          </cell>
          <cell r="F696" t="str">
            <v>Security &amp; Parking Attendant</v>
          </cell>
          <cell r="G696">
            <v>45748</v>
          </cell>
          <cell r="H696">
            <v>0</v>
          </cell>
          <cell r="I696" t="str">
            <v>SB Raiwind</v>
          </cell>
          <cell r="J696" t="str">
            <v>03910010125110730018</v>
          </cell>
        </row>
        <row r="697">
          <cell r="B697">
            <v>3520236087113</v>
          </cell>
          <cell r="C697" t="str">
            <v>2nd Tranche</v>
          </cell>
          <cell r="D697">
            <v>692</v>
          </cell>
          <cell r="E697" t="str">
            <v>Muhammad Arif</v>
          </cell>
          <cell r="F697" t="str">
            <v>Sanitation Attendant</v>
          </cell>
          <cell r="G697">
            <v>45748</v>
          </cell>
          <cell r="H697">
            <v>0</v>
          </cell>
          <cell r="I697" t="str">
            <v>SB Township</v>
          </cell>
          <cell r="J697" t="str">
            <v>01530010135408260015</v>
          </cell>
        </row>
        <row r="698">
          <cell r="B698">
            <v>3520236614587</v>
          </cell>
          <cell r="C698" t="str">
            <v>3rd Tranche</v>
          </cell>
          <cell r="D698">
            <v>693</v>
          </cell>
          <cell r="E698" t="str">
            <v>Riaz Masih</v>
          </cell>
          <cell r="F698" t="str">
            <v>Gardener</v>
          </cell>
          <cell r="G698">
            <v>45748</v>
          </cell>
          <cell r="H698">
            <v>0</v>
          </cell>
          <cell r="I698" t="str">
            <v>SB Township</v>
          </cell>
          <cell r="J698" t="str">
            <v>01530010137855950010</v>
          </cell>
        </row>
        <row r="699">
          <cell r="B699">
            <v>3520237422987</v>
          </cell>
          <cell r="C699" t="str">
            <v>2nd Tranche</v>
          </cell>
          <cell r="D699">
            <v>694</v>
          </cell>
          <cell r="E699" t="str">
            <v>Muhammad Shahid Riaz</v>
          </cell>
          <cell r="F699" t="str">
            <v>Security &amp; Parking Attendant</v>
          </cell>
          <cell r="G699">
            <v>45748</v>
          </cell>
          <cell r="H699">
            <v>0</v>
          </cell>
          <cell r="I699" t="str">
            <v>SB Sher Sha Colony</v>
          </cell>
          <cell r="J699" t="str">
            <v>09650010134997290018</v>
          </cell>
        </row>
        <row r="700">
          <cell r="B700">
            <v>3520239820703</v>
          </cell>
          <cell r="C700" t="str">
            <v>2nd Tranche</v>
          </cell>
          <cell r="D700">
            <v>695</v>
          </cell>
          <cell r="E700" t="str">
            <v>Abid Shahzad</v>
          </cell>
          <cell r="F700" t="str">
            <v>Security &amp; Parking Attendant</v>
          </cell>
          <cell r="G700">
            <v>45748</v>
          </cell>
          <cell r="H700">
            <v>0</v>
          </cell>
          <cell r="I700" t="str">
            <v>SB Thokar</v>
          </cell>
          <cell r="J700" t="str">
            <v>07170010089217190018</v>
          </cell>
        </row>
        <row r="701">
          <cell r="B701">
            <v>3520240236943</v>
          </cell>
          <cell r="C701" t="str">
            <v>2nd Tranche</v>
          </cell>
          <cell r="D701">
            <v>696</v>
          </cell>
          <cell r="E701" t="str">
            <v>Muhammad Khan</v>
          </cell>
          <cell r="F701" t="str">
            <v>Security &amp; Parking Attendant</v>
          </cell>
          <cell r="G701">
            <v>45748</v>
          </cell>
          <cell r="H701">
            <v>0</v>
          </cell>
          <cell r="I701" t="str">
            <v>STOG Gulshan-e-Ravi</v>
          </cell>
          <cell r="J701" t="str">
            <v>09410010134268680010</v>
          </cell>
        </row>
        <row r="702">
          <cell r="B702">
            <v>3520240640619</v>
          </cell>
          <cell r="C702" t="str">
            <v>2nd Tranche</v>
          </cell>
          <cell r="D702">
            <v>697</v>
          </cell>
          <cell r="E702" t="str">
            <v>Azam Hussain</v>
          </cell>
          <cell r="F702" t="str">
            <v>Security &amp; Parking Attendant</v>
          </cell>
          <cell r="G702">
            <v>45748</v>
          </cell>
          <cell r="H702">
            <v>0</v>
          </cell>
          <cell r="I702" t="str">
            <v>SB Sabzazaar</v>
          </cell>
          <cell r="J702" t="str">
            <v>10010010083988360016</v>
          </cell>
        </row>
        <row r="703">
          <cell r="B703">
            <v>3520240866761</v>
          </cell>
          <cell r="C703" t="str">
            <v>2nd Tranche</v>
          </cell>
          <cell r="D703">
            <v>698</v>
          </cell>
          <cell r="E703" t="str">
            <v xml:space="preserve">Farooq Azam </v>
          </cell>
          <cell r="F703" t="str">
            <v>Security &amp; Parking Attendant</v>
          </cell>
          <cell r="G703">
            <v>45748</v>
          </cell>
          <cell r="H703">
            <v>0</v>
          </cell>
          <cell r="I703" t="str">
            <v>SB Raiwind</v>
          </cell>
          <cell r="J703" t="str">
            <v>03910010141726930015</v>
          </cell>
        </row>
        <row r="704">
          <cell r="B704">
            <v>3520243072877</v>
          </cell>
          <cell r="C704" t="str">
            <v>2nd Tranche</v>
          </cell>
          <cell r="D704">
            <v>699</v>
          </cell>
          <cell r="E704" t="str">
            <v>Ishfaq Masih</v>
          </cell>
          <cell r="F704" t="str">
            <v>Sanitation Attendant</v>
          </cell>
          <cell r="G704">
            <v>45748</v>
          </cell>
          <cell r="H704">
            <v>0</v>
          </cell>
          <cell r="I704" t="str">
            <v>SB Johar Town</v>
          </cell>
          <cell r="J704" t="str">
            <v>02880010135461880017</v>
          </cell>
        </row>
        <row r="705">
          <cell r="B705">
            <v>3520243161179</v>
          </cell>
          <cell r="C705" t="str">
            <v>3rd Tranche</v>
          </cell>
          <cell r="D705">
            <v>700</v>
          </cell>
          <cell r="E705" t="str">
            <v>Sheharyar</v>
          </cell>
          <cell r="F705" t="str">
            <v>Filing Assistant</v>
          </cell>
          <cell r="G705">
            <v>45748</v>
          </cell>
          <cell r="H705">
            <v>0</v>
          </cell>
          <cell r="I705" t="str">
            <v>SB Township</v>
          </cell>
          <cell r="J705" t="str">
            <v>02880010140094870013</v>
          </cell>
        </row>
        <row r="706">
          <cell r="B706">
            <v>3520246861685</v>
          </cell>
          <cell r="C706" t="str">
            <v>2nd Tranche</v>
          </cell>
          <cell r="D706">
            <v>701</v>
          </cell>
          <cell r="E706" t="str">
            <v>Muhammad Waqar</v>
          </cell>
          <cell r="F706" t="str">
            <v>Security &amp; Parking Attendant</v>
          </cell>
          <cell r="G706">
            <v>45748</v>
          </cell>
          <cell r="H706">
            <v>0</v>
          </cell>
          <cell r="I706" t="str">
            <v>SB Township</v>
          </cell>
          <cell r="J706" t="str">
            <v>07030010065610840020</v>
          </cell>
        </row>
        <row r="707">
          <cell r="B707">
            <v>3520251210467</v>
          </cell>
          <cell r="C707" t="str">
            <v>2nd Tranche</v>
          </cell>
          <cell r="D707">
            <v>702</v>
          </cell>
          <cell r="E707" t="str">
            <v>Nazim Ali</v>
          </cell>
          <cell r="F707" t="str">
            <v>Security &amp; Parking Attendant</v>
          </cell>
          <cell r="G707">
            <v>45748</v>
          </cell>
          <cell r="H707">
            <v>0</v>
          </cell>
          <cell r="I707" t="str">
            <v>SB Township</v>
          </cell>
          <cell r="J707" t="str">
            <v>01530010081949540018</v>
          </cell>
        </row>
        <row r="708">
          <cell r="B708">
            <v>3520252489613</v>
          </cell>
          <cell r="C708" t="str">
            <v>Suspended 30-06-25</v>
          </cell>
          <cell r="D708">
            <v>703</v>
          </cell>
          <cell r="E708" t="str">
            <v>Irfan Masih</v>
          </cell>
          <cell r="F708" t="str">
            <v>Sanitation Attendant</v>
          </cell>
          <cell r="G708">
            <v>45748</v>
          </cell>
          <cell r="H708">
            <v>0</v>
          </cell>
          <cell r="I708" t="str">
            <v>SB Raiwind</v>
          </cell>
          <cell r="J708" t="str">
            <v>03910010136159160011</v>
          </cell>
        </row>
        <row r="709">
          <cell r="B709">
            <v>3520252920559</v>
          </cell>
          <cell r="C709" t="str">
            <v>2nd Tranche</v>
          </cell>
          <cell r="D709">
            <v>704</v>
          </cell>
          <cell r="E709" t="str">
            <v>Ayaz Ali</v>
          </cell>
          <cell r="F709" t="str">
            <v>Security &amp; Parking Attendant</v>
          </cell>
          <cell r="G709">
            <v>45748</v>
          </cell>
          <cell r="H709">
            <v>0</v>
          </cell>
          <cell r="I709" t="str">
            <v>SB Chung</v>
          </cell>
          <cell r="J709" t="str">
            <v>09410010067099350013</v>
          </cell>
        </row>
        <row r="710">
          <cell r="B710">
            <v>3520256958543</v>
          </cell>
          <cell r="C710" t="str">
            <v>Suspended 23-09-25</v>
          </cell>
          <cell r="D710">
            <v>705</v>
          </cell>
          <cell r="E710" t="str">
            <v xml:space="preserve">Muhammad Majeed </v>
          </cell>
          <cell r="F710" t="str">
            <v>Sanitation Attendant</v>
          </cell>
          <cell r="G710">
            <v>45748</v>
          </cell>
          <cell r="H710">
            <v>0</v>
          </cell>
          <cell r="I710" t="str">
            <v>SB Township</v>
          </cell>
          <cell r="J710" t="str">
            <v>01530010140532360012</v>
          </cell>
        </row>
        <row r="711">
          <cell r="B711">
            <v>3520258531377</v>
          </cell>
          <cell r="C711" t="str">
            <v>2nd Tranche</v>
          </cell>
          <cell r="D711">
            <v>706</v>
          </cell>
          <cell r="E711" t="str">
            <v>Muhammad Faizan</v>
          </cell>
          <cell r="F711" t="str">
            <v>Sanitation Attendant</v>
          </cell>
          <cell r="G711">
            <v>45748</v>
          </cell>
          <cell r="H711">
            <v>0</v>
          </cell>
          <cell r="I711" t="str">
            <v>SB Township</v>
          </cell>
          <cell r="J711" t="str">
            <v>07620010123522930013</v>
          </cell>
        </row>
        <row r="712">
          <cell r="B712">
            <v>3520261507011</v>
          </cell>
          <cell r="C712" t="str">
            <v>2nd Tranche</v>
          </cell>
          <cell r="D712">
            <v>707</v>
          </cell>
          <cell r="E712" t="str">
            <v>Fazeel Ahmad Khan</v>
          </cell>
          <cell r="F712" t="str">
            <v>Security &amp; Parking Attendant</v>
          </cell>
          <cell r="G712">
            <v>45748</v>
          </cell>
          <cell r="H712">
            <v>0</v>
          </cell>
          <cell r="I712" t="str">
            <v>SB Township</v>
          </cell>
          <cell r="J712" t="str">
            <v>01530010134248250015</v>
          </cell>
        </row>
        <row r="713">
          <cell r="B713">
            <v>3520262078391</v>
          </cell>
          <cell r="C713" t="str">
            <v>Suspended 01-09-25</v>
          </cell>
          <cell r="D713">
            <v>708</v>
          </cell>
          <cell r="E713" t="str">
            <v>Rana Muhammad Tariq</v>
          </cell>
          <cell r="F713" t="str">
            <v>Electrician</v>
          </cell>
          <cell r="G713">
            <v>45748</v>
          </cell>
          <cell r="H713">
            <v>0</v>
          </cell>
          <cell r="I713" t="str">
            <v>SB Sher Sha Colony</v>
          </cell>
          <cell r="J713" t="str">
            <v>03910010121271460016</v>
          </cell>
        </row>
        <row r="714">
          <cell r="B714">
            <v>3520264030341</v>
          </cell>
          <cell r="C714" t="str">
            <v>2nd Tranche</v>
          </cell>
          <cell r="D714">
            <v>709</v>
          </cell>
          <cell r="E714" t="str">
            <v>Rehmat Masih</v>
          </cell>
          <cell r="F714" t="str">
            <v>Security &amp; Parking Attendant</v>
          </cell>
          <cell r="G714">
            <v>45748</v>
          </cell>
          <cell r="H714">
            <v>0</v>
          </cell>
          <cell r="I714" t="str">
            <v>SB Sher Sha Colony</v>
          </cell>
          <cell r="J714" t="str">
            <v>06890010120713640010</v>
          </cell>
        </row>
        <row r="715">
          <cell r="B715">
            <v>3520264484143</v>
          </cell>
          <cell r="C715" t="str">
            <v>2nd Tranche</v>
          </cell>
          <cell r="D715">
            <v>710</v>
          </cell>
          <cell r="E715" t="str">
            <v>Syed Shafaqat Ali Shah</v>
          </cell>
          <cell r="F715" t="str">
            <v>Security &amp; Parking Attendant</v>
          </cell>
          <cell r="G715">
            <v>45748</v>
          </cell>
          <cell r="H715">
            <v>0</v>
          </cell>
          <cell r="I715" t="str">
            <v>SB Chung</v>
          </cell>
          <cell r="J715" t="str">
            <v>03910010092007720012</v>
          </cell>
        </row>
        <row r="716">
          <cell r="B716">
            <v>3520265902165</v>
          </cell>
          <cell r="C716" t="str">
            <v>3rd Tranche</v>
          </cell>
          <cell r="D716">
            <v>711</v>
          </cell>
          <cell r="E716" t="str">
            <v>Muhammad Umar</v>
          </cell>
          <cell r="F716" t="str">
            <v>Office Attendant</v>
          </cell>
          <cell r="G716">
            <v>45748</v>
          </cell>
          <cell r="H716">
            <v>0</v>
          </cell>
          <cell r="I716" t="str">
            <v>SB Township</v>
          </cell>
          <cell r="J716" t="str">
            <v>02880010119362300019</v>
          </cell>
        </row>
        <row r="717">
          <cell r="B717">
            <v>3520267359393</v>
          </cell>
          <cell r="C717" t="str">
            <v>Suspended 28-07-25</v>
          </cell>
          <cell r="D717">
            <v>712</v>
          </cell>
          <cell r="E717" t="str">
            <v>Muhammad Shahbaz</v>
          </cell>
          <cell r="F717" t="str">
            <v>Security &amp; Parking Attendant</v>
          </cell>
          <cell r="G717">
            <v>45748</v>
          </cell>
          <cell r="H717">
            <v>0</v>
          </cell>
          <cell r="I717" t="str">
            <v>SB Township</v>
          </cell>
          <cell r="J717" t="str">
            <v>10790010141632750018</v>
          </cell>
        </row>
        <row r="718">
          <cell r="B718">
            <v>3520267907211</v>
          </cell>
          <cell r="C718" t="str">
            <v>2nd Tranche</v>
          </cell>
          <cell r="D718">
            <v>713</v>
          </cell>
          <cell r="E718" t="str">
            <v>Shan Ali</v>
          </cell>
          <cell r="F718" t="str">
            <v>Security &amp; Parking Attendant</v>
          </cell>
          <cell r="G718">
            <v>45748</v>
          </cell>
          <cell r="H718">
            <v>0</v>
          </cell>
          <cell r="I718" t="str">
            <v>SB Sher Sha Colony</v>
          </cell>
          <cell r="J718" t="str">
            <v>01530010142375040010</v>
          </cell>
        </row>
        <row r="719">
          <cell r="B719">
            <v>3520269686359</v>
          </cell>
          <cell r="C719" t="str">
            <v>2nd Tranche</v>
          </cell>
          <cell r="D719">
            <v>714</v>
          </cell>
          <cell r="E719" t="str">
            <v>Abid Hussain</v>
          </cell>
          <cell r="F719" t="str">
            <v>Security &amp; Parking Attendant</v>
          </cell>
          <cell r="G719">
            <v>45748</v>
          </cell>
          <cell r="H719">
            <v>0</v>
          </cell>
          <cell r="I719" t="str">
            <v>SB China Scheme</v>
          </cell>
          <cell r="J719" t="str">
            <v>05150010075051590014</v>
          </cell>
        </row>
        <row r="720">
          <cell r="B720">
            <v>3520273927759</v>
          </cell>
          <cell r="C720" t="str">
            <v>2nd Tranche</v>
          </cell>
          <cell r="D720">
            <v>715</v>
          </cell>
          <cell r="E720" t="str">
            <v>Qaiser Masih</v>
          </cell>
          <cell r="F720" t="str">
            <v>Sanitation Attendant</v>
          </cell>
          <cell r="G720">
            <v>45748</v>
          </cell>
          <cell r="H720">
            <v>0</v>
          </cell>
          <cell r="I720" t="str">
            <v>SB Township</v>
          </cell>
          <cell r="J720" t="str">
            <v>02880010139961920010</v>
          </cell>
        </row>
        <row r="721">
          <cell r="B721">
            <v>3520274889479</v>
          </cell>
          <cell r="C721" t="str">
            <v>2nd Tranche</v>
          </cell>
          <cell r="D721">
            <v>716</v>
          </cell>
          <cell r="E721" t="str">
            <v>Ali Hassan</v>
          </cell>
          <cell r="F721" t="str">
            <v>Security &amp; Parking Attendant</v>
          </cell>
          <cell r="G721">
            <v>45748</v>
          </cell>
          <cell r="H721">
            <v>0</v>
          </cell>
          <cell r="I721" t="str">
            <v>SB Township</v>
          </cell>
          <cell r="J721" t="str">
            <v>01530010140029110015</v>
          </cell>
        </row>
        <row r="722">
          <cell r="B722">
            <v>3520276236667</v>
          </cell>
          <cell r="C722" t="str">
            <v>2nd Tranche</v>
          </cell>
          <cell r="D722">
            <v>717</v>
          </cell>
          <cell r="E722" t="str">
            <v>Muhammad Asim Khan</v>
          </cell>
          <cell r="F722" t="str">
            <v>Security &amp; Parking Attendant</v>
          </cell>
          <cell r="G722">
            <v>45748</v>
          </cell>
          <cell r="H722">
            <v>0</v>
          </cell>
          <cell r="I722" t="str">
            <v>SB Raiwind</v>
          </cell>
          <cell r="J722" t="str">
            <v>03910010134361510011</v>
          </cell>
        </row>
        <row r="723">
          <cell r="B723">
            <v>3520276703861</v>
          </cell>
          <cell r="C723" t="str">
            <v>2nd Tranche</v>
          </cell>
          <cell r="D723">
            <v>718</v>
          </cell>
          <cell r="E723" t="str">
            <v>Pervaiz Masih</v>
          </cell>
          <cell r="F723" t="str">
            <v>Sanitation Attendant</v>
          </cell>
          <cell r="G723">
            <v>45748</v>
          </cell>
          <cell r="H723">
            <v>0</v>
          </cell>
          <cell r="I723" t="str">
            <v>SB Sher Sha Colony</v>
          </cell>
          <cell r="J723" t="str">
            <v>13860010118777350011</v>
          </cell>
        </row>
        <row r="724">
          <cell r="B724">
            <v>3520281523183</v>
          </cell>
          <cell r="C724" t="str">
            <v>2nd Tranche</v>
          </cell>
          <cell r="D724">
            <v>719</v>
          </cell>
          <cell r="E724" t="str">
            <v>Muhammad Hamid Liaqat</v>
          </cell>
          <cell r="F724" t="str">
            <v>Security &amp; Parking Attendant</v>
          </cell>
          <cell r="G724">
            <v>45748</v>
          </cell>
          <cell r="H724">
            <v>0</v>
          </cell>
          <cell r="I724" t="str">
            <v>SB Township</v>
          </cell>
          <cell r="J724" t="str">
            <v>06880010108660790013</v>
          </cell>
        </row>
        <row r="725">
          <cell r="B725">
            <v>3520284664225</v>
          </cell>
          <cell r="C725" t="str">
            <v>2nd Tranche</v>
          </cell>
          <cell r="D725">
            <v>720</v>
          </cell>
          <cell r="E725" t="str">
            <v>Ali Raza</v>
          </cell>
          <cell r="F725" t="str">
            <v>Security &amp; Parking Attendant</v>
          </cell>
          <cell r="G725">
            <v>45748</v>
          </cell>
          <cell r="H725">
            <v>0</v>
          </cell>
          <cell r="I725" t="str">
            <v>SB Harbanspura</v>
          </cell>
          <cell r="J725" t="str">
            <v>01260010117254870010</v>
          </cell>
        </row>
        <row r="726">
          <cell r="B726">
            <v>3520286658963</v>
          </cell>
          <cell r="C726" t="str">
            <v>2nd Tranche</v>
          </cell>
          <cell r="D726">
            <v>721</v>
          </cell>
          <cell r="E726" t="str">
            <v>Akram Ashiq</v>
          </cell>
          <cell r="F726" t="str">
            <v>Sanitation Attendant</v>
          </cell>
          <cell r="G726">
            <v>45748</v>
          </cell>
          <cell r="H726">
            <v>0</v>
          </cell>
          <cell r="I726" t="str">
            <v>SB Township</v>
          </cell>
          <cell r="J726" t="str">
            <v>01530010140821330012</v>
          </cell>
        </row>
        <row r="727">
          <cell r="B727">
            <v>3520286717171</v>
          </cell>
          <cell r="C727" t="str">
            <v>2nd Tranche</v>
          </cell>
          <cell r="D727">
            <v>722</v>
          </cell>
          <cell r="E727" t="str">
            <v>Saif Masih</v>
          </cell>
          <cell r="F727" t="str">
            <v>Sanitation Attendant</v>
          </cell>
          <cell r="G727">
            <v>45748</v>
          </cell>
          <cell r="H727">
            <v>0</v>
          </cell>
          <cell r="I727" t="str">
            <v>SB Wahdat Colony</v>
          </cell>
          <cell r="J727" t="str">
            <v>08760010065547240014</v>
          </cell>
        </row>
        <row r="728">
          <cell r="B728">
            <v>3520287114149</v>
          </cell>
          <cell r="C728" t="str">
            <v>2nd Tranche</v>
          </cell>
          <cell r="D728">
            <v>723</v>
          </cell>
          <cell r="E728" t="str">
            <v>Rizwan Tanveer</v>
          </cell>
          <cell r="F728" t="str">
            <v>Security &amp; Parking Attendant</v>
          </cell>
          <cell r="G728">
            <v>45748</v>
          </cell>
          <cell r="H728">
            <v>0</v>
          </cell>
          <cell r="I728" t="str">
            <v>SB Township</v>
          </cell>
          <cell r="J728" t="str">
            <v>10080010100534920010</v>
          </cell>
        </row>
        <row r="729">
          <cell r="B729">
            <v>3520287738779</v>
          </cell>
          <cell r="C729" t="str">
            <v>Paid</v>
          </cell>
          <cell r="D729">
            <v>724</v>
          </cell>
          <cell r="E729" t="str">
            <v>Ali Haider</v>
          </cell>
          <cell r="F729" t="str">
            <v>Filing Assistant</v>
          </cell>
          <cell r="G729">
            <v>45748</v>
          </cell>
          <cell r="H729">
            <v>0</v>
          </cell>
          <cell r="I729" t="str">
            <v>SB Gujranwala</v>
          </cell>
          <cell r="J729" t="str">
            <v>02880010078864190022</v>
          </cell>
        </row>
        <row r="730">
          <cell r="B730">
            <v>3520287811337</v>
          </cell>
          <cell r="C730" t="str">
            <v>3rd Tranche</v>
          </cell>
          <cell r="D730">
            <v>725</v>
          </cell>
          <cell r="E730" t="str">
            <v>Zafar Iqbal</v>
          </cell>
          <cell r="F730" t="str">
            <v>Gardener</v>
          </cell>
          <cell r="G730">
            <v>45748</v>
          </cell>
          <cell r="H730">
            <v>0</v>
          </cell>
          <cell r="I730" t="str">
            <v>SB Raiwind</v>
          </cell>
          <cell r="J730" t="str">
            <v>03910010142697480012</v>
          </cell>
        </row>
        <row r="731">
          <cell r="B731">
            <v>3520288113505</v>
          </cell>
          <cell r="C731" t="str">
            <v>2nd Tranche</v>
          </cell>
          <cell r="D731">
            <v>726</v>
          </cell>
          <cell r="E731" t="str">
            <v>Muhammad Ashraf</v>
          </cell>
          <cell r="F731" t="str">
            <v>Security &amp; Parking Attendant</v>
          </cell>
          <cell r="G731">
            <v>45748</v>
          </cell>
          <cell r="H731">
            <v>0</v>
          </cell>
          <cell r="I731" t="str">
            <v>SB Johar Town</v>
          </cell>
          <cell r="J731" t="str">
            <v>09880010132077820017</v>
          </cell>
        </row>
        <row r="732">
          <cell r="B732">
            <v>3520289693277</v>
          </cell>
          <cell r="C732" t="str">
            <v>2nd Tranche</v>
          </cell>
          <cell r="D732">
            <v>727</v>
          </cell>
          <cell r="E732" t="str">
            <v>Robin Masih</v>
          </cell>
          <cell r="F732" t="str">
            <v>Sanitation Attendant</v>
          </cell>
          <cell r="G732">
            <v>45748</v>
          </cell>
          <cell r="H732">
            <v>0</v>
          </cell>
          <cell r="I732" t="str">
            <v>SB Raiwind</v>
          </cell>
          <cell r="J732" t="str">
            <v>03910010102902470015</v>
          </cell>
        </row>
        <row r="733">
          <cell r="B733">
            <v>3520290326869</v>
          </cell>
          <cell r="C733" t="str">
            <v>2nd Tranche</v>
          </cell>
          <cell r="D733">
            <v>728</v>
          </cell>
          <cell r="E733" t="str">
            <v xml:space="preserve">Tariq Ali </v>
          </cell>
          <cell r="F733" t="str">
            <v>Security &amp; Parking Attendant</v>
          </cell>
          <cell r="G733">
            <v>45748</v>
          </cell>
          <cell r="H733">
            <v>0</v>
          </cell>
          <cell r="I733" t="str">
            <v>SB Chung</v>
          </cell>
          <cell r="J733" t="str">
            <v>12960010064514450017</v>
          </cell>
        </row>
        <row r="734">
          <cell r="B734">
            <v>3520291250269</v>
          </cell>
          <cell r="C734" t="str">
            <v>3rd Tranche</v>
          </cell>
          <cell r="D734">
            <v>729</v>
          </cell>
          <cell r="E734" t="str">
            <v>Muhammad Parveez</v>
          </cell>
          <cell r="F734" t="str">
            <v>Gardener</v>
          </cell>
          <cell r="G734">
            <v>45748</v>
          </cell>
          <cell r="H734">
            <v>0</v>
          </cell>
          <cell r="I734" t="str">
            <v>SB Wahdat Colony</v>
          </cell>
          <cell r="J734" t="str">
            <v>05400010060966000016</v>
          </cell>
        </row>
        <row r="735">
          <cell r="B735">
            <v>3520295155010</v>
          </cell>
          <cell r="C735" t="str">
            <v>2nd Tranche</v>
          </cell>
          <cell r="D735">
            <v>730</v>
          </cell>
          <cell r="E735" t="str">
            <v>Farah Saeed Butt</v>
          </cell>
          <cell r="F735" t="str">
            <v>Security &amp; Parking Attendant</v>
          </cell>
          <cell r="G735">
            <v>45748</v>
          </cell>
          <cell r="H735">
            <v>0</v>
          </cell>
          <cell r="I735" t="str">
            <v>SB Farooqabad</v>
          </cell>
          <cell r="J735" t="str">
            <v>00840010100589670027</v>
          </cell>
        </row>
        <row r="736">
          <cell r="B736">
            <v>3520403646565</v>
          </cell>
          <cell r="C736" t="str">
            <v>2nd Tranche</v>
          </cell>
          <cell r="D736">
            <v>731</v>
          </cell>
          <cell r="E736" t="str">
            <v>Haider Ali</v>
          </cell>
          <cell r="F736" t="str">
            <v>Security &amp; Parking Attendant</v>
          </cell>
          <cell r="G736">
            <v>45748</v>
          </cell>
          <cell r="H736">
            <v>0</v>
          </cell>
          <cell r="I736" t="str">
            <v>SB China Scheme</v>
          </cell>
          <cell r="J736" t="str">
            <v>09650010137493420012</v>
          </cell>
        </row>
        <row r="737">
          <cell r="B737">
            <v>3520404141427</v>
          </cell>
          <cell r="C737" t="str">
            <v>2nd Tranche</v>
          </cell>
          <cell r="D737">
            <v>732</v>
          </cell>
          <cell r="E737" t="str">
            <v>Aslam Masih</v>
          </cell>
          <cell r="F737" t="str">
            <v>Sanitation Attendant</v>
          </cell>
          <cell r="G737">
            <v>45748</v>
          </cell>
          <cell r="H737">
            <v>0</v>
          </cell>
          <cell r="I737" t="str">
            <v>SB Sher Sha Colony</v>
          </cell>
          <cell r="J737" t="str">
            <v>13860010136953270016</v>
          </cell>
        </row>
        <row r="738">
          <cell r="B738">
            <v>3520503430437</v>
          </cell>
          <cell r="C738" t="str">
            <v>2nd Tranche</v>
          </cell>
          <cell r="D738">
            <v>733</v>
          </cell>
          <cell r="E738" t="str">
            <v>Ali Raza</v>
          </cell>
          <cell r="F738" t="str">
            <v>Security &amp; Parking Attendant</v>
          </cell>
          <cell r="G738">
            <v>45748</v>
          </cell>
          <cell r="H738">
            <v>0</v>
          </cell>
          <cell r="I738" t="str">
            <v>SB Sabzazaar</v>
          </cell>
          <cell r="J738" t="str">
            <v>51210020087905970017</v>
          </cell>
        </row>
        <row r="739">
          <cell r="B739">
            <v>3530101985055</v>
          </cell>
          <cell r="C739" t="str">
            <v>2nd Tranche</v>
          </cell>
          <cell r="D739">
            <v>734</v>
          </cell>
          <cell r="E739" t="str">
            <v>Ali Haider Abbas</v>
          </cell>
          <cell r="F739" t="str">
            <v>Security &amp; Parking Attendant</v>
          </cell>
          <cell r="G739">
            <v>45748</v>
          </cell>
          <cell r="H739">
            <v>0</v>
          </cell>
          <cell r="I739" t="str">
            <v>SB Sher Sha Colony</v>
          </cell>
          <cell r="J739" t="str">
            <v>02880010127825970018</v>
          </cell>
        </row>
        <row r="740">
          <cell r="B740">
            <v>3530121229705</v>
          </cell>
          <cell r="C740" t="str">
            <v>2nd Tranche</v>
          </cell>
          <cell r="D740">
            <v>735</v>
          </cell>
          <cell r="E740" t="str">
            <v>Ghulam Murtaza</v>
          </cell>
          <cell r="F740" t="str">
            <v>Security &amp; Parking Attendant</v>
          </cell>
          <cell r="G740">
            <v>45748</v>
          </cell>
          <cell r="H740">
            <v>0</v>
          </cell>
          <cell r="I740" t="str">
            <v>SB Township</v>
          </cell>
          <cell r="J740" t="str">
            <v>02880010070482680019</v>
          </cell>
        </row>
        <row r="741">
          <cell r="B741">
            <v>3530269685481</v>
          </cell>
          <cell r="C741" t="str">
            <v>2nd Tranche</v>
          </cell>
          <cell r="D741">
            <v>736</v>
          </cell>
          <cell r="E741" t="str">
            <v>Adnan Siddique</v>
          </cell>
          <cell r="F741" t="str">
            <v>Security &amp; Parking Attendant</v>
          </cell>
          <cell r="G741">
            <v>45748</v>
          </cell>
          <cell r="H741">
            <v>0</v>
          </cell>
          <cell r="I741" t="str">
            <v>SB Okara</v>
          </cell>
          <cell r="J741" t="str">
            <v>09630010094123560019</v>
          </cell>
        </row>
        <row r="742">
          <cell r="B742">
            <v>3530290359439</v>
          </cell>
          <cell r="C742" t="str">
            <v>2nd Tranche</v>
          </cell>
          <cell r="D742">
            <v>737</v>
          </cell>
          <cell r="E742" t="str">
            <v>Shoukat Ali</v>
          </cell>
          <cell r="F742" t="str">
            <v>Security &amp; Parking Attendant</v>
          </cell>
          <cell r="G742">
            <v>45748</v>
          </cell>
          <cell r="H742">
            <v>0</v>
          </cell>
          <cell r="I742" t="str">
            <v>SB Okara</v>
          </cell>
          <cell r="J742" t="str">
            <v>51010020141546110011</v>
          </cell>
        </row>
        <row r="743">
          <cell r="B743">
            <v>3530378364285</v>
          </cell>
          <cell r="C743" t="str">
            <v>2nd Tranche</v>
          </cell>
          <cell r="D743">
            <v>738</v>
          </cell>
          <cell r="E743" t="str">
            <v>Mujahid Ali</v>
          </cell>
          <cell r="F743" t="str">
            <v>Security &amp; Parking Attendant</v>
          </cell>
          <cell r="G743">
            <v>45748</v>
          </cell>
          <cell r="H743">
            <v>0</v>
          </cell>
          <cell r="I743" t="str">
            <v>SB Johar Town</v>
          </cell>
          <cell r="J743" t="str">
            <v>00940010138288270010</v>
          </cell>
        </row>
        <row r="744">
          <cell r="B744">
            <v>3540112179023</v>
          </cell>
          <cell r="C744" t="str">
            <v>2nd Tranche</v>
          </cell>
          <cell r="D744">
            <v>739</v>
          </cell>
          <cell r="E744" t="str">
            <v>Liaqat Ali</v>
          </cell>
          <cell r="F744" t="str">
            <v>Security &amp; Parking Attendant</v>
          </cell>
          <cell r="G744">
            <v>45748</v>
          </cell>
          <cell r="H744">
            <v>0</v>
          </cell>
          <cell r="I744" t="str">
            <v>STOG Ferozwala</v>
          </cell>
          <cell r="J744" t="str">
            <v>51560020086612270019</v>
          </cell>
        </row>
        <row r="745">
          <cell r="B745">
            <v>3540129827114</v>
          </cell>
          <cell r="C745" t="str">
            <v>2nd Tranche</v>
          </cell>
          <cell r="D745">
            <v>740</v>
          </cell>
          <cell r="E745" t="str">
            <v>Bushra Bibi</v>
          </cell>
          <cell r="F745" t="str">
            <v>Security &amp; Parking Attendant</v>
          </cell>
          <cell r="G745">
            <v>45748</v>
          </cell>
          <cell r="H745">
            <v>0</v>
          </cell>
          <cell r="I745" t="str">
            <v>SB Farooqabad</v>
          </cell>
          <cell r="J745" t="str">
            <v>14380010139254400013</v>
          </cell>
        </row>
        <row r="746">
          <cell r="B746">
            <v>3540424049985</v>
          </cell>
          <cell r="C746" t="str">
            <v>2nd Tranche</v>
          </cell>
          <cell r="D746">
            <v>741</v>
          </cell>
          <cell r="E746" t="str">
            <v>Shahzaib</v>
          </cell>
          <cell r="F746" t="str">
            <v>Sanitation Attendant</v>
          </cell>
          <cell r="G746">
            <v>45748</v>
          </cell>
          <cell r="H746">
            <v>0</v>
          </cell>
          <cell r="I746" t="str">
            <v>SB Farooqabad</v>
          </cell>
          <cell r="J746" t="str">
            <v>06200010116248440018</v>
          </cell>
        </row>
        <row r="747">
          <cell r="B747">
            <v>3540452736957</v>
          </cell>
          <cell r="C747" t="str">
            <v>2nd Tranche</v>
          </cell>
          <cell r="D747">
            <v>742</v>
          </cell>
          <cell r="E747" t="str">
            <v>Waris Masih</v>
          </cell>
          <cell r="F747" t="str">
            <v>Sanitation Attendant</v>
          </cell>
          <cell r="G747">
            <v>45748</v>
          </cell>
          <cell r="H747">
            <v>0</v>
          </cell>
          <cell r="I747" t="str">
            <v>SB Farooqabad</v>
          </cell>
          <cell r="J747" t="str">
            <v>06200010135667180015</v>
          </cell>
        </row>
        <row r="748">
          <cell r="B748">
            <v>3540474522747</v>
          </cell>
          <cell r="C748" t="str">
            <v>2nd Tranche</v>
          </cell>
          <cell r="D748">
            <v>743</v>
          </cell>
          <cell r="E748" t="str">
            <v>Muhammad Sufiyan</v>
          </cell>
          <cell r="F748" t="str">
            <v>Security &amp; Parking Attendant</v>
          </cell>
          <cell r="G748">
            <v>45748</v>
          </cell>
          <cell r="H748">
            <v>0</v>
          </cell>
          <cell r="I748" t="str">
            <v>SB Farooqabad</v>
          </cell>
          <cell r="J748" t="str">
            <v>06200010120840560016</v>
          </cell>
        </row>
        <row r="749">
          <cell r="B749">
            <v>3540497070625</v>
          </cell>
          <cell r="C749" t="str">
            <v>2nd Tranche</v>
          </cell>
          <cell r="D749">
            <v>744</v>
          </cell>
          <cell r="E749" t="str">
            <v>Allah Ditta</v>
          </cell>
          <cell r="F749" t="str">
            <v>Security &amp; Parking Attendant</v>
          </cell>
          <cell r="G749">
            <v>45748</v>
          </cell>
          <cell r="H749">
            <v>0</v>
          </cell>
          <cell r="I749" t="str">
            <v>SB Farooqabad</v>
          </cell>
          <cell r="J749" t="str">
            <v>06200010140125510018</v>
          </cell>
        </row>
        <row r="750">
          <cell r="B750">
            <v>3540504209219</v>
          </cell>
          <cell r="C750" t="str">
            <v>2nd Tranche</v>
          </cell>
          <cell r="D750">
            <v>745</v>
          </cell>
          <cell r="E750" t="str">
            <v>Qaisar Masih</v>
          </cell>
          <cell r="F750" t="str">
            <v>Sanitation Attendant</v>
          </cell>
          <cell r="G750">
            <v>45748</v>
          </cell>
          <cell r="H750">
            <v>0</v>
          </cell>
          <cell r="I750" t="str">
            <v>SB Johar Town</v>
          </cell>
          <cell r="J750" t="str">
            <v>02880010100456460018</v>
          </cell>
        </row>
        <row r="751">
          <cell r="B751">
            <v>3550107917677</v>
          </cell>
          <cell r="C751" t="str">
            <v>3rd Tranche</v>
          </cell>
          <cell r="D751">
            <v>746</v>
          </cell>
          <cell r="E751" t="str">
            <v>Amir Ali</v>
          </cell>
          <cell r="F751" t="str">
            <v>Record Keeper</v>
          </cell>
          <cell r="G751">
            <v>45748</v>
          </cell>
          <cell r="H751">
            <v>0</v>
          </cell>
          <cell r="I751" t="str">
            <v>SB Gujranwala</v>
          </cell>
          <cell r="J751" t="str">
            <v>07300010128404970010</v>
          </cell>
        </row>
        <row r="752">
          <cell r="B752">
            <v>3610218850889</v>
          </cell>
          <cell r="C752" t="str">
            <v>2nd Tranche</v>
          </cell>
          <cell r="D752">
            <v>747</v>
          </cell>
          <cell r="E752" t="str">
            <v>Muhammad Atta UR Rehman</v>
          </cell>
          <cell r="F752" t="str">
            <v>Security &amp; Parking Attendant</v>
          </cell>
          <cell r="G752">
            <v>45748</v>
          </cell>
          <cell r="H752">
            <v>0</v>
          </cell>
          <cell r="I752" t="str">
            <v>SB Jhang Road (FSD)</v>
          </cell>
          <cell r="J752" t="str">
            <v>00660010032581220020</v>
          </cell>
        </row>
        <row r="753">
          <cell r="B753">
            <v>3610222457351</v>
          </cell>
          <cell r="C753" t="str">
            <v>3rd Tranche</v>
          </cell>
          <cell r="D753">
            <v>748</v>
          </cell>
          <cell r="E753" t="str">
            <v>Haider Ali</v>
          </cell>
          <cell r="F753" t="str">
            <v>Electrician</v>
          </cell>
          <cell r="G753">
            <v>45748</v>
          </cell>
          <cell r="H753">
            <v>0</v>
          </cell>
          <cell r="I753" t="str">
            <v>SB Raiwind</v>
          </cell>
          <cell r="J753" t="str">
            <v>06970010090769680015</v>
          </cell>
        </row>
        <row r="754">
          <cell r="B754">
            <v>3610268717151</v>
          </cell>
          <cell r="C754" t="str">
            <v>2nd Tranche</v>
          </cell>
          <cell r="D754">
            <v>749</v>
          </cell>
          <cell r="E754" t="str">
            <v>Jamil Ahmad</v>
          </cell>
          <cell r="F754" t="str">
            <v>Security &amp; Parking Attendant</v>
          </cell>
          <cell r="G754">
            <v>45748</v>
          </cell>
          <cell r="H754">
            <v>0</v>
          </cell>
          <cell r="I754" t="str">
            <v>SB Khanewal</v>
          </cell>
          <cell r="J754" t="str">
            <v>00940010142736660016</v>
          </cell>
        </row>
        <row r="755">
          <cell r="B755">
            <v>3610402076279</v>
          </cell>
          <cell r="C755" t="str">
            <v>2nd Tranche</v>
          </cell>
          <cell r="D755">
            <v>750</v>
          </cell>
          <cell r="E755" t="str">
            <v>Ali Abbas</v>
          </cell>
          <cell r="F755" t="str">
            <v>Security &amp; Parking Attendant</v>
          </cell>
          <cell r="G755">
            <v>45748</v>
          </cell>
          <cell r="H755">
            <v>0</v>
          </cell>
          <cell r="I755" t="str">
            <v>SB Gujrat</v>
          </cell>
          <cell r="J755" t="str">
            <v>02660010077054530010</v>
          </cell>
        </row>
        <row r="756">
          <cell r="B756">
            <v>3610465368801</v>
          </cell>
          <cell r="C756" t="str">
            <v>2nd Tranche</v>
          </cell>
          <cell r="D756">
            <v>751</v>
          </cell>
          <cell r="E756" t="str">
            <v>Sumiol  Nadeem</v>
          </cell>
          <cell r="F756" t="str">
            <v>Sanitation Attendant</v>
          </cell>
          <cell r="G756">
            <v>45748</v>
          </cell>
          <cell r="H756">
            <v>0</v>
          </cell>
          <cell r="I756" t="str">
            <v>SB Bahawalpur</v>
          </cell>
          <cell r="J756" t="str">
            <v>09630010080009170018</v>
          </cell>
        </row>
        <row r="757">
          <cell r="B757">
            <v>3620221935655</v>
          </cell>
          <cell r="C757" t="str">
            <v>2nd Tranche</v>
          </cell>
          <cell r="D757">
            <v>752</v>
          </cell>
          <cell r="E757" t="str">
            <v>Mohsin Majeed</v>
          </cell>
          <cell r="F757" t="str">
            <v>Security &amp; Parking Attendant</v>
          </cell>
          <cell r="G757">
            <v>45748</v>
          </cell>
          <cell r="H757">
            <v>0</v>
          </cell>
          <cell r="I757" t="str">
            <v>SB Lodhran</v>
          </cell>
          <cell r="J757" t="str">
            <v>08390010081748210018</v>
          </cell>
        </row>
        <row r="758">
          <cell r="B758">
            <v>3620295400155</v>
          </cell>
          <cell r="C758" t="str">
            <v>2nd Tranche</v>
          </cell>
          <cell r="D758">
            <v>753</v>
          </cell>
          <cell r="E758" t="str">
            <v>Khizar Nawaz</v>
          </cell>
          <cell r="F758" t="str">
            <v>Security &amp; Parking Attendant</v>
          </cell>
          <cell r="G758">
            <v>45748</v>
          </cell>
          <cell r="H758">
            <v>0</v>
          </cell>
          <cell r="I758" t="str">
            <v>SB Lodhran</v>
          </cell>
          <cell r="J758" t="str">
            <v>08390010081781560012</v>
          </cell>
        </row>
        <row r="759">
          <cell r="B759">
            <v>3620295740143</v>
          </cell>
          <cell r="C759" t="str">
            <v>2nd Tranche</v>
          </cell>
          <cell r="D759">
            <v>754</v>
          </cell>
          <cell r="E759" t="str">
            <v>Muhammad Iqbal</v>
          </cell>
          <cell r="F759" t="str">
            <v>Security &amp; Parking Attendant</v>
          </cell>
          <cell r="G759">
            <v>45748</v>
          </cell>
          <cell r="H759">
            <v>0</v>
          </cell>
          <cell r="I759" t="str">
            <v>STOG Bahawalpur</v>
          </cell>
          <cell r="J759" t="str">
            <v>08390010120558180018</v>
          </cell>
        </row>
        <row r="760">
          <cell r="B760">
            <v>3620303533753</v>
          </cell>
          <cell r="C760" t="str">
            <v>2nd Tranche</v>
          </cell>
          <cell r="D760">
            <v>755</v>
          </cell>
          <cell r="E760" t="str">
            <v>Muhammad Fiaz</v>
          </cell>
          <cell r="F760" t="str">
            <v>Security &amp; Parking Attendant</v>
          </cell>
          <cell r="G760">
            <v>45748</v>
          </cell>
          <cell r="H760">
            <v>0</v>
          </cell>
          <cell r="I760" t="str">
            <v>STOG Bahawalpur</v>
          </cell>
          <cell r="J760" t="str">
            <v>08390010062348550015</v>
          </cell>
        </row>
        <row r="761">
          <cell r="B761">
            <v>3620311124531</v>
          </cell>
          <cell r="C761" t="str">
            <v>2nd Tranche</v>
          </cell>
          <cell r="D761">
            <v>756</v>
          </cell>
          <cell r="E761" t="str">
            <v>Muhammad Mujahid</v>
          </cell>
          <cell r="F761" t="str">
            <v>Security &amp; Parking Attendant</v>
          </cell>
          <cell r="G761">
            <v>45748</v>
          </cell>
          <cell r="H761">
            <v>0</v>
          </cell>
          <cell r="I761" t="str">
            <v>SB Bahawalpur</v>
          </cell>
          <cell r="J761" t="str">
            <v>09630010136088520016</v>
          </cell>
        </row>
        <row r="762">
          <cell r="B762">
            <v>3620342259033</v>
          </cell>
          <cell r="C762" t="str">
            <v>Suspended 17-06-25</v>
          </cell>
          <cell r="D762">
            <v>757</v>
          </cell>
          <cell r="E762" t="str">
            <v>Muhammad Saddique</v>
          </cell>
          <cell r="F762" t="str">
            <v>Security &amp; Parking Attendant</v>
          </cell>
          <cell r="G762">
            <v>45748</v>
          </cell>
          <cell r="H762">
            <v>0</v>
          </cell>
          <cell r="I762" t="str">
            <v>SB Bahawalpur</v>
          </cell>
          <cell r="J762" t="str">
            <v>08390010100975310011</v>
          </cell>
        </row>
        <row r="763">
          <cell r="B763">
            <v>3620395923993</v>
          </cell>
          <cell r="C763" t="str">
            <v>2nd Tranche</v>
          </cell>
          <cell r="D763">
            <v>758</v>
          </cell>
          <cell r="E763" t="str">
            <v>Muhammad Ayub</v>
          </cell>
          <cell r="F763" t="str">
            <v>Security &amp; Parking Attendant</v>
          </cell>
          <cell r="G763">
            <v>45748</v>
          </cell>
          <cell r="H763">
            <v>0</v>
          </cell>
          <cell r="I763" t="str">
            <v>SB Lodhran</v>
          </cell>
          <cell r="J763" t="str">
            <v>08390010081752080017</v>
          </cell>
        </row>
        <row r="764">
          <cell r="B764">
            <v>3620398980657</v>
          </cell>
          <cell r="C764" t="str">
            <v>2nd Tranche</v>
          </cell>
          <cell r="D764">
            <v>759</v>
          </cell>
          <cell r="E764" t="str">
            <v>Saad Saeed</v>
          </cell>
          <cell r="F764" t="str">
            <v>Security &amp; Parking Attendant</v>
          </cell>
          <cell r="G764">
            <v>45748</v>
          </cell>
          <cell r="H764">
            <v>0</v>
          </cell>
          <cell r="I764" t="str">
            <v>SB Bahawalpur</v>
          </cell>
          <cell r="J764" t="str">
            <v>08390010109359970017</v>
          </cell>
        </row>
        <row r="765">
          <cell r="B765">
            <v>3620399806593</v>
          </cell>
          <cell r="C765" t="str">
            <v>2nd Tranche</v>
          </cell>
          <cell r="D765">
            <v>760</v>
          </cell>
          <cell r="E765" t="str">
            <v>Muhammad Raziq</v>
          </cell>
          <cell r="F765" t="str">
            <v>Sanitation Attendant</v>
          </cell>
          <cell r="G765">
            <v>45748</v>
          </cell>
          <cell r="H765">
            <v>0</v>
          </cell>
          <cell r="I765" t="str">
            <v>SB Lodhran</v>
          </cell>
          <cell r="J765" t="str">
            <v>08390010109484750015</v>
          </cell>
        </row>
        <row r="766">
          <cell r="B766">
            <v>3630164747783</v>
          </cell>
          <cell r="C766" t="str">
            <v>2nd Tranche</v>
          </cell>
          <cell r="D766">
            <v>761</v>
          </cell>
          <cell r="E766" t="str">
            <v>Muhammad Usman Jamil</v>
          </cell>
          <cell r="F766" t="str">
            <v>Security &amp; Parking Attendant</v>
          </cell>
          <cell r="G766">
            <v>45748</v>
          </cell>
          <cell r="H766">
            <v>0</v>
          </cell>
          <cell r="I766" t="str">
            <v>SB Bahawalpur</v>
          </cell>
          <cell r="J766" t="str">
            <v>53620020144617610016</v>
          </cell>
        </row>
        <row r="767">
          <cell r="B767">
            <v>3630239495073</v>
          </cell>
          <cell r="C767" t="str">
            <v>2nd Tranche</v>
          </cell>
          <cell r="D767">
            <v>762</v>
          </cell>
          <cell r="E767" t="str">
            <v xml:space="preserve">Muhammad Adnan  </v>
          </cell>
          <cell r="F767" t="str">
            <v>Security &amp; Parking Attendant</v>
          </cell>
          <cell r="G767">
            <v>45748</v>
          </cell>
          <cell r="H767">
            <v>0</v>
          </cell>
          <cell r="I767" t="str">
            <v>SB Gujranwala</v>
          </cell>
          <cell r="J767" t="str">
            <v>07300010136207410014</v>
          </cell>
        </row>
        <row r="768">
          <cell r="B768">
            <v>3630295027099</v>
          </cell>
          <cell r="C768" t="str">
            <v>2nd Tranche</v>
          </cell>
          <cell r="D768">
            <v>763</v>
          </cell>
          <cell r="E768" t="str">
            <v>Muhammad Bilal</v>
          </cell>
          <cell r="F768" t="str">
            <v>Security &amp; Parking Attendant</v>
          </cell>
          <cell r="G768">
            <v>45748</v>
          </cell>
          <cell r="H768">
            <v>0</v>
          </cell>
          <cell r="I768" t="str">
            <v>SB Thokar</v>
          </cell>
          <cell r="J768" t="str">
            <v>09650010138079340012</v>
          </cell>
        </row>
        <row r="769">
          <cell r="B769">
            <v>3630468352323</v>
          </cell>
          <cell r="C769" t="str">
            <v>2nd Tranche</v>
          </cell>
          <cell r="D769">
            <v>764</v>
          </cell>
          <cell r="E769" t="str">
            <v xml:space="preserve">Muhammad Waris  </v>
          </cell>
          <cell r="F769" t="str">
            <v>Security &amp; Parking Attendant</v>
          </cell>
          <cell r="G769">
            <v>45748</v>
          </cell>
          <cell r="H769">
            <v>0</v>
          </cell>
          <cell r="I769" t="str">
            <v>SB Sargodha</v>
          </cell>
          <cell r="J769" t="str">
            <v>51580020100625290010</v>
          </cell>
        </row>
        <row r="770">
          <cell r="B770">
            <v>3640124037125</v>
          </cell>
          <cell r="C770" t="str">
            <v>2nd Tranche</v>
          </cell>
          <cell r="D770">
            <v>765</v>
          </cell>
          <cell r="E770" t="str">
            <v>Shabbir Hussain</v>
          </cell>
          <cell r="F770" t="str">
            <v>Sanitation Attendant</v>
          </cell>
          <cell r="G770">
            <v>45748</v>
          </cell>
          <cell r="H770">
            <v>0</v>
          </cell>
          <cell r="I770" t="str">
            <v>SB Jhang Road (FSD)</v>
          </cell>
          <cell r="J770" t="str">
            <v>00660010134086580014</v>
          </cell>
        </row>
        <row r="771">
          <cell r="B771">
            <v>3640135141799</v>
          </cell>
          <cell r="C771" t="str">
            <v>2nd Tranche</v>
          </cell>
          <cell r="D771">
            <v>766</v>
          </cell>
          <cell r="E771" t="str">
            <v>Syed Zaheer Abbas Shah</v>
          </cell>
          <cell r="F771" t="str">
            <v>Security &amp; Parking Attendant</v>
          </cell>
          <cell r="G771">
            <v>45748</v>
          </cell>
          <cell r="H771">
            <v>0</v>
          </cell>
          <cell r="I771" t="str">
            <v>SB Pakpattan</v>
          </cell>
          <cell r="J771" t="str">
            <v>02980010140516990018</v>
          </cell>
        </row>
        <row r="772">
          <cell r="B772">
            <v>3640188990237</v>
          </cell>
          <cell r="C772" t="str">
            <v>3rd Tranche</v>
          </cell>
          <cell r="D772">
            <v>767</v>
          </cell>
          <cell r="E772" t="str">
            <v>Abid Hussain</v>
          </cell>
          <cell r="F772" t="str">
            <v>Sahulat Bazaar Supervisor</v>
          </cell>
          <cell r="G772">
            <v>45748</v>
          </cell>
          <cell r="H772">
            <v>0</v>
          </cell>
          <cell r="I772" t="str">
            <v>SB Sahiwal</v>
          </cell>
          <cell r="J772" t="str">
            <v>02980010100966690019</v>
          </cell>
        </row>
        <row r="773">
          <cell r="B773">
            <v>3640207617156</v>
          </cell>
          <cell r="C773" t="str">
            <v>2nd Tranche</v>
          </cell>
          <cell r="D773">
            <v>768</v>
          </cell>
          <cell r="E773" t="str">
            <v>Sumaira Urf Nasira Parveen</v>
          </cell>
          <cell r="F773" t="str">
            <v>Security &amp; Parking Attendant</v>
          </cell>
          <cell r="G773">
            <v>45748</v>
          </cell>
          <cell r="H773">
            <v>0</v>
          </cell>
          <cell r="I773" t="str">
            <v>SB Harbanspura</v>
          </cell>
          <cell r="J773" t="str">
            <v>02980010100934980014</v>
          </cell>
        </row>
        <row r="774">
          <cell r="B774">
            <v>3640213232699</v>
          </cell>
          <cell r="C774" t="str">
            <v>3rd Tranche</v>
          </cell>
          <cell r="D774">
            <v>769</v>
          </cell>
          <cell r="E774" t="str">
            <v>Usman Ali</v>
          </cell>
          <cell r="F774" t="str">
            <v>Filing Assistant</v>
          </cell>
          <cell r="G774">
            <v>45748</v>
          </cell>
          <cell r="H774">
            <v>0</v>
          </cell>
          <cell r="I774" t="str">
            <v>SB Township</v>
          </cell>
          <cell r="J774" t="str">
            <v>02880010137465300016</v>
          </cell>
        </row>
        <row r="775">
          <cell r="B775">
            <v>3640222651594</v>
          </cell>
          <cell r="C775" t="str">
            <v>2nd Tranche</v>
          </cell>
          <cell r="D775">
            <v>770</v>
          </cell>
          <cell r="E775" t="str">
            <v>Mumtaz Bibi</v>
          </cell>
          <cell r="F775" t="str">
            <v>Sanitation Attendant</v>
          </cell>
          <cell r="G775">
            <v>45748</v>
          </cell>
          <cell r="H775">
            <v>0</v>
          </cell>
          <cell r="I775" t="str">
            <v>SB Township</v>
          </cell>
          <cell r="J775" t="str">
            <v>10080010122978640019</v>
          </cell>
        </row>
        <row r="776">
          <cell r="B776">
            <v>3640251132937</v>
          </cell>
          <cell r="C776" t="str">
            <v>2nd Tranche</v>
          </cell>
          <cell r="D776">
            <v>771</v>
          </cell>
          <cell r="E776" t="str">
            <v>Muhammad Imran</v>
          </cell>
          <cell r="F776" t="str">
            <v>Security &amp; Parking Attendant</v>
          </cell>
          <cell r="G776">
            <v>45748</v>
          </cell>
          <cell r="H776">
            <v>0</v>
          </cell>
          <cell r="I776" t="str">
            <v>SB Pakpattan</v>
          </cell>
          <cell r="J776" t="str">
            <v>05250010006093890010</v>
          </cell>
        </row>
        <row r="777">
          <cell r="B777">
            <v>3640277884473</v>
          </cell>
          <cell r="C777" t="str">
            <v>2nd Tranche</v>
          </cell>
          <cell r="D777">
            <v>772</v>
          </cell>
          <cell r="E777" t="str">
            <v>Muhammad Akbar</v>
          </cell>
          <cell r="F777" t="str">
            <v>Security &amp; Parking Attendant</v>
          </cell>
          <cell r="G777">
            <v>45748</v>
          </cell>
          <cell r="H777">
            <v>0</v>
          </cell>
          <cell r="I777" t="str">
            <v>SB Pakpattan</v>
          </cell>
          <cell r="J777" t="str">
            <v>02980010100937220014</v>
          </cell>
        </row>
        <row r="778">
          <cell r="B778">
            <v>3640281643209</v>
          </cell>
          <cell r="C778" t="str">
            <v>2nd Tranche</v>
          </cell>
          <cell r="D778">
            <v>773</v>
          </cell>
          <cell r="E778" t="str">
            <v>Abid Masih</v>
          </cell>
          <cell r="F778" t="str">
            <v>Sanitation Attendant</v>
          </cell>
          <cell r="G778">
            <v>45748</v>
          </cell>
          <cell r="H778">
            <v>0</v>
          </cell>
          <cell r="I778" t="str">
            <v>SB Pakpattan</v>
          </cell>
          <cell r="J778" t="str">
            <v>02980010101251610019</v>
          </cell>
        </row>
        <row r="779">
          <cell r="B779">
            <v>3640283008053</v>
          </cell>
          <cell r="C779" t="str">
            <v>2nd Tranche</v>
          </cell>
          <cell r="D779">
            <v>774</v>
          </cell>
          <cell r="E779" t="str">
            <v>Mansab Ali</v>
          </cell>
          <cell r="F779" t="str">
            <v>Security &amp; Parking Attendant</v>
          </cell>
          <cell r="G779">
            <v>45748</v>
          </cell>
          <cell r="H779">
            <v>0</v>
          </cell>
          <cell r="I779" t="str">
            <v>SB Wahdat Colony</v>
          </cell>
          <cell r="J779" t="str">
            <v>09410010121228490014</v>
          </cell>
        </row>
        <row r="780">
          <cell r="B780">
            <v>3640288460239</v>
          </cell>
          <cell r="C780" t="str">
            <v>2nd Tranche</v>
          </cell>
          <cell r="D780">
            <v>775</v>
          </cell>
          <cell r="E780" t="str">
            <v>Akash Nazir Jatt</v>
          </cell>
          <cell r="F780" t="str">
            <v>Sanitation Attendant</v>
          </cell>
          <cell r="G780">
            <v>45748</v>
          </cell>
          <cell r="H780">
            <v>0</v>
          </cell>
          <cell r="I780" t="str">
            <v>SB Pakpattan</v>
          </cell>
          <cell r="J780" t="str">
            <v>02980010100968810010</v>
          </cell>
        </row>
        <row r="781">
          <cell r="B781">
            <v>3650203164825</v>
          </cell>
          <cell r="C781" t="str">
            <v>2nd Tranche</v>
          </cell>
          <cell r="D781">
            <v>776</v>
          </cell>
          <cell r="E781" t="str">
            <v>Usama Tahir</v>
          </cell>
          <cell r="F781" t="str">
            <v>Security &amp; Parking Attendant</v>
          </cell>
          <cell r="G781">
            <v>45748</v>
          </cell>
          <cell r="H781">
            <v>0</v>
          </cell>
          <cell r="I781" t="str">
            <v>SB Sahiwal</v>
          </cell>
          <cell r="J781" t="str">
            <v>10890010091409140010</v>
          </cell>
        </row>
        <row r="782">
          <cell r="B782">
            <v>3650213485245</v>
          </cell>
          <cell r="C782" t="str">
            <v>3rd Tranche</v>
          </cell>
          <cell r="D782">
            <v>777</v>
          </cell>
          <cell r="E782" t="str">
            <v>Syed Fakhar Abbas Sherazi</v>
          </cell>
          <cell r="F782" t="str">
            <v>Record Keeper</v>
          </cell>
          <cell r="G782">
            <v>45748</v>
          </cell>
          <cell r="H782">
            <v>0</v>
          </cell>
          <cell r="I782" t="str">
            <v>SB Sahiwal</v>
          </cell>
          <cell r="J782" t="str">
            <v>03530010054302810025</v>
          </cell>
        </row>
        <row r="783">
          <cell r="B783">
            <v>3650243187971</v>
          </cell>
          <cell r="C783" t="str">
            <v>2nd Tranche</v>
          </cell>
          <cell r="D783">
            <v>778</v>
          </cell>
          <cell r="E783" t="str">
            <v>Sayed Tafseer Mehdi</v>
          </cell>
          <cell r="F783" t="str">
            <v>Security &amp; Parking Attendant</v>
          </cell>
          <cell r="G783">
            <v>45748</v>
          </cell>
          <cell r="H783">
            <v>0</v>
          </cell>
          <cell r="I783" t="str">
            <v>SB Sahiwal</v>
          </cell>
          <cell r="J783" t="str">
            <v>03530010100516780011</v>
          </cell>
        </row>
        <row r="784">
          <cell r="B784">
            <v>3650243751315</v>
          </cell>
          <cell r="C784" t="str">
            <v>2nd Tranche</v>
          </cell>
          <cell r="D784">
            <v>779</v>
          </cell>
          <cell r="E784" t="str">
            <v>Tabish Masih</v>
          </cell>
          <cell r="F784" t="str">
            <v>Sanitation Attendant</v>
          </cell>
          <cell r="G784">
            <v>45748</v>
          </cell>
          <cell r="H784">
            <v>0</v>
          </cell>
          <cell r="I784" t="str">
            <v>SB Sahiwal</v>
          </cell>
          <cell r="J784" t="str">
            <v>03530010100536750010</v>
          </cell>
        </row>
        <row r="785">
          <cell r="B785">
            <v>3650253661199</v>
          </cell>
          <cell r="C785" t="str">
            <v>2nd Tranche</v>
          </cell>
          <cell r="D785">
            <v>780</v>
          </cell>
          <cell r="E785" t="str">
            <v>Haseeb Raza</v>
          </cell>
          <cell r="F785" t="str">
            <v>Security &amp; Parking Attendant</v>
          </cell>
          <cell r="G785">
            <v>45748</v>
          </cell>
          <cell r="H785">
            <v>0</v>
          </cell>
          <cell r="I785" t="str">
            <v>SB Sahiwal</v>
          </cell>
          <cell r="J785" t="str">
            <v>03530010141935810018</v>
          </cell>
        </row>
        <row r="786">
          <cell r="B786">
            <v>3650275580579</v>
          </cell>
          <cell r="C786" t="str">
            <v>2nd Tranche</v>
          </cell>
          <cell r="D786">
            <v>781</v>
          </cell>
          <cell r="E786" t="str">
            <v>Talha Arshad</v>
          </cell>
          <cell r="F786" t="str">
            <v>Security &amp; Parking Attendant</v>
          </cell>
          <cell r="G786">
            <v>45748</v>
          </cell>
          <cell r="H786">
            <v>0</v>
          </cell>
          <cell r="I786" t="str">
            <v>SB Sahiwal</v>
          </cell>
          <cell r="J786" t="str">
            <v>02880010084791800015</v>
          </cell>
        </row>
        <row r="787">
          <cell r="B787">
            <v>3650295385635</v>
          </cell>
          <cell r="C787" t="str">
            <v>2nd Tranche</v>
          </cell>
          <cell r="D787">
            <v>782</v>
          </cell>
          <cell r="E787" t="str">
            <v>Saleem Shehzad</v>
          </cell>
          <cell r="F787" t="str">
            <v>Sanitation Attendant</v>
          </cell>
          <cell r="G787">
            <v>45748</v>
          </cell>
          <cell r="H787">
            <v>0</v>
          </cell>
          <cell r="I787" t="str">
            <v>SB Sahiwal</v>
          </cell>
          <cell r="J787" t="str">
            <v>03530010100819050019</v>
          </cell>
        </row>
        <row r="788">
          <cell r="B788">
            <v>3650299059437</v>
          </cell>
          <cell r="C788" t="str">
            <v>2nd Tranche</v>
          </cell>
          <cell r="D788">
            <v>783</v>
          </cell>
          <cell r="E788" t="str">
            <v>Waseem Abbas</v>
          </cell>
          <cell r="F788" t="str">
            <v>Security &amp; Parking Attendant</v>
          </cell>
          <cell r="G788">
            <v>45748</v>
          </cell>
          <cell r="H788">
            <v>0</v>
          </cell>
          <cell r="I788" t="str">
            <v>SB Sahiwal</v>
          </cell>
          <cell r="J788" t="str">
            <v>00660010100460570010</v>
          </cell>
        </row>
        <row r="789">
          <cell r="B789">
            <v>3660223080327</v>
          </cell>
          <cell r="C789" t="str">
            <v>2nd Tranche</v>
          </cell>
          <cell r="D789">
            <v>784</v>
          </cell>
          <cell r="E789" t="str">
            <v>Fazal-ur-Rehman</v>
          </cell>
          <cell r="F789" t="str">
            <v>Security &amp; Parking Attendant</v>
          </cell>
          <cell r="G789">
            <v>45748</v>
          </cell>
          <cell r="H789">
            <v>0</v>
          </cell>
          <cell r="I789" t="str">
            <v>SB Vehari</v>
          </cell>
          <cell r="J789" t="str">
            <v>02590010142004700010</v>
          </cell>
        </row>
        <row r="790">
          <cell r="B790">
            <v>3660318966655</v>
          </cell>
          <cell r="C790" t="str">
            <v>2nd Tranche</v>
          </cell>
          <cell r="D790">
            <v>785</v>
          </cell>
          <cell r="E790" t="str">
            <v>Saqlain Ghaffar</v>
          </cell>
          <cell r="F790" t="str">
            <v>Security &amp; Parking Attendant</v>
          </cell>
          <cell r="G790">
            <v>45748</v>
          </cell>
          <cell r="H790">
            <v>0</v>
          </cell>
          <cell r="I790" t="str">
            <v>SB Vehari</v>
          </cell>
          <cell r="J790" t="str">
            <v>08370010124275990016</v>
          </cell>
        </row>
        <row r="791">
          <cell r="B791">
            <v>3660342640399</v>
          </cell>
          <cell r="C791" t="str">
            <v>2nd Tranche</v>
          </cell>
          <cell r="D791">
            <v>786</v>
          </cell>
          <cell r="E791" t="str">
            <v>Muhammad Naeem Tariq</v>
          </cell>
          <cell r="F791" t="str">
            <v>Security &amp; Parking Attendant</v>
          </cell>
          <cell r="G791">
            <v>45748</v>
          </cell>
          <cell r="H791">
            <v>0</v>
          </cell>
          <cell r="I791" t="str">
            <v>SB Vehari</v>
          </cell>
          <cell r="J791" t="str">
            <v>08370010131043330016</v>
          </cell>
        </row>
        <row r="792">
          <cell r="B792">
            <v>3710116967049</v>
          </cell>
          <cell r="C792" t="str">
            <v>2nd Tranche</v>
          </cell>
          <cell r="D792">
            <v>787</v>
          </cell>
          <cell r="E792" t="str">
            <v>Tahir Mehmood</v>
          </cell>
          <cell r="F792" t="str">
            <v>Security &amp; Parking Attendant</v>
          </cell>
          <cell r="G792">
            <v>45748</v>
          </cell>
          <cell r="H792">
            <v>0</v>
          </cell>
          <cell r="I792" t="str">
            <v>SB Sabzazaar</v>
          </cell>
          <cell r="J792" t="str">
            <v>02270010141422330010</v>
          </cell>
        </row>
        <row r="793">
          <cell r="B793">
            <v>3720115616749</v>
          </cell>
          <cell r="C793" t="str">
            <v>2nd Tranche</v>
          </cell>
          <cell r="D793">
            <v>788</v>
          </cell>
          <cell r="E793" t="str">
            <v>Azhar Abbas</v>
          </cell>
          <cell r="F793" t="str">
            <v>Sanitation Attendant</v>
          </cell>
          <cell r="G793">
            <v>45748</v>
          </cell>
          <cell r="H793">
            <v>0</v>
          </cell>
          <cell r="I793" t="str">
            <v>SB Chakwal</v>
          </cell>
          <cell r="J793" t="str">
            <v>51340020042444580013</v>
          </cell>
        </row>
        <row r="794">
          <cell r="B794">
            <v>3720164447663</v>
          </cell>
          <cell r="C794" t="str">
            <v>2nd Tranche</v>
          </cell>
          <cell r="D794">
            <v>789</v>
          </cell>
          <cell r="E794" t="str">
            <v>Suleman Yousaf</v>
          </cell>
          <cell r="F794" t="str">
            <v>Sanitation Attendant</v>
          </cell>
          <cell r="G794">
            <v>45748</v>
          </cell>
          <cell r="H794">
            <v>0</v>
          </cell>
          <cell r="I794" t="str">
            <v>SB Chakwal</v>
          </cell>
          <cell r="J794" t="str">
            <v>00600010081050100018</v>
          </cell>
        </row>
        <row r="795">
          <cell r="B795">
            <v>3720174234854</v>
          </cell>
          <cell r="C795" t="str">
            <v>2nd Tranche</v>
          </cell>
          <cell r="D795">
            <v>790</v>
          </cell>
          <cell r="E795" t="str">
            <v>Ishrat Fatima</v>
          </cell>
          <cell r="F795" t="str">
            <v>Security &amp; Parking Attendant</v>
          </cell>
          <cell r="G795">
            <v>45748</v>
          </cell>
          <cell r="H795">
            <v>0</v>
          </cell>
          <cell r="I795" t="str">
            <v>SB Chakwal</v>
          </cell>
          <cell r="J795" t="str">
            <v>00600010096917820018</v>
          </cell>
        </row>
        <row r="796">
          <cell r="B796">
            <v>3720198325053</v>
          </cell>
          <cell r="C796" t="str">
            <v>2nd Tranche</v>
          </cell>
          <cell r="D796">
            <v>791</v>
          </cell>
          <cell r="E796" t="str">
            <v>Haider Ali</v>
          </cell>
          <cell r="F796" t="str">
            <v>Sanitation Attendant</v>
          </cell>
          <cell r="G796">
            <v>45748</v>
          </cell>
          <cell r="H796">
            <v>0</v>
          </cell>
          <cell r="I796" t="str">
            <v>SB Chakwal</v>
          </cell>
          <cell r="J796" t="str">
            <v>51340020132158460027</v>
          </cell>
        </row>
        <row r="797">
          <cell r="B797">
            <v>3720298671365</v>
          </cell>
          <cell r="C797" t="str">
            <v>Suspended 03-09-25</v>
          </cell>
          <cell r="D797">
            <v>792</v>
          </cell>
          <cell r="E797" t="str">
            <v>Haider Abbas</v>
          </cell>
          <cell r="F797" t="str">
            <v>Security &amp; Parking Attendant</v>
          </cell>
          <cell r="G797">
            <v>45748</v>
          </cell>
          <cell r="H797">
            <v>0</v>
          </cell>
          <cell r="I797" t="str">
            <v>SB Chakwal</v>
          </cell>
          <cell r="J797" t="str">
            <v>51340020140686400010</v>
          </cell>
        </row>
        <row r="798">
          <cell r="B798">
            <v>3810102266481</v>
          </cell>
          <cell r="C798" t="str">
            <v>2nd Tranche</v>
          </cell>
          <cell r="D798">
            <v>793</v>
          </cell>
          <cell r="E798" t="str">
            <v>Muhammad Asad</v>
          </cell>
          <cell r="F798" t="str">
            <v>Sanitation Attendant</v>
          </cell>
          <cell r="G798">
            <v>45748</v>
          </cell>
          <cell r="H798">
            <v>0</v>
          </cell>
          <cell r="I798" t="str">
            <v>SB Bhakar</v>
          </cell>
          <cell r="J798" t="str">
            <v>05030010129041600011</v>
          </cell>
        </row>
        <row r="799">
          <cell r="B799">
            <v>3810110968571</v>
          </cell>
          <cell r="C799" t="str">
            <v>2nd Tranche</v>
          </cell>
          <cell r="D799">
            <v>794</v>
          </cell>
          <cell r="E799" t="str">
            <v>Mudassar Hassan</v>
          </cell>
          <cell r="F799" t="str">
            <v>Security &amp; Parking Attendant</v>
          </cell>
          <cell r="G799">
            <v>45748</v>
          </cell>
          <cell r="H799">
            <v>0</v>
          </cell>
          <cell r="I799" t="str">
            <v>SB Bhakar</v>
          </cell>
          <cell r="J799" t="str">
            <v>05030010100833890016</v>
          </cell>
        </row>
        <row r="800">
          <cell r="B800">
            <v>3810121295261</v>
          </cell>
          <cell r="C800" t="str">
            <v>2nd Tranche</v>
          </cell>
          <cell r="D800">
            <v>795</v>
          </cell>
          <cell r="E800" t="str">
            <v>Awais kamal</v>
          </cell>
          <cell r="F800" t="str">
            <v>Sanitation Attendant</v>
          </cell>
          <cell r="G800">
            <v>45748</v>
          </cell>
          <cell r="H800">
            <v>0</v>
          </cell>
          <cell r="I800" t="str">
            <v>SB Layyah</v>
          </cell>
          <cell r="J800" t="str">
            <v>05030010095977710011</v>
          </cell>
        </row>
        <row r="801">
          <cell r="B801">
            <v>3810133797237</v>
          </cell>
          <cell r="C801" t="str">
            <v>2nd Tranche</v>
          </cell>
          <cell r="D801">
            <v>796</v>
          </cell>
          <cell r="E801" t="str">
            <v>Waseem Abbas</v>
          </cell>
          <cell r="F801" t="str">
            <v>Security &amp; Parking Attendant</v>
          </cell>
          <cell r="G801">
            <v>45748</v>
          </cell>
          <cell r="H801">
            <v>0</v>
          </cell>
          <cell r="I801" t="str">
            <v>SB Bhakar</v>
          </cell>
          <cell r="J801" t="str">
            <v>05030010104272250016</v>
          </cell>
        </row>
        <row r="802">
          <cell r="B802">
            <v>3810139850069</v>
          </cell>
          <cell r="C802" t="str">
            <v>2nd Tranche</v>
          </cell>
          <cell r="D802">
            <v>797</v>
          </cell>
          <cell r="E802" t="str">
            <v>Muhammad Arif</v>
          </cell>
          <cell r="F802" t="str">
            <v>Security &amp; Parking Attendant</v>
          </cell>
          <cell r="G802">
            <v>45748</v>
          </cell>
          <cell r="H802">
            <v>0</v>
          </cell>
          <cell r="I802" t="str">
            <v>SB Bhakar</v>
          </cell>
          <cell r="J802" t="str">
            <v>05030010100818210013</v>
          </cell>
        </row>
        <row r="803">
          <cell r="B803">
            <v>3810154336459</v>
          </cell>
          <cell r="C803" t="str">
            <v>2nd Tranche</v>
          </cell>
          <cell r="D803">
            <v>798</v>
          </cell>
          <cell r="E803" t="str">
            <v>Zafar Iqbal</v>
          </cell>
          <cell r="F803" t="str">
            <v>Sanitation Attendant</v>
          </cell>
          <cell r="G803">
            <v>45748</v>
          </cell>
          <cell r="H803">
            <v>0</v>
          </cell>
          <cell r="I803" t="str">
            <v>SB Bhakar</v>
          </cell>
          <cell r="J803" t="str">
            <v>05030010129044980016</v>
          </cell>
        </row>
        <row r="804">
          <cell r="B804">
            <v>3810179900725</v>
          </cell>
          <cell r="C804" t="str">
            <v>2nd Tranche</v>
          </cell>
          <cell r="D804">
            <v>799</v>
          </cell>
          <cell r="E804" t="str">
            <v>Hassan Raza</v>
          </cell>
          <cell r="F804" t="str">
            <v>Security &amp; Parking Attendant</v>
          </cell>
          <cell r="G804">
            <v>45748</v>
          </cell>
          <cell r="H804">
            <v>0</v>
          </cell>
          <cell r="I804" t="str">
            <v>SB Bhakar</v>
          </cell>
          <cell r="J804" t="str">
            <v>05030010094488580019</v>
          </cell>
        </row>
        <row r="805">
          <cell r="B805">
            <v>3810183474609</v>
          </cell>
          <cell r="C805" t="str">
            <v>2nd Tranche</v>
          </cell>
          <cell r="D805">
            <v>800</v>
          </cell>
          <cell r="E805" t="str">
            <v>Ameer Hamza</v>
          </cell>
          <cell r="F805" t="str">
            <v>Sanitation Attendant</v>
          </cell>
          <cell r="G805">
            <v>45748</v>
          </cell>
          <cell r="H805">
            <v>0</v>
          </cell>
          <cell r="I805" t="str">
            <v>SB Bhakar</v>
          </cell>
          <cell r="J805" t="str">
            <v>05030010129056610011</v>
          </cell>
        </row>
        <row r="806">
          <cell r="B806">
            <v>3810185136149</v>
          </cell>
          <cell r="C806" t="str">
            <v>2nd Tranche</v>
          </cell>
          <cell r="D806">
            <v>801</v>
          </cell>
          <cell r="E806" t="str">
            <v>Hussain Raza</v>
          </cell>
          <cell r="F806" t="str">
            <v>Security &amp; Parking Attendant</v>
          </cell>
          <cell r="G806">
            <v>45748</v>
          </cell>
          <cell r="H806">
            <v>0</v>
          </cell>
          <cell r="I806" t="str">
            <v>SB Bhakar</v>
          </cell>
          <cell r="J806" t="str">
            <v>09160010091842370013</v>
          </cell>
        </row>
        <row r="807">
          <cell r="B807">
            <v>3810194583501</v>
          </cell>
          <cell r="C807" t="str">
            <v>3rd Tranche</v>
          </cell>
          <cell r="D807">
            <v>802</v>
          </cell>
          <cell r="E807" t="str">
            <v>Umar Farooq</v>
          </cell>
          <cell r="F807" t="str">
            <v>Gardener</v>
          </cell>
          <cell r="G807">
            <v>45748</v>
          </cell>
          <cell r="H807">
            <v>0</v>
          </cell>
          <cell r="I807" t="str">
            <v>SB Bhakar</v>
          </cell>
          <cell r="J807" t="str">
            <v>05030010095352090016</v>
          </cell>
        </row>
        <row r="808">
          <cell r="B808">
            <v>3810355867861</v>
          </cell>
          <cell r="C808" t="str">
            <v>2nd Tranche</v>
          </cell>
          <cell r="D808">
            <v>803</v>
          </cell>
          <cell r="E808" t="str">
            <v>Muhammad Aamir</v>
          </cell>
          <cell r="F808" t="str">
            <v>Security &amp; Parking Attendant</v>
          </cell>
          <cell r="G808">
            <v>45748</v>
          </cell>
          <cell r="H808">
            <v>0</v>
          </cell>
          <cell r="I808" t="str">
            <v>SB Bhakar</v>
          </cell>
          <cell r="J808" t="str">
            <v>05030010100872630014</v>
          </cell>
        </row>
        <row r="809">
          <cell r="B809">
            <v>3810439111229</v>
          </cell>
          <cell r="C809" t="str">
            <v>2nd Tranche</v>
          </cell>
          <cell r="D809">
            <v>804</v>
          </cell>
          <cell r="E809" t="str">
            <v>Ghazanfar Hussnain</v>
          </cell>
          <cell r="F809" t="str">
            <v>Sanitation Attendant</v>
          </cell>
          <cell r="G809">
            <v>45748</v>
          </cell>
          <cell r="H809">
            <v>0</v>
          </cell>
          <cell r="I809" t="str">
            <v>SB Bhakar</v>
          </cell>
          <cell r="J809" t="str">
            <v>05030010094512490010</v>
          </cell>
        </row>
        <row r="810">
          <cell r="B810">
            <v>3820111226279</v>
          </cell>
          <cell r="C810" t="str">
            <v>2nd Tranche</v>
          </cell>
          <cell r="D810">
            <v>805</v>
          </cell>
          <cell r="E810" t="str">
            <v>Mazhar Hussain</v>
          </cell>
          <cell r="F810" t="str">
            <v>Sanitation Attendant</v>
          </cell>
          <cell r="G810">
            <v>45748</v>
          </cell>
          <cell r="H810">
            <v>0</v>
          </cell>
          <cell r="I810" t="str">
            <v>SB Khushab</v>
          </cell>
          <cell r="J810" t="str">
            <v>52320020128456090014</v>
          </cell>
        </row>
        <row r="811">
          <cell r="B811">
            <v>3820131969217</v>
          </cell>
          <cell r="C811" t="str">
            <v>2nd Tranche</v>
          </cell>
          <cell r="D811">
            <v>806</v>
          </cell>
          <cell r="E811" t="str">
            <v>Faisal Riaz</v>
          </cell>
          <cell r="F811" t="str">
            <v>Security &amp; Parking Attendant</v>
          </cell>
          <cell r="G811">
            <v>45748</v>
          </cell>
          <cell r="H811">
            <v>0</v>
          </cell>
          <cell r="I811" t="str">
            <v>SB Sargodha</v>
          </cell>
          <cell r="J811" t="str">
            <v>07980010083851190011</v>
          </cell>
        </row>
        <row r="812">
          <cell r="B812">
            <v>3820147710653</v>
          </cell>
          <cell r="C812" t="str">
            <v>2nd Tranche</v>
          </cell>
          <cell r="D812">
            <v>807</v>
          </cell>
          <cell r="E812" t="str">
            <v>Naveed Ahmad</v>
          </cell>
          <cell r="F812" t="str">
            <v>Security &amp; Parking Attendant</v>
          </cell>
          <cell r="G812">
            <v>45748</v>
          </cell>
          <cell r="H812">
            <v>0</v>
          </cell>
          <cell r="I812" t="str">
            <v>SB Khushab</v>
          </cell>
          <cell r="J812" t="str">
            <v>01220010105295330014</v>
          </cell>
        </row>
        <row r="813">
          <cell r="B813">
            <v>3820158498441</v>
          </cell>
          <cell r="C813" t="str">
            <v>2nd Tranche</v>
          </cell>
          <cell r="D813">
            <v>808</v>
          </cell>
          <cell r="E813" t="str">
            <v>Amir Sohail</v>
          </cell>
          <cell r="F813" t="str">
            <v>Security &amp; Parking Attendant</v>
          </cell>
          <cell r="G813">
            <v>45748</v>
          </cell>
          <cell r="H813">
            <v>0</v>
          </cell>
          <cell r="I813" t="str">
            <v>SB Khushab</v>
          </cell>
          <cell r="J813" t="str">
            <v>01220010117837200017</v>
          </cell>
        </row>
        <row r="814">
          <cell r="B814">
            <v>3830106038973</v>
          </cell>
          <cell r="C814" t="str">
            <v>3rd Tranche</v>
          </cell>
          <cell r="D814">
            <v>809</v>
          </cell>
          <cell r="E814" t="str">
            <v>Muhammad Zaheer Abbas</v>
          </cell>
          <cell r="F814" t="str">
            <v>Gardener</v>
          </cell>
          <cell r="G814">
            <v>45748</v>
          </cell>
          <cell r="H814">
            <v>0</v>
          </cell>
          <cell r="I814" t="str">
            <v>SB Mianwali</v>
          </cell>
          <cell r="J814" t="str">
            <v>02630010100861640010</v>
          </cell>
        </row>
        <row r="815">
          <cell r="B815">
            <v>3830132364659</v>
          </cell>
          <cell r="C815" t="str">
            <v>2nd Tranche</v>
          </cell>
          <cell r="D815">
            <v>810</v>
          </cell>
          <cell r="E815" t="str">
            <v>Syed Qamar Raza Shah</v>
          </cell>
          <cell r="F815" t="str">
            <v>Security &amp; Parking Attendant</v>
          </cell>
          <cell r="G815">
            <v>45748</v>
          </cell>
          <cell r="H815">
            <v>0</v>
          </cell>
          <cell r="I815" t="str">
            <v>SB Mianwali</v>
          </cell>
          <cell r="J815" t="str">
            <v>02630010100797170016</v>
          </cell>
        </row>
        <row r="816">
          <cell r="B816">
            <v>3830156148315</v>
          </cell>
          <cell r="C816" t="str">
            <v>2nd Tranche</v>
          </cell>
          <cell r="D816">
            <v>811</v>
          </cell>
          <cell r="E816" t="str">
            <v xml:space="preserve">Ghulam Abbas Shah </v>
          </cell>
          <cell r="F816" t="str">
            <v>Security &amp; Parking Attendant</v>
          </cell>
          <cell r="G816">
            <v>45748</v>
          </cell>
          <cell r="H816">
            <v>0</v>
          </cell>
          <cell r="I816" t="str">
            <v>SB Mianwali</v>
          </cell>
          <cell r="J816" t="str">
            <v>07390010053391050019</v>
          </cell>
        </row>
        <row r="817">
          <cell r="B817">
            <v>3830164015367</v>
          </cell>
          <cell r="C817" t="str">
            <v>2nd Tranche</v>
          </cell>
          <cell r="D817">
            <v>812</v>
          </cell>
          <cell r="E817" t="str">
            <v>Zia Ullah Khan</v>
          </cell>
          <cell r="F817" t="str">
            <v>Security &amp; Parking Attendant</v>
          </cell>
          <cell r="G817">
            <v>45748</v>
          </cell>
          <cell r="H817">
            <v>0</v>
          </cell>
          <cell r="I817" t="str">
            <v>SB Mianwali</v>
          </cell>
          <cell r="J817" t="str">
            <v>02630010100804380013</v>
          </cell>
        </row>
        <row r="818">
          <cell r="B818">
            <v>3830208620673</v>
          </cell>
          <cell r="C818" t="str">
            <v>2nd Tranche</v>
          </cell>
          <cell r="D818">
            <v>813</v>
          </cell>
          <cell r="E818" t="str">
            <v>Muhammad Fiyyaz</v>
          </cell>
          <cell r="F818" t="str">
            <v>Security &amp; Parking Attendant</v>
          </cell>
          <cell r="G818">
            <v>45748</v>
          </cell>
          <cell r="H818">
            <v>0</v>
          </cell>
          <cell r="I818" t="str">
            <v>SB Mianwali</v>
          </cell>
          <cell r="J818" t="str">
            <v>02630010101576460018</v>
          </cell>
        </row>
        <row r="819">
          <cell r="B819">
            <v>3830210994935</v>
          </cell>
          <cell r="C819" t="str">
            <v>2nd Tranche</v>
          </cell>
          <cell r="D819">
            <v>814</v>
          </cell>
          <cell r="E819" t="str">
            <v>Gul Hameed</v>
          </cell>
          <cell r="F819" t="str">
            <v>Sanitation Attendant</v>
          </cell>
          <cell r="G819">
            <v>45748</v>
          </cell>
          <cell r="H819">
            <v>0</v>
          </cell>
          <cell r="I819" t="str">
            <v>SB Mianwali</v>
          </cell>
          <cell r="J819" t="str">
            <v>02670010118361630016</v>
          </cell>
        </row>
        <row r="820">
          <cell r="B820">
            <v>3830214295955</v>
          </cell>
          <cell r="C820" t="str">
            <v>2nd Tranche</v>
          </cell>
          <cell r="D820">
            <v>815</v>
          </cell>
          <cell r="E820" t="str">
            <v xml:space="preserve">Noor Muhammad </v>
          </cell>
          <cell r="F820" t="str">
            <v>Security &amp; Parking Attendant</v>
          </cell>
          <cell r="G820">
            <v>45748</v>
          </cell>
          <cell r="H820">
            <v>0</v>
          </cell>
          <cell r="I820" t="str">
            <v>SB Mianwali</v>
          </cell>
          <cell r="J820" t="str">
            <v>02670010017714400021</v>
          </cell>
        </row>
        <row r="821">
          <cell r="B821">
            <v>3830259838995</v>
          </cell>
          <cell r="C821" t="str">
            <v>2nd Tranche</v>
          </cell>
          <cell r="D821">
            <v>816</v>
          </cell>
          <cell r="E821" t="str">
            <v>Muhammad Nawaz Khan</v>
          </cell>
          <cell r="F821" t="str">
            <v>Security &amp; Parking Attendant</v>
          </cell>
          <cell r="G821">
            <v>45748</v>
          </cell>
          <cell r="H821">
            <v>0</v>
          </cell>
          <cell r="I821" t="str">
            <v>SB Mianwali</v>
          </cell>
          <cell r="J821" t="str">
            <v>02630010136881910016</v>
          </cell>
        </row>
        <row r="822">
          <cell r="B822">
            <v>3830260971063</v>
          </cell>
          <cell r="C822" t="str">
            <v>2nd Tranche</v>
          </cell>
          <cell r="D822">
            <v>817</v>
          </cell>
          <cell r="E822" t="str">
            <v>Sana Ullah</v>
          </cell>
          <cell r="F822" t="str">
            <v>Sanitation Attendant</v>
          </cell>
          <cell r="G822">
            <v>45748</v>
          </cell>
          <cell r="H822">
            <v>0</v>
          </cell>
          <cell r="I822" t="str">
            <v>SB Mianwali</v>
          </cell>
          <cell r="J822" t="str">
            <v>02630010135158110018</v>
          </cell>
        </row>
        <row r="823">
          <cell r="B823">
            <v>3830274124325</v>
          </cell>
          <cell r="C823" t="str">
            <v>2nd Tranche</v>
          </cell>
          <cell r="D823">
            <v>818</v>
          </cell>
          <cell r="E823" t="str">
            <v>Azad Mubarik Khan</v>
          </cell>
          <cell r="F823" t="str">
            <v>Security &amp; Parking Attendant</v>
          </cell>
          <cell r="G823">
            <v>45748</v>
          </cell>
          <cell r="H823">
            <v>0</v>
          </cell>
          <cell r="I823" t="str">
            <v>SB Mianwali</v>
          </cell>
          <cell r="J823" t="str">
            <v>02630010132094400010</v>
          </cell>
        </row>
        <row r="824">
          <cell r="B824">
            <v>3830312901113</v>
          </cell>
          <cell r="C824" t="str">
            <v>2nd Tranche</v>
          </cell>
          <cell r="D824">
            <v>819</v>
          </cell>
          <cell r="E824" t="str">
            <v>Muhammad Amjid</v>
          </cell>
          <cell r="F824" t="str">
            <v>Security &amp; Parking Attendant</v>
          </cell>
          <cell r="G824">
            <v>45748</v>
          </cell>
          <cell r="H824">
            <v>0</v>
          </cell>
          <cell r="I824" t="str">
            <v>SB Mianwali</v>
          </cell>
          <cell r="J824" t="str">
            <v>02630010124183180014</v>
          </cell>
        </row>
        <row r="825">
          <cell r="B825">
            <v>3830365773013</v>
          </cell>
          <cell r="C825" t="str">
            <v>2nd Tranche</v>
          </cell>
          <cell r="D825">
            <v>820</v>
          </cell>
          <cell r="E825" t="str">
            <v>Sarfraz Ahmad</v>
          </cell>
          <cell r="F825" t="str">
            <v>Sanitation Attendant</v>
          </cell>
          <cell r="G825">
            <v>45748</v>
          </cell>
          <cell r="H825">
            <v>0</v>
          </cell>
          <cell r="I825" t="str">
            <v>SB Mianwali</v>
          </cell>
          <cell r="J825" t="str">
            <v>02630010100945360012</v>
          </cell>
        </row>
        <row r="826">
          <cell r="B826">
            <v>3830366352233</v>
          </cell>
          <cell r="C826" t="str">
            <v>2nd Tranche</v>
          </cell>
          <cell r="D826">
            <v>821</v>
          </cell>
          <cell r="E826" t="str">
            <v>Shahid Ali</v>
          </cell>
          <cell r="F826" t="str">
            <v>Sanitation Attendant</v>
          </cell>
          <cell r="G826">
            <v>45748</v>
          </cell>
          <cell r="H826">
            <v>0</v>
          </cell>
          <cell r="I826" t="str">
            <v>SB DG Khan</v>
          </cell>
          <cell r="J826" t="str">
            <v>02630010100868900014</v>
          </cell>
        </row>
        <row r="827">
          <cell r="B827">
            <v>3840102894969</v>
          </cell>
          <cell r="C827" t="str">
            <v>2nd Tranche</v>
          </cell>
          <cell r="D827">
            <v>822</v>
          </cell>
          <cell r="E827" t="str">
            <v>Ahmad Khan</v>
          </cell>
          <cell r="F827" t="str">
            <v>Security &amp; Parking Attendant</v>
          </cell>
          <cell r="G827">
            <v>45748</v>
          </cell>
          <cell r="H827">
            <v>0</v>
          </cell>
          <cell r="I827" t="str">
            <v>SB Bhalwal</v>
          </cell>
          <cell r="J827" t="str">
            <v>51300020131395510013</v>
          </cell>
        </row>
        <row r="828">
          <cell r="B828">
            <v>3840158167518</v>
          </cell>
          <cell r="C828" t="str">
            <v>2nd Tranche</v>
          </cell>
          <cell r="D828">
            <v>823</v>
          </cell>
          <cell r="E828" t="str">
            <v>Fareeda Kousar</v>
          </cell>
          <cell r="F828" t="str">
            <v>Sanitation Attendant</v>
          </cell>
          <cell r="G828">
            <v>45748</v>
          </cell>
          <cell r="H828">
            <v>0</v>
          </cell>
          <cell r="I828" t="str">
            <v>SB Bhera</v>
          </cell>
          <cell r="J828" t="str">
            <v>06150010122910780012</v>
          </cell>
        </row>
        <row r="829">
          <cell r="B829">
            <v>3840236312493</v>
          </cell>
          <cell r="C829" t="str">
            <v>Salary Stop</v>
          </cell>
          <cell r="D829">
            <v>824</v>
          </cell>
          <cell r="E829" t="str">
            <v>Hashim Ali</v>
          </cell>
          <cell r="F829" t="str">
            <v>Security &amp; Parking Attendant</v>
          </cell>
          <cell r="G829">
            <v>45748</v>
          </cell>
          <cell r="H829">
            <v>0</v>
          </cell>
          <cell r="I829" t="str">
            <v>SB Sargodha</v>
          </cell>
          <cell r="J829" t="str">
            <v>05300010139229510013</v>
          </cell>
        </row>
        <row r="830">
          <cell r="B830">
            <v>3840247941301</v>
          </cell>
          <cell r="C830" t="str">
            <v>2nd Tranche</v>
          </cell>
          <cell r="D830">
            <v>825</v>
          </cell>
          <cell r="E830" t="str">
            <v>Muhammad Abu Bakar</v>
          </cell>
          <cell r="F830" t="str">
            <v>Security &amp; Parking Attendant</v>
          </cell>
          <cell r="G830">
            <v>45748</v>
          </cell>
          <cell r="H830">
            <v>0</v>
          </cell>
          <cell r="I830" t="str">
            <v>SB Sargodha</v>
          </cell>
          <cell r="J830" t="str">
            <v>07980010102280220010</v>
          </cell>
        </row>
        <row r="831">
          <cell r="B831">
            <v>3840321985892</v>
          </cell>
          <cell r="C831" t="str">
            <v>2nd Tranche</v>
          </cell>
          <cell r="D831">
            <v>826</v>
          </cell>
          <cell r="E831" t="str">
            <v xml:space="preserve">Aasia </v>
          </cell>
          <cell r="F831" t="str">
            <v>Sanitation Attendant</v>
          </cell>
          <cell r="G831">
            <v>45748</v>
          </cell>
          <cell r="H831">
            <v>0</v>
          </cell>
          <cell r="I831" t="str">
            <v>SB Sargodha</v>
          </cell>
          <cell r="J831" t="str">
            <v>07980010105041190014</v>
          </cell>
        </row>
        <row r="832">
          <cell r="B832">
            <v>3840322631801</v>
          </cell>
          <cell r="C832" t="str">
            <v>2nd Tranche</v>
          </cell>
          <cell r="D832">
            <v>827</v>
          </cell>
          <cell r="E832" t="str">
            <v>Khawar Mehmood Khan</v>
          </cell>
          <cell r="F832" t="str">
            <v>Security &amp; Parking Attendant</v>
          </cell>
          <cell r="G832">
            <v>45748</v>
          </cell>
          <cell r="H832">
            <v>0</v>
          </cell>
          <cell r="I832" t="str">
            <v>SB Sargodha</v>
          </cell>
          <cell r="J832" t="str">
            <v>07980010110082160011</v>
          </cell>
        </row>
        <row r="833">
          <cell r="B833">
            <v>3840332204241</v>
          </cell>
          <cell r="C833" t="str">
            <v>2nd Tranche</v>
          </cell>
          <cell r="D833">
            <v>828</v>
          </cell>
          <cell r="E833" t="str">
            <v>Muhammad Ramzan</v>
          </cell>
          <cell r="F833" t="str">
            <v>Sanitation Attendant</v>
          </cell>
          <cell r="G833">
            <v>45748</v>
          </cell>
          <cell r="H833">
            <v>0</v>
          </cell>
          <cell r="I833" t="str">
            <v>SB Bhera</v>
          </cell>
          <cell r="J833" t="str">
            <v>06150010132676910016</v>
          </cell>
        </row>
        <row r="834">
          <cell r="B834">
            <v>3840335272587</v>
          </cell>
          <cell r="C834" t="str">
            <v>2nd Tranche</v>
          </cell>
          <cell r="D834">
            <v>829</v>
          </cell>
          <cell r="E834" t="str">
            <v>Afaq Ahmad</v>
          </cell>
          <cell r="F834" t="str">
            <v>Security &amp; Parking Attendant</v>
          </cell>
          <cell r="G834">
            <v>45748</v>
          </cell>
          <cell r="H834">
            <v>0</v>
          </cell>
          <cell r="I834" t="str">
            <v>STOG Valencia</v>
          </cell>
          <cell r="J834" t="str">
            <v>05270010050015220025</v>
          </cell>
        </row>
        <row r="835">
          <cell r="B835">
            <v>3840343959527</v>
          </cell>
          <cell r="C835" t="str">
            <v>2nd Tranche</v>
          </cell>
          <cell r="D835">
            <v>830</v>
          </cell>
          <cell r="E835" t="str">
            <v>Adnan Rafique</v>
          </cell>
          <cell r="F835" t="str">
            <v>Sanitation Attendant</v>
          </cell>
          <cell r="G835">
            <v>45748</v>
          </cell>
          <cell r="H835">
            <v>0</v>
          </cell>
          <cell r="I835" t="str">
            <v>SB Gujranwala</v>
          </cell>
          <cell r="J835" t="str">
            <v>07300010070319660015</v>
          </cell>
        </row>
        <row r="836">
          <cell r="B836">
            <v>3840350890641</v>
          </cell>
          <cell r="C836" t="str">
            <v>2nd Tranche</v>
          </cell>
          <cell r="D836">
            <v>831</v>
          </cell>
          <cell r="E836" t="str">
            <v>Aryan Ahmad Qureshi</v>
          </cell>
          <cell r="F836" t="str">
            <v>Security &amp; Parking Attendant</v>
          </cell>
          <cell r="G836">
            <v>45748</v>
          </cell>
          <cell r="H836">
            <v>0</v>
          </cell>
          <cell r="I836" t="str">
            <v>SB Sargodha</v>
          </cell>
          <cell r="J836" t="str">
            <v>08870010139367850011</v>
          </cell>
        </row>
        <row r="837">
          <cell r="B837">
            <v>3840357096413</v>
          </cell>
          <cell r="C837" t="str">
            <v>2nd Tranche</v>
          </cell>
          <cell r="D837">
            <v>832</v>
          </cell>
          <cell r="E837" t="str">
            <v>Muhammad Arif</v>
          </cell>
          <cell r="F837" t="str">
            <v>Sanitation Attendant</v>
          </cell>
          <cell r="G837">
            <v>45748</v>
          </cell>
          <cell r="H837">
            <v>0</v>
          </cell>
          <cell r="I837" t="str">
            <v>SB Gujranwala</v>
          </cell>
          <cell r="J837" t="str">
            <v>07300010101737630018</v>
          </cell>
        </row>
        <row r="838">
          <cell r="B838">
            <v>3840372942097</v>
          </cell>
          <cell r="C838" t="str">
            <v>2nd Tranche</v>
          </cell>
          <cell r="D838">
            <v>833</v>
          </cell>
          <cell r="E838" t="str">
            <v>Hamza Pervaiz</v>
          </cell>
          <cell r="F838" t="str">
            <v>Security &amp; Parking Attendant</v>
          </cell>
          <cell r="G838">
            <v>45748</v>
          </cell>
          <cell r="H838">
            <v>0</v>
          </cell>
          <cell r="I838" t="str">
            <v>SB Sargodha</v>
          </cell>
          <cell r="J838" t="str">
            <v>07980010132699320019</v>
          </cell>
        </row>
        <row r="839">
          <cell r="B839">
            <v>3840376608145</v>
          </cell>
          <cell r="C839" t="str">
            <v>2nd Tranche</v>
          </cell>
          <cell r="D839">
            <v>834</v>
          </cell>
          <cell r="E839" t="str">
            <v>Mubarik Masih</v>
          </cell>
          <cell r="F839" t="str">
            <v>Sanitation Attendant</v>
          </cell>
          <cell r="G839">
            <v>45748</v>
          </cell>
          <cell r="H839">
            <v>0</v>
          </cell>
          <cell r="I839" t="str">
            <v>SB Wahdat Colony</v>
          </cell>
          <cell r="J839" t="str">
            <v>51210020116999770019</v>
          </cell>
        </row>
        <row r="840">
          <cell r="B840">
            <v>3840411189915</v>
          </cell>
          <cell r="C840" t="str">
            <v>2nd Tranche</v>
          </cell>
          <cell r="D840">
            <v>835</v>
          </cell>
          <cell r="E840" t="str">
            <v>Muhammad Atiq</v>
          </cell>
          <cell r="F840" t="str">
            <v>Security &amp; Parking Attendant</v>
          </cell>
          <cell r="G840">
            <v>45748</v>
          </cell>
          <cell r="H840">
            <v>0</v>
          </cell>
          <cell r="I840" t="str">
            <v>SB Khushab</v>
          </cell>
          <cell r="J840" t="str">
            <v>52320020104200540019</v>
          </cell>
        </row>
        <row r="841">
          <cell r="B841">
            <v>3840477196163</v>
          </cell>
          <cell r="C841" t="str">
            <v>2nd Tranche</v>
          </cell>
          <cell r="D841">
            <v>836</v>
          </cell>
          <cell r="E841" t="str">
            <v>Muhammad Sharafat</v>
          </cell>
          <cell r="F841" t="str">
            <v>Security &amp; Parking Attendant</v>
          </cell>
          <cell r="G841">
            <v>45748</v>
          </cell>
          <cell r="H841">
            <v>0</v>
          </cell>
          <cell r="I841" t="str">
            <v>SB Khushab</v>
          </cell>
          <cell r="J841" t="str">
            <v>07980010089841740016</v>
          </cell>
        </row>
        <row r="842">
          <cell r="B842">
            <v>3840493212441</v>
          </cell>
          <cell r="C842" t="str">
            <v>2nd Tranche</v>
          </cell>
          <cell r="D842">
            <v>837</v>
          </cell>
          <cell r="E842" t="str">
            <v>Hafiz Ahsan Iqbal</v>
          </cell>
          <cell r="F842" t="str">
            <v>Security &amp; Parking Attendant</v>
          </cell>
          <cell r="G842">
            <v>45748</v>
          </cell>
          <cell r="H842">
            <v>0</v>
          </cell>
          <cell r="I842" t="str">
            <v>SB Khushab</v>
          </cell>
          <cell r="J842" t="str">
            <v>08470010133724670016</v>
          </cell>
        </row>
        <row r="843">
          <cell r="B843">
            <v>3840493929145</v>
          </cell>
          <cell r="C843" t="str">
            <v>2nd Tranche</v>
          </cell>
          <cell r="D843">
            <v>838</v>
          </cell>
          <cell r="E843" t="str">
            <v>Muhammad Imran</v>
          </cell>
          <cell r="F843" t="str">
            <v>Security &amp; Parking Attendant</v>
          </cell>
          <cell r="G843">
            <v>45748</v>
          </cell>
          <cell r="H843">
            <v>0</v>
          </cell>
          <cell r="I843" t="str">
            <v>SB Khushab</v>
          </cell>
          <cell r="J843" t="str">
            <v>08470010133722380018</v>
          </cell>
        </row>
        <row r="844">
          <cell r="B844">
            <v>3840522828345</v>
          </cell>
          <cell r="C844" t="str">
            <v>2nd Tranche</v>
          </cell>
          <cell r="D844">
            <v>839</v>
          </cell>
          <cell r="E844" t="str">
            <v>Umar Daraz</v>
          </cell>
          <cell r="F844" t="str">
            <v>Security &amp; Parking Attendant</v>
          </cell>
          <cell r="G844">
            <v>45748</v>
          </cell>
          <cell r="H844">
            <v>0</v>
          </cell>
          <cell r="I844" t="str">
            <v>SB Wahdat Colony</v>
          </cell>
          <cell r="J844" t="str">
            <v>03810010072626500010</v>
          </cell>
        </row>
        <row r="845">
          <cell r="B845">
            <v>3840703469453</v>
          </cell>
          <cell r="C845" t="str">
            <v>2nd Tranche</v>
          </cell>
          <cell r="D845">
            <v>840</v>
          </cell>
          <cell r="E845" t="str">
            <v xml:space="preserve">Ali Azhar </v>
          </cell>
          <cell r="F845" t="str">
            <v>Security &amp; Parking Attendant</v>
          </cell>
          <cell r="G845">
            <v>45748</v>
          </cell>
          <cell r="H845">
            <v>0</v>
          </cell>
          <cell r="I845" t="str">
            <v>SB Bhera</v>
          </cell>
          <cell r="J845" t="str">
            <v>06150010100714410010</v>
          </cell>
        </row>
        <row r="846">
          <cell r="B846">
            <v>3840704764431</v>
          </cell>
          <cell r="C846" t="str">
            <v>2nd Tranche</v>
          </cell>
          <cell r="D846">
            <v>841</v>
          </cell>
          <cell r="E846" t="str">
            <v>Mohsin Ali</v>
          </cell>
          <cell r="F846" t="str">
            <v>Security &amp; Parking Attendant</v>
          </cell>
          <cell r="G846">
            <v>45748</v>
          </cell>
          <cell r="H846">
            <v>0</v>
          </cell>
          <cell r="I846" t="str">
            <v>SB Mandi Bahau-Din</v>
          </cell>
          <cell r="J846" t="str">
            <v>06150010138033160015</v>
          </cell>
        </row>
        <row r="847">
          <cell r="B847">
            <v>4200034636643</v>
          </cell>
          <cell r="C847" t="str">
            <v>2nd Tranche</v>
          </cell>
          <cell r="D847">
            <v>842</v>
          </cell>
          <cell r="E847" t="str">
            <v>Nadeem Khan</v>
          </cell>
          <cell r="F847" t="str">
            <v>Security &amp; Parking Attendant</v>
          </cell>
          <cell r="G847">
            <v>45748</v>
          </cell>
          <cell r="H847">
            <v>0</v>
          </cell>
          <cell r="I847" t="str">
            <v>SB Sabzazaar</v>
          </cell>
          <cell r="J847" t="str">
            <v>10080010141640110014</v>
          </cell>
        </row>
        <row r="848">
          <cell r="B848">
            <v>4250195805083</v>
          </cell>
          <cell r="C848" t="str">
            <v>2nd Tranche</v>
          </cell>
          <cell r="D848">
            <v>843</v>
          </cell>
          <cell r="E848" t="str">
            <v>Altaf Hussain</v>
          </cell>
          <cell r="F848" t="str">
            <v>Security &amp; Parking Attendant</v>
          </cell>
          <cell r="G848">
            <v>45748</v>
          </cell>
          <cell r="H848">
            <v>0</v>
          </cell>
          <cell r="I848" t="str">
            <v>SB Taunsa</v>
          </cell>
          <cell r="J848" t="str">
            <v>07330010109348600012</v>
          </cell>
        </row>
        <row r="849">
          <cell r="B849">
            <v>9040101211939</v>
          </cell>
          <cell r="C849" t="str">
            <v>2nd Tranche</v>
          </cell>
          <cell r="D849">
            <v>844</v>
          </cell>
          <cell r="E849" t="str">
            <v>Muhammad Farooq</v>
          </cell>
          <cell r="F849" t="str">
            <v>Security &amp; Parking Attendant</v>
          </cell>
          <cell r="G849">
            <v>45748</v>
          </cell>
          <cell r="H849">
            <v>0</v>
          </cell>
          <cell r="I849" t="str">
            <v>SB Thokar</v>
          </cell>
          <cell r="J849" t="str">
            <v>09410010083758810010</v>
          </cell>
        </row>
        <row r="850">
          <cell r="B850">
            <v>7170403392175</v>
          </cell>
          <cell r="C850" t="str">
            <v>2nd Tranche</v>
          </cell>
          <cell r="D850">
            <v>845</v>
          </cell>
          <cell r="E850" t="str">
            <v>Shahid Hussain</v>
          </cell>
          <cell r="F850" t="str">
            <v>Security &amp; Parking Attendant</v>
          </cell>
          <cell r="G850">
            <v>45809</v>
          </cell>
          <cell r="I850" t="str">
            <v>SB Wahdat Colony</v>
          </cell>
          <cell r="J850" t="str">
            <v>06850010095200190019</v>
          </cell>
        </row>
        <row r="851">
          <cell r="B851">
            <v>3660292555859</v>
          </cell>
          <cell r="C851" t="str">
            <v>2nd Tranche</v>
          </cell>
          <cell r="D851">
            <v>846</v>
          </cell>
          <cell r="E851" t="str">
            <v>Muhammad Bilal</v>
          </cell>
          <cell r="F851" t="str">
            <v>Security &amp; Parking Attendant</v>
          </cell>
          <cell r="G851">
            <v>45809</v>
          </cell>
          <cell r="I851" t="str">
            <v>SB Kasur</v>
          </cell>
          <cell r="J851" t="str">
            <v>02880010137705030016</v>
          </cell>
        </row>
        <row r="852">
          <cell r="B852">
            <v>3520403829873</v>
          </cell>
          <cell r="C852" t="str">
            <v>3rd Tranche</v>
          </cell>
          <cell r="D852">
            <v>847</v>
          </cell>
          <cell r="E852" t="str">
            <v>Ali Hassan</v>
          </cell>
          <cell r="F852" t="str">
            <v>Sahulat Bazaar Supervisor</v>
          </cell>
          <cell r="G852">
            <v>45809</v>
          </cell>
          <cell r="I852" t="str">
            <v>SB Raiwind</v>
          </cell>
          <cell r="J852" t="str">
            <v>09880010104253300011</v>
          </cell>
        </row>
        <row r="853">
          <cell r="B853">
            <v>3110129505065</v>
          </cell>
          <cell r="C853" t="str">
            <v>3rd Tranche</v>
          </cell>
          <cell r="D853">
            <v>848</v>
          </cell>
          <cell r="E853" t="str">
            <v>Hafiz Rao Naveed Ahmad</v>
          </cell>
          <cell r="F853" t="str">
            <v>Sahulat Bazaar Incharge</v>
          </cell>
          <cell r="G853">
            <v>45809</v>
          </cell>
          <cell r="I853" t="str">
            <v>SB Burewala</v>
          </cell>
          <cell r="J853" t="str">
            <v>10660010129372540014</v>
          </cell>
        </row>
        <row r="854">
          <cell r="B854">
            <v>6110132428405</v>
          </cell>
          <cell r="C854" t="str">
            <v>3rd Tranche</v>
          </cell>
          <cell r="D854">
            <v>849</v>
          </cell>
          <cell r="E854" t="str">
            <v>Muhammad Waqas Farooqi</v>
          </cell>
          <cell r="F854" t="str">
            <v>Sahulat Bazaar Incharge</v>
          </cell>
          <cell r="G854">
            <v>45809</v>
          </cell>
          <cell r="I854" t="str">
            <v>SB Rawalpindi</v>
          </cell>
          <cell r="J854" t="str">
            <v>09470010031493150012</v>
          </cell>
        </row>
        <row r="855">
          <cell r="B855">
            <v>3210282976609</v>
          </cell>
          <cell r="C855" t="str">
            <v>3rd Tranche</v>
          </cell>
          <cell r="D855">
            <v>850</v>
          </cell>
          <cell r="E855" t="str">
            <v>Rashid Iqbal</v>
          </cell>
          <cell r="F855" t="str">
            <v>Sahulat Bazaar Supervisor</v>
          </cell>
          <cell r="G855">
            <v>45846</v>
          </cell>
          <cell r="I855" t="str">
            <v>SB DG Khan</v>
          </cell>
          <cell r="J855" t="str">
            <v>03660010054989610033</v>
          </cell>
        </row>
        <row r="856">
          <cell r="B856">
            <v>3210242351141</v>
          </cell>
          <cell r="C856" t="str">
            <v>3rd Tranche</v>
          </cell>
          <cell r="D856">
            <v>851</v>
          </cell>
          <cell r="E856" t="str">
            <v xml:space="preserve">Muhammad Kashif  </v>
          </cell>
          <cell r="F856" t="str">
            <v>Sahulat Bazaar Supervisor</v>
          </cell>
          <cell r="G856">
            <v>45846</v>
          </cell>
          <cell r="I856" t="str">
            <v>SB Taunsa</v>
          </cell>
          <cell r="J856" t="str">
            <v>07330010148681410015</v>
          </cell>
        </row>
        <row r="857">
          <cell r="B857">
            <v>3110119946631</v>
          </cell>
          <cell r="C857" t="str">
            <v>2nd Tranche</v>
          </cell>
          <cell r="D857">
            <v>852</v>
          </cell>
          <cell r="E857" t="str">
            <v>Muhammad Abbas</v>
          </cell>
          <cell r="F857" t="str">
            <v>Security &amp; Parking Attendant</v>
          </cell>
          <cell r="G857">
            <v>45992</v>
          </cell>
          <cell r="I857" t="str">
            <v>SB Pakpattan</v>
          </cell>
          <cell r="J857" t="str">
            <v>52710020144558610013</v>
          </cell>
        </row>
        <row r="858">
          <cell r="B858">
            <v>3110111313865</v>
          </cell>
          <cell r="C858" t="str">
            <v>2nd Tranche</v>
          </cell>
          <cell r="D858">
            <v>853</v>
          </cell>
          <cell r="E858" t="str">
            <v>Muhammad Sarfraz</v>
          </cell>
          <cell r="F858" t="str">
            <v>Security &amp; Parking Attendant</v>
          </cell>
          <cell r="G858">
            <v>45992</v>
          </cell>
          <cell r="I858" t="str">
            <v>SB Okara</v>
          </cell>
          <cell r="J858" t="str">
            <v>51870020144631330015</v>
          </cell>
        </row>
        <row r="859">
          <cell r="B859">
            <v>3410198034725</v>
          </cell>
          <cell r="C859" t="str">
            <v>2nd Tranche</v>
          </cell>
          <cell r="D859">
            <v>854</v>
          </cell>
          <cell r="E859" t="str">
            <v xml:space="preserve">Ali Raza </v>
          </cell>
          <cell r="F859" t="str">
            <v>Security &amp; Parking Attendant</v>
          </cell>
          <cell r="G859">
            <v>45992</v>
          </cell>
          <cell r="I859" t="str">
            <v>SB Noshehran Virkan</v>
          </cell>
          <cell r="J859" t="str">
            <v>51870020145220770013</v>
          </cell>
        </row>
        <row r="860">
          <cell r="B860">
            <v>3410191260945</v>
          </cell>
          <cell r="C860" t="str">
            <v>2nd Tranche</v>
          </cell>
          <cell r="D860">
            <v>855</v>
          </cell>
          <cell r="E860" t="str">
            <v>Fida Hussain</v>
          </cell>
          <cell r="F860" t="str">
            <v>Security &amp; Parking Attendant</v>
          </cell>
          <cell r="G860">
            <v>45992</v>
          </cell>
          <cell r="I860" t="str">
            <v>SB Noshehran Virkan</v>
          </cell>
          <cell r="J860" t="str">
            <v>51870020144998020019</v>
          </cell>
        </row>
        <row r="861">
          <cell r="B861">
            <v>3410181528531</v>
          </cell>
          <cell r="C861" t="str">
            <v>2nd Tranche</v>
          </cell>
          <cell r="D861">
            <v>856</v>
          </cell>
          <cell r="E861" t="str">
            <v>Zeeshan Haider</v>
          </cell>
          <cell r="F861" t="str">
            <v>Security &amp; Parking Attendant</v>
          </cell>
          <cell r="G861">
            <v>45992</v>
          </cell>
          <cell r="I861" t="str">
            <v>SB Noshehran Virkan</v>
          </cell>
          <cell r="J861" t="str">
            <v>05070010117472140010</v>
          </cell>
        </row>
        <row r="862">
          <cell r="B862">
            <v>3110161641769</v>
          </cell>
          <cell r="C862" t="str">
            <v>2nd Tranche</v>
          </cell>
          <cell r="D862">
            <v>857</v>
          </cell>
          <cell r="E862" t="str">
            <v>Muhammad Noman Yasin</v>
          </cell>
          <cell r="F862" t="str">
            <v>Security &amp; Parking Attendant</v>
          </cell>
          <cell r="G862">
            <v>45992</v>
          </cell>
          <cell r="I862" t="str">
            <v>SB Jhang Road (FSD)</v>
          </cell>
          <cell r="J862" t="str">
            <v>00660010145151860016</v>
          </cell>
        </row>
        <row r="863">
          <cell r="B863">
            <v>3320273892071</v>
          </cell>
          <cell r="C863" t="str">
            <v>2nd Tranche</v>
          </cell>
          <cell r="D863">
            <v>858</v>
          </cell>
          <cell r="E863" t="str">
            <v>Muhammad Awais Mushtaq</v>
          </cell>
          <cell r="F863" t="str">
            <v>Security &amp; Parking Attendant</v>
          </cell>
          <cell r="G863">
            <v>45992</v>
          </cell>
          <cell r="I863" t="str">
            <v>SB Jhang Road (FSD)</v>
          </cell>
          <cell r="J863" t="str">
            <v>04310010144524770018</v>
          </cell>
        </row>
        <row r="864">
          <cell r="B864">
            <v>3110476605777</v>
          </cell>
          <cell r="C864" t="str">
            <v>2nd Tranche</v>
          </cell>
          <cell r="D864">
            <v>859</v>
          </cell>
          <cell r="E864" t="str">
            <v>Muhammad Waseem Azam</v>
          </cell>
          <cell r="F864" t="str">
            <v>Security &amp; Parking Attendant</v>
          </cell>
          <cell r="G864">
            <v>45992</v>
          </cell>
          <cell r="I864" t="str">
            <v>SB Bahawalpur</v>
          </cell>
          <cell r="J864" t="str">
            <v>09630010144464000018</v>
          </cell>
        </row>
        <row r="865">
          <cell r="B865">
            <v>3210244548777</v>
          </cell>
          <cell r="C865" t="str">
            <v>2nd Tranche</v>
          </cell>
          <cell r="D865">
            <v>860</v>
          </cell>
          <cell r="E865" t="str">
            <v>Muhammad Bilawal</v>
          </cell>
          <cell r="F865" t="str">
            <v>Sanitation Attendant</v>
          </cell>
          <cell r="G865">
            <v>45992</v>
          </cell>
          <cell r="I865" t="str">
            <v>SB DG Khan</v>
          </cell>
          <cell r="J865" t="str">
            <v>13620010144575550010</v>
          </cell>
        </row>
        <row r="866">
          <cell r="B866">
            <v>3410308691153</v>
          </cell>
          <cell r="C866" t="str">
            <v>2nd Tranche</v>
          </cell>
          <cell r="D866">
            <v>861</v>
          </cell>
          <cell r="E866" t="str">
            <v>Dilawar Masih</v>
          </cell>
          <cell r="F866" t="str">
            <v>Sanitation Attendant</v>
          </cell>
          <cell r="G866">
            <v>45992</v>
          </cell>
          <cell r="I866" t="str">
            <v>SB Hafizabad</v>
          </cell>
          <cell r="J866" t="str">
            <v>07940010145046600010</v>
          </cell>
        </row>
        <row r="867">
          <cell r="B867">
            <v>3410374029267</v>
          </cell>
          <cell r="C867" t="str">
            <v>2nd Tranche</v>
          </cell>
          <cell r="D867">
            <v>862</v>
          </cell>
          <cell r="E867" t="str">
            <v>William Masih</v>
          </cell>
          <cell r="F867" t="str">
            <v>Sanitation Attendant</v>
          </cell>
          <cell r="G867">
            <v>45992</v>
          </cell>
          <cell r="I867" t="str">
            <v>SB Noshehran Virkan</v>
          </cell>
          <cell r="J867" t="str">
            <v>07940010145047210013</v>
          </cell>
        </row>
        <row r="868">
          <cell r="B868">
            <v>3660367935551</v>
          </cell>
          <cell r="C868" t="str">
            <v>2nd Tranche</v>
          </cell>
          <cell r="D868">
            <v>863</v>
          </cell>
          <cell r="E868" t="str">
            <v>Afaq Asif</v>
          </cell>
          <cell r="F868" t="str">
            <v>Sanitation Attendant</v>
          </cell>
          <cell r="G868">
            <v>45992</v>
          </cell>
          <cell r="I868" t="str">
            <v>SB Vehari</v>
          </cell>
          <cell r="J868" t="str">
            <v>08370010144830800017</v>
          </cell>
        </row>
        <row r="869">
          <cell r="B869">
            <v>3410307459300</v>
          </cell>
          <cell r="C869" t="str">
            <v>3rd Tranche</v>
          </cell>
          <cell r="D869">
            <v>864</v>
          </cell>
          <cell r="E869" t="str">
            <v>Zain Abbas</v>
          </cell>
          <cell r="F869" t="str">
            <v>Gardener</v>
          </cell>
          <cell r="G869">
            <v>45992</v>
          </cell>
          <cell r="I869" t="str">
            <v>SB Hafizabad</v>
          </cell>
          <cell r="J869" t="str">
            <v>07940010145054740019</v>
          </cell>
        </row>
        <row r="870">
          <cell r="B870">
            <v>3410499231481</v>
          </cell>
          <cell r="C870" t="str">
            <v>2nd Tranche</v>
          </cell>
          <cell r="D870">
            <v>865</v>
          </cell>
          <cell r="E870" t="str">
            <v>Ali Raza</v>
          </cell>
          <cell r="F870" t="str">
            <v>Security &amp; Parking Attendant</v>
          </cell>
          <cell r="G870">
            <v>45992</v>
          </cell>
          <cell r="I870" t="str">
            <v>SB Wazirabad</v>
          </cell>
          <cell r="J870" t="str">
            <v>06200010145892660018</v>
          </cell>
        </row>
        <row r="871">
          <cell r="B871">
            <v>3520212302017</v>
          </cell>
          <cell r="C871" t="str">
            <v>2nd Tranche</v>
          </cell>
          <cell r="D871">
            <v>866</v>
          </cell>
          <cell r="E871" t="str">
            <v>Khurram Raza</v>
          </cell>
          <cell r="F871" t="str">
            <v>Security &amp; Parking Attendant</v>
          </cell>
          <cell r="G871">
            <v>45992</v>
          </cell>
          <cell r="I871" t="str">
            <v>SB Wazirabad</v>
          </cell>
          <cell r="J871" t="str">
            <v>07040010146489440011</v>
          </cell>
        </row>
        <row r="872">
          <cell r="B872">
            <v>3410379585699</v>
          </cell>
          <cell r="C872" t="str">
            <v>2nd Tranche</v>
          </cell>
          <cell r="D872">
            <v>867</v>
          </cell>
          <cell r="E872" t="str">
            <v>Muhammad Shamshad Asmat</v>
          </cell>
          <cell r="F872" t="str">
            <v>Security &amp; Parking Attendant</v>
          </cell>
          <cell r="G872">
            <v>45992</v>
          </cell>
          <cell r="I872" t="str">
            <v>SB Wazirabad</v>
          </cell>
          <cell r="J872" t="str">
            <v>07940010146213480013</v>
          </cell>
        </row>
        <row r="873">
          <cell r="B873">
            <v>3410368974383</v>
          </cell>
          <cell r="C873" t="str">
            <v>2nd Tranche</v>
          </cell>
          <cell r="D873">
            <v>868</v>
          </cell>
          <cell r="E873" t="str">
            <v>Jawad Masih</v>
          </cell>
          <cell r="F873" t="str">
            <v>Sanitation Attendant</v>
          </cell>
          <cell r="G873">
            <v>45992</v>
          </cell>
          <cell r="I873" t="str">
            <v>SB Farooqabad</v>
          </cell>
          <cell r="J873" t="str">
            <v>02900010145881570011</v>
          </cell>
        </row>
        <row r="874">
          <cell r="B874">
            <v>3410376850661</v>
          </cell>
          <cell r="C874" t="str">
            <v>3rd Tranche</v>
          </cell>
          <cell r="D874">
            <v>869</v>
          </cell>
          <cell r="E874" t="str">
            <v>Ali Rizwan</v>
          </cell>
          <cell r="F874" t="str">
            <v>Record Keeper</v>
          </cell>
          <cell r="G874">
            <v>45992</v>
          </cell>
          <cell r="I874" t="str">
            <v>SB Noshehran Virkan</v>
          </cell>
          <cell r="J874" t="str">
            <v>10430010145916350013</v>
          </cell>
        </row>
        <row r="875">
          <cell r="B875">
            <v>3520270079474</v>
          </cell>
          <cell r="C875" t="str">
            <v>2nd Tranche</v>
          </cell>
          <cell r="D875">
            <v>870</v>
          </cell>
          <cell r="E875" t="str">
            <v>Asima Waheed</v>
          </cell>
          <cell r="F875" t="str">
            <v>Security &amp; Parking Attendant</v>
          </cell>
          <cell r="G875">
            <v>45992</v>
          </cell>
          <cell r="I875" t="str">
            <v>SB Sher Sha Colony</v>
          </cell>
          <cell r="J875" t="str">
            <v>13860010133484780017</v>
          </cell>
        </row>
        <row r="876">
          <cell r="B876">
            <v>3840191007057</v>
          </cell>
          <cell r="C876" t="str">
            <v>2nd Tranche</v>
          </cell>
          <cell r="D876">
            <v>871</v>
          </cell>
          <cell r="E876" t="str">
            <v>Muhammad Iqbal</v>
          </cell>
          <cell r="F876" t="str">
            <v>Security &amp; Parking Attendant</v>
          </cell>
          <cell r="G876">
            <v>45992</v>
          </cell>
          <cell r="I876" t="str">
            <v>SB Bhera</v>
          </cell>
          <cell r="J876" t="str">
            <v>04190010146373270018</v>
          </cell>
        </row>
        <row r="877">
          <cell r="B877">
            <v>3520122819053</v>
          </cell>
          <cell r="C877" t="str">
            <v>2nd Tranche</v>
          </cell>
          <cell r="D877">
            <v>872</v>
          </cell>
          <cell r="E877" t="str">
            <v>Maroof Razzaq</v>
          </cell>
          <cell r="F877" t="str">
            <v>Security &amp; Parking Attendant</v>
          </cell>
          <cell r="G877">
            <v>45992</v>
          </cell>
          <cell r="I877" t="str">
            <v>SB China Scheme</v>
          </cell>
          <cell r="J877" t="str">
            <v>07040010147490770018</v>
          </cell>
        </row>
        <row r="878">
          <cell r="B878">
            <v>3220210569723</v>
          </cell>
          <cell r="C878" t="str">
            <v>2nd Tranche</v>
          </cell>
          <cell r="D878">
            <v>873</v>
          </cell>
          <cell r="E878" t="str">
            <v>Abrar Hussain</v>
          </cell>
          <cell r="F878" t="str">
            <v>Security &amp; Parking Attendant</v>
          </cell>
          <cell r="G878">
            <v>45992</v>
          </cell>
          <cell r="I878" t="str">
            <v>SB Layyah</v>
          </cell>
          <cell r="J878" t="str">
            <v>09000010146335830014</v>
          </cell>
        </row>
        <row r="879">
          <cell r="B879">
            <v>3210362709469</v>
          </cell>
          <cell r="C879" t="str">
            <v>Suspended 20-04-26</v>
          </cell>
          <cell r="D879">
            <v>874</v>
          </cell>
          <cell r="E879" t="str">
            <v>Mubashir Ellahi</v>
          </cell>
          <cell r="F879" t="str">
            <v>Sanitation Attendant</v>
          </cell>
          <cell r="G879">
            <v>45992</v>
          </cell>
          <cell r="I879" t="str">
            <v>SB Taunsa</v>
          </cell>
          <cell r="J879" t="str">
            <v>07330010147033510012</v>
          </cell>
        </row>
        <row r="880">
          <cell r="B880">
            <v>3410385329937</v>
          </cell>
          <cell r="C880" t="str">
            <v>2nd Tranche</v>
          </cell>
          <cell r="D880">
            <v>875</v>
          </cell>
          <cell r="E880" t="str">
            <v>Asfand Yar Ali</v>
          </cell>
          <cell r="F880" t="str">
            <v>Security &amp; Parking Attendant</v>
          </cell>
          <cell r="G880">
            <v>45992</v>
          </cell>
          <cell r="I880" t="str">
            <v>SB Wazirabad</v>
          </cell>
          <cell r="J880" t="str">
            <v>02900010148210140012</v>
          </cell>
        </row>
        <row r="881">
          <cell r="B881">
            <v>3320245974637</v>
          </cell>
          <cell r="C881" t="str">
            <v>2nd Tranche</v>
          </cell>
          <cell r="D881">
            <v>876</v>
          </cell>
          <cell r="E881" t="str">
            <v>Shahzaib Muneer</v>
          </cell>
          <cell r="F881" t="str">
            <v>Security &amp; Parking Attendant</v>
          </cell>
          <cell r="G881">
            <v>45992</v>
          </cell>
          <cell r="I881" t="str">
            <v>SB Jhang</v>
          </cell>
          <cell r="J881" t="str">
            <v>06480020148442760010</v>
          </cell>
        </row>
        <row r="882">
          <cell r="B882">
            <v>3840143535837</v>
          </cell>
          <cell r="C882" t="str">
            <v>2nd Tranche</v>
          </cell>
          <cell r="D882">
            <v>877</v>
          </cell>
          <cell r="E882" t="str">
            <v>Khalid Zubair</v>
          </cell>
          <cell r="F882" t="str">
            <v>Security &amp; Parking Attendant</v>
          </cell>
          <cell r="G882">
            <v>45992</v>
          </cell>
          <cell r="I882" t="str">
            <v>SB Township</v>
          </cell>
          <cell r="J882" t="str">
            <v>05980010105434050010</v>
          </cell>
        </row>
        <row r="883">
          <cell r="B883">
            <v>3840489307909</v>
          </cell>
          <cell r="C883" t="str">
            <v>2nd Tranche</v>
          </cell>
          <cell r="D883">
            <v>878</v>
          </cell>
          <cell r="E883" t="str">
            <v>Ameer Haider Shah</v>
          </cell>
          <cell r="F883" t="str">
            <v>Security &amp; Parking Attendant</v>
          </cell>
          <cell r="G883">
            <v>45992</v>
          </cell>
          <cell r="I883" t="str">
            <v>SB Khushab</v>
          </cell>
          <cell r="J883" t="str">
            <v>08470010149387540016</v>
          </cell>
        </row>
        <row r="884">
          <cell r="B884">
            <v>3410323950727</v>
          </cell>
          <cell r="C884" t="str">
            <v>2nd Tranche</v>
          </cell>
          <cell r="D884">
            <v>879</v>
          </cell>
          <cell r="E884" t="str">
            <v>Abu Sufyan</v>
          </cell>
          <cell r="F884" t="str">
            <v>Security &amp; Parking Attendant</v>
          </cell>
          <cell r="G884">
            <v>45992</v>
          </cell>
          <cell r="I884" t="str">
            <v>SB Hafizabad</v>
          </cell>
          <cell r="J884" t="str">
            <v>07940010149026690010</v>
          </cell>
        </row>
        <row r="885">
          <cell r="B885">
            <v>3410311316271</v>
          </cell>
          <cell r="C885" t="str">
            <v>2nd Tranche</v>
          </cell>
          <cell r="D885">
            <v>880</v>
          </cell>
          <cell r="E885" t="str">
            <v>Patris Masih</v>
          </cell>
          <cell r="F885" t="str">
            <v>Sanitation Attendant</v>
          </cell>
          <cell r="G885">
            <v>45992</v>
          </cell>
          <cell r="I885" t="str">
            <v>SB Noshehran Virkan</v>
          </cell>
          <cell r="J885" t="str">
            <v>02900010149813910014</v>
          </cell>
        </row>
        <row r="886">
          <cell r="B886">
            <v>3510119403765</v>
          </cell>
          <cell r="C886" t="str">
            <v>2nd Tranche</v>
          </cell>
          <cell r="D886">
            <v>881</v>
          </cell>
          <cell r="E886" t="str">
            <v>Jawad Haider Bhatti</v>
          </cell>
          <cell r="F886" t="str">
            <v>Security &amp; Parking Attendant</v>
          </cell>
          <cell r="G886">
            <v>45992</v>
          </cell>
          <cell r="I886" t="str">
            <v>SB Wahdat Colony</v>
          </cell>
          <cell r="J886" t="str">
            <v>51210020150003020013</v>
          </cell>
        </row>
        <row r="887">
          <cell r="B887">
            <v>3410319174067</v>
          </cell>
          <cell r="C887" t="str">
            <v>2nd Tranche</v>
          </cell>
          <cell r="D887">
            <v>882</v>
          </cell>
          <cell r="E887" t="str">
            <v>Muhammad Munir</v>
          </cell>
          <cell r="F887" t="str">
            <v>Security &amp; Parking Attendant</v>
          </cell>
          <cell r="G887">
            <v>45992</v>
          </cell>
          <cell r="I887" t="str">
            <v>SB Noshehran Virkan</v>
          </cell>
          <cell r="J887" t="str">
            <v>02900010149807770013</v>
          </cell>
        </row>
        <row r="888">
          <cell r="B888">
            <v>3410361708537</v>
          </cell>
          <cell r="C888" t="str">
            <v>2nd Tranche</v>
          </cell>
          <cell r="D888">
            <v>883</v>
          </cell>
          <cell r="E888" t="str">
            <v>Muhammad Baber Rahman</v>
          </cell>
          <cell r="F888" t="str">
            <v>Security &amp; Parking Attendant</v>
          </cell>
          <cell r="G888">
            <v>45992</v>
          </cell>
          <cell r="I888" t="str">
            <v>SB Wazirabad</v>
          </cell>
          <cell r="J888" t="str">
            <v>02900010151028090010</v>
          </cell>
        </row>
        <row r="889">
          <cell r="B889">
            <v>3650192306239</v>
          </cell>
          <cell r="C889" t="str">
            <v>3rd Tranche</v>
          </cell>
          <cell r="D889">
            <v>884</v>
          </cell>
          <cell r="E889" t="str">
            <v>Muhammad Musaddaq Saleem</v>
          </cell>
          <cell r="F889" t="str">
            <v>Electrician</v>
          </cell>
          <cell r="G889">
            <v>45992</v>
          </cell>
          <cell r="I889" t="str">
            <v>SB Wahdat Colony</v>
          </cell>
          <cell r="J889" t="str">
            <v>07620010151320330017</v>
          </cell>
        </row>
        <row r="890">
          <cell r="B890">
            <v>3650196982235</v>
          </cell>
          <cell r="C890" t="str">
            <v>3rd Tranche</v>
          </cell>
          <cell r="D890">
            <v>885</v>
          </cell>
          <cell r="E890" t="str">
            <v>Abdullah Haroon</v>
          </cell>
          <cell r="F890" t="str">
            <v>Electrician</v>
          </cell>
          <cell r="G890">
            <v>45992</v>
          </cell>
          <cell r="I890" t="str">
            <v>SB Township</v>
          </cell>
          <cell r="J890" t="str">
            <v>02880010151608860018</v>
          </cell>
        </row>
        <row r="891">
          <cell r="B891">
            <v>3430198217259</v>
          </cell>
          <cell r="C891" t="str">
            <v>3rd Tranche</v>
          </cell>
          <cell r="D891">
            <v>886</v>
          </cell>
          <cell r="E891" t="str">
            <v>Munawar Hussain</v>
          </cell>
          <cell r="F891" t="str">
            <v>Gardener</v>
          </cell>
          <cell r="G891">
            <v>45992</v>
          </cell>
          <cell r="I891" t="str">
            <v>SB Hafizabad</v>
          </cell>
          <cell r="J891" t="str">
            <v>07940010152410640010</v>
          </cell>
        </row>
        <row r="892">
          <cell r="B892">
            <v>3830278041979</v>
          </cell>
          <cell r="C892" t="str">
            <v>2nd Tranche</v>
          </cell>
          <cell r="D892">
            <v>887</v>
          </cell>
          <cell r="E892" t="str">
            <v>Ijaz Masih</v>
          </cell>
          <cell r="F892" t="str">
            <v>Sanitation Attendant</v>
          </cell>
          <cell r="G892">
            <v>45992</v>
          </cell>
          <cell r="I892" t="str">
            <v>SB Mianwali</v>
          </cell>
          <cell r="J892" t="str">
            <v>02670010151391020011</v>
          </cell>
        </row>
        <row r="893">
          <cell r="B893">
            <v>1730166357877</v>
          </cell>
          <cell r="C893" t="str">
            <v>2nd Tranche</v>
          </cell>
          <cell r="D893">
            <v>888</v>
          </cell>
          <cell r="E893" t="str">
            <v>Adeel Jan</v>
          </cell>
          <cell r="F893" t="str">
            <v>Sanitation Attendant</v>
          </cell>
          <cell r="G893">
            <v>45992</v>
          </cell>
          <cell r="I893" t="str">
            <v>SB Mianwali</v>
          </cell>
          <cell r="J893" t="str">
            <v>02670010151391640016</v>
          </cell>
        </row>
        <row r="894">
          <cell r="B894">
            <v>3520101549635</v>
          </cell>
          <cell r="C894" t="str">
            <v>2nd Tranche</v>
          </cell>
          <cell r="D894">
            <v>889</v>
          </cell>
          <cell r="E894" t="str">
            <v>Aneel Masih</v>
          </cell>
          <cell r="F894" t="str">
            <v>Sanitation Attendant</v>
          </cell>
          <cell r="G894">
            <v>45992</v>
          </cell>
          <cell r="I894" t="str">
            <v>SB China Scheme</v>
          </cell>
          <cell r="J894" t="str">
            <v>07040010151053030017</v>
          </cell>
        </row>
        <row r="895">
          <cell r="B895">
            <v>3310081076785</v>
          </cell>
          <cell r="C895" t="str">
            <v>2nd Tranche</v>
          </cell>
          <cell r="D895">
            <v>890</v>
          </cell>
          <cell r="E895" t="str">
            <v>Ghulam Mustafa</v>
          </cell>
          <cell r="F895" t="str">
            <v>Security &amp; Parking Attendant</v>
          </cell>
          <cell r="G895">
            <v>45992</v>
          </cell>
          <cell r="I895" t="str">
            <v>SB Gujrat</v>
          </cell>
          <cell r="J895" t="str">
            <v>51870020151183630018</v>
          </cell>
        </row>
        <row r="896">
          <cell r="B896">
            <v>3650219162355</v>
          </cell>
          <cell r="C896" t="str">
            <v>2nd Tranche</v>
          </cell>
          <cell r="D896">
            <v>891</v>
          </cell>
          <cell r="E896" t="str">
            <v>Muhammad Qaiser Mushtaq</v>
          </cell>
          <cell r="F896" t="str">
            <v>Security &amp; Parking Attendant</v>
          </cell>
          <cell r="G896">
            <v>45992</v>
          </cell>
          <cell r="I896" t="str">
            <v>SB Sahiwal</v>
          </cell>
          <cell r="J896" t="str">
            <v>12660010151349550018</v>
          </cell>
        </row>
        <row r="897">
          <cell r="B897">
            <v>3540465521577</v>
          </cell>
          <cell r="C897" t="str">
            <v>2nd Tranche</v>
          </cell>
          <cell r="D897">
            <v>892</v>
          </cell>
          <cell r="E897" t="str">
            <v>Haider Abbas</v>
          </cell>
          <cell r="F897" t="str">
            <v>Security &amp; Parking Attendant</v>
          </cell>
          <cell r="G897">
            <v>45992</v>
          </cell>
          <cell r="I897" t="str">
            <v>SB Khanewal</v>
          </cell>
          <cell r="J897" t="str">
            <v>09000010152400020017</v>
          </cell>
        </row>
        <row r="898">
          <cell r="B898">
            <v>3310287174671</v>
          </cell>
          <cell r="C898" t="str">
            <v>2nd Tranche</v>
          </cell>
          <cell r="D898">
            <v>893</v>
          </cell>
          <cell r="E898" t="str">
            <v>Muhammad Faisal</v>
          </cell>
          <cell r="F898" t="str">
            <v>Security &amp; Parking Attendant</v>
          </cell>
          <cell r="G898">
            <v>45992</v>
          </cell>
          <cell r="I898" t="str">
            <v>SB Millat Road (Fsd)</v>
          </cell>
          <cell r="J898" t="str">
            <v>08660010152492920014</v>
          </cell>
        </row>
        <row r="899">
          <cell r="B899">
            <v>3510349516669</v>
          </cell>
          <cell r="C899" t="str">
            <v>2nd Tranche</v>
          </cell>
          <cell r="D899">
            <v>894</v>
          </cell>
          <cell r="E899" t="str">
            <v>Abu Sufyan</v>
          </cell>
          <cell r="F899" t="str">
            <v>Security &amp; Parking Attendant</v>
          </cell>
          <cell r="G899">
            <v>45992</v>
          </cell>
          <cell r="I899" t="str">
            <v>SB Pattoki</v>
          </cell>
          <cell r="J899" t="str">
            <v>03900010152180890018</v>
          </cell>
        </row>
        <row r="900">
          <cell r="B900">
            <v>3530342741241</v>
          </cell>
          <cell r="C900" t="str">
            <v>2nd Tranche</v>
          </cell>
          <cell r="D900">
            <v>895</v>
          </cell>
          <cell r="E900" t="str">
            <v>Zahid Raza</v>
          </cell>
          <cell r="F900" t="str">
            <v>Security &amp; Parking Attendant</v>
          </cell>
          <cell r="G900">
            <v>45992</v>
          </cell>
          <cell r="I900" t="str">
            <v>SB Pattoki</v>
          </cell>
          <cell r="J900" t="str">
            <v>03000010152597350018</v>
          </cell>
        </row>
        <row r="901">
          <cell r="B901">
            <v>3610368670007</v>
          </cell>
          <cell r="C901" t="str">
            <v>2nd Tranche</v>
          </cell>
          <cell r="D901">
            <v>896</v>
          </cell>
          <cell r="E901" t="str">
            <v>Umais Anique</v>
          </cell>
          <cell r="F901" t="str">
            <v>Security &amp; Parking Attendant</v>
          </cell>
          <cell r="G901">
            <v>45992</v>
          </cell>
          <cell r="I901" t="str">
            <v>SB Khanewal</v>
          </cell>
          <cell r="J901" t="str">
            <v>01980010152401000013</v>
          </cell>
        </row>
        <row r="902">
          <cell r="B902">
            <v>3520265232313</v>
          </cell>
          <cell r="C902" t="str">
            <v>2nd Tranche</v>
          </cell>
          <cell r="D902">
            <v>897</v>
          </cell>
          <cell r="E902" t="str">
            <v>Sulaman Masih</v>
          </cell>
          <cell r="F902" t="str">
            <v>Sanitation Attendant</v>
          </cell>
          <cell r="G902">
            <v>45992</v>
          </cell>
          <cell r="I902" t="str">
            <v>SB Township</v>
          </cell>
          <cell r="J902" t="str">
            <v>02880010150952330017</v>
          </cell>
        </row>
        <row r="903">
          <cell r="B903">
            <v>3520281450963</v>
          </cell>
          <cell r="C903" t="str">
            <v>2nd Tranche</v>
          </cell>
          <cell r="D903">
            <v>898</v>
          </cell>
          <cell r="E903" t="str">
            <v>Dawood Masih</v>
          </cell>
          <cell r="F903" t="str">
            <v>Sanitation Attendant</v>
          </cell>
          <cell r="G903">
            <v>45992</v>
          </cell>
          <cell r="I903" t="str">
            <v>SB Township</v>
          </cell>
          <cell r="J903" t="str">
            <v>01530010151282360012</v>
          </cell>
        </row>
        <row r="904">
          <cell r="B904">
            <v>3520160938325</v>
          </cell>
          <cell r="C904" t="str">
            <v>2nd Tranche</v>
          </cell>
          <cell r="D904">
            <v>899</v>
          </cell>
          <cell r="E904" t="str">
            <v>Sharoon Yousaf</v>
          </cell>
          <cell r="F904" t="str">
            <v>Sanitation Attendant</v>
          </cell>
          <cell r="G904">
            <v>45992</v>
          </cell>
          <cell r="I904" t="str">
            <v>SB Township</v>
          </cell>
          <cell r="J904" t="str">
            <v>02880010151207490010</v>
          </cell>
        </row>
        <row r="905">
          <cell r="B905">
            <v>3310446094273</v>
          </cell>
          <cell r="C905" t="str">
            <v>2nd Tranche</v>
          </cell>
          <cell r="D905">
            <v>900</v>
          </cell>
          <cell r="E905" t="str">
            <v>Muhammad Subhan Ali</v>
          </cell>
          <cell r="F905" t="str">
            <v>Security &amp; Parking Attendant</v>
          </cell>
          <cell r="G905">
            <v>45992</v>
          </cell>
          <cell r="I905" t="str">
            <v>SB Jarranwala</v>
          </cell>
          <cell r="J905" t="str">
            <v>53680020154070520015</v>
          </cell>
        </row>
        <row r="906">
          <cell r="B906">
            <v>3310453466223</v>
          </cell>
          <cell r="C906" t="str">
            <v>2nd Tranche</v>
          </cell>
          <cell r="D906">
            <v>901</v>
          </cell>
          <cell r="E906" t="str">
            <v>Mohsin Ali</v>
          </cell>
          <cell r="F906" t="str">
            <v>Sanitation Attendant</v>
          </cell>
          <cell r="G906">
            <v>45992</v>
          </cell>
          <cell r="I906" t="str">
            <v>SB Jarranwala</v>
          </cell>
          <cell r="J906" t="str">
            <v>00060010104070120023</v>
          </cell>
        </row>
        <row r="907">
          <cell r="B907">
            <v>3310494341413</v>
          </cell>
          <cell r="C907" t="str">
            <v>2nd Tranche</v>
          </cell>
          <cell r="D907">
            <v>902</v>
          </cell>
          <cell r="E907" t="str">
            <v xml:space="preserve">Muhammad Irfan  </v>
          </cell>
          <cell r="F907" t="str">
            <v>Sanitation Attendant</v>
          </cell>
          <cell r="G907">
            <v>45992</v>
          </cell>
          <cell r="I907" t="str">
            <v>SB Jarranwala</v>
          </cell>
          <cell r="J907" t="str">
            <v>53680020153615490016</v>
          </cell>
        </row>
        <row r="908">
          <cell r="B908">
            <v>3310422556235</v>
          </cell>
          <cell r="C908" t="str">
            <v>2nd Tranche</v>
          </cell>
          <cell r="D908">
            <v>903</v>
          </cell>
          <cell r="E908" t="str">
            <v>Waqar Hussain</v>
          </cell>
          <cell r="F908" t="str">
            <v>Sanitation Attendant</v>
          </cell>
          <cell r="G908">
            <v>45992</v>
          </cell>
          <cell r="I908" t="str">
            <v>SB Jarranwala</v>
          </cell>
          <cell r="J908" t="str">
            <v>01210010155368140014</v>
          </cell>
        </row>
        <row r="909">
          <cell r="B909">
            <v>3310426575301</v>
          </cell>
          <cell r="C909" t="str">
            <v>2nd Tranche</v>
          </cell>
          <cell r="D909">
            <v>904</v>
          </cell>
          <cell r="E909" t="str">
            <v>Baharat Ali</v>
          </cell>
          <cell r="F909" t="str">
            <v>Sanitation Attendant</v>
          </cell>
          <cell r="G909">
            <v>45992</v>
          </cell>
          <cell r="I909" t="str">
            <v>SB Jarranwala</v>
          </cell>
          <cell r="J909" t="str">
            <v>00060010118811680010</v>
          </cell>
        </row>
        <row r="910">
          <cell r="B910">
            <v>3610343366219</v>
          </cell>
          <cell r="C910" t="str">
            <v>2nd Tranche</v>
          </cell>
          <cell r="D910">
            <v>905</v>
          </cell>
          <cell r="E910" t="str">
            <v>Sohail Saqib</v>
          </cell>
          <cell r="F910" t="str">
            <v>Security &amp; Parking Attendant</v>
          </cell>
          <cell r="G910">
            <v>45992</v>
          </cell>
          <cell r="I910" t="str">
            <v>SB Khanewal</v>
          </cell>
          <cell r="J910" t="str">
            <v>01980010152399170010</v>
          </cell>
        </row>
        <row r="911">
          <cell r="B911">
            <v>3620240739141</v>
          </cell>
          <cell r="C911" t="str">
            <v>2nd Tranche</v>
          </cell>
          <cell r="D911">
            <v>906</v>
          </cell>
          <cell r="E911" t="str">
            <v>Muhammad Sajjad Hussain</v>
          </cell>
          <cell r="F911" t="str">
            <v>Security &amp; Parking Attendant</v>
          </cell>
          <cell r="G911">
            <v>45992</v>
          </cell>
          <cell r="I911" t="str">
            <v>SB Khanewal</v>
          </cell>
          <cell r="J911" t="str">
            <v>08190010096057840019</v>
          </cell>
        </row>
        <row r="912">
          <cell r="B912">
            <v>3650104875017</v>
          </cell>
          <cell r="C912" t="str">
            <v>2nd Tranche</v>
          </cell>
          <cell r="D912">
            <v>907</v>
          </cell>
          <cell r="E912" t="str">
            <v>Sajid Bukhsh</v>
          </cell>
          <cell r="F912" t="str">
            <v>Security &amp; Parking Attendant</v>
          </cell>
          <cell r="G912">
            <v>45992</v>
          </cell>
          <cell r="I912" t="str">
            <v>SB Khanewal</v>
          </cell>
          <cell r="J912" t="str">
            <v>09000010152567440017</v>
          </cell>
        </row>
        <row r="913">
          <cell r="B913">
            <v>3230353663585</v>
          </cell>
          <cell r="C913" t="str">
            <v>2nd Tranche</v>
          </cell>
          <cell r="D913">
            <v>908</v>
          </cell>
          <cell r="E913" t="str">
            <v>Tehseen Raza</v>
          </cell>
          <cell r="F913" t="str">
            <v>Security &amp; Parking Attendant</v>
          </cell>
          <cell r="G913">
            <v>45992</v>
          </cell>
          <cell r="I913" t="str">
            <v>SB Muzaffargarh</v>
          </cell>
          <cell r="J913" t="str">
            <v>02810010153381450019</v>
          </cell>
        </row>
        <row r="914">
          <cell r="B914">
            <v>3210161296709</v>
          </cell>
          <cell r="C914" t="str">
            <v>2nd Tranche</v>
          </cell>
          <cell r="D914">
            <v>909</v>
          </cell>
          <cell r="E914" t="str">
            <v>Ghulam Murtaza</v>
          </cell>
          <cell r="F914" t="str">
            <v>Security &amp; Parking Attendant</v>
          </cell>
          <cell r="G914">
            <v>45992</v>
          </cell>
          <cell r="I914" t="str">
            <v>SB Gujrat</v>
          </cell>
          <cell r="J914" t="str">
            <v>07300010153088110016</v>
          </cell>
        </row>
        <row r="915">
          <cell r="B915">
            <v>3210266413377</v>
          </cell>
          <cell r="C915" t="str">
            <v>2nd Tranche</v>
          </cell>
          <cell r="D915">
            <v>910</v>
          </cell>
          <cell r="E915" t="str">
            <v>Waqar Ahmad</v>
          </cell>
          <cell r="F915" t="str">
            <v>Security &amp; Parking Attendant</v>
          </cell>
          <cell r="G915">
            <v>45992</v>
          </cell>
          <cell r="I915" t="str">
            <v>SB Gujrat</v>
          </cell>
          <cell r="J915" t="str">
            <v>07300010153086330010</v>
          </cell>
        </row>
        <row r="916">
          <cell r="B916">
            <v>3210245872807</v>
          </cell>
          <cell r="C916" t="str">
            <v>2nd Tranche</v>
          </cell>
          <cell r="D916">
            <v>911</v>
          </cell>
          <cell r="E916" t="str">
            <v>Muhammad ismail</v>
          </cell>
          <cell r="F916" t="str">
            <v>Security &amp; Parking Attendant</v>
          </cell>
          <cell r="G916">
            <v>45992</v>
          </cell>
          <cell r="I916" t="str">
            <v>SB Gujranwala</v>
          </cell>
          <cell r="J916" t="str">
            <v>07300010153089810010</v>
          </cell>
        </row>
        <row r="917">
          <cell r="B917">
            <v>3210404810497</v>
          </cell>
          <cell r="C917" t="str">
            <v>2nd Tranche</v>
          </cell>
          <cell r="D917">
            <v>912</v>
          </cell>
          <cell r="E917" t="str">
            <v>Muhammad Rashid</v>
          </cell>
          <cell r="F917" t="str">
            <v>Security &amp; Parking Attendant</v>
          </cell>
          <cell r="G917">
            <v>45992</v>
          </cell>
          <cell r="I917" t="str">
            <v>SB DG Khan</v>
          </cell>
          <cell r="J917" t="str">
            <v>00720010153288700013</v>
          </cell>
        </row>
        <row r="918">
          <cell r="B918">
            <v>3210404624607</v>
          </cell>
          <cell r="C918" t="str">
            <v>2nd Tranche</v>
          </cell>
          <cell r="D918">
            <v>913</v>
          </cell>
          <cell r="E918" t="str">
            <v>Asif Nawab</v>
          </cell>
          <cell r="F918" t="str">
            <v>Security &amp; Parking Attendant</v>
          </cell>
          <cell r="G918">
            <v>45992</v>
          </cell>
          <cell r="I918" t="str">
            <v>SB Gujrat</v>
          </cell>
          <cell r="J918" t="str">
            <v>51870020153261360019</v>
          </cell>
        </row>
        <row r="919">
          <cell r="B919">
            <v>3210405517881</v>
          </cell>
          <cell r="C919" t="str">
            <v>2nd Tranche</v>
          </cell>
          <cell r="D919">
            <v>914</v>
          </cell>
          <cell r="E919" t="str">
            <v>Muhammad Ameen</v>
          </cell>
          <cell r="F919" t="str">
            <v>Security &amp; Parking Attendant</v>
          </cell>
          <cell r="G919">
            <v>45992</v>
          </cell>
          <cell r="I919" t="str">
            <v>SB Gujrat</v>
          </cell>
          <cell r="J919" t="str">
            <v>51870020153133660011</v>
          </cell>
        </row>
        <row r="920">
          <cell r="B920">
            <v>3330120673617</v>
          </cell>
          <cell r="C920" t="str">
            <v>2nd Tranche</v>
          </cell>
          <cell r="D920">
            <v>915</v>
          </cell>
          <cell r="E920" t="str">
            <v xml:space="preserve">Muhammad Shahzad </v>
          </cell>
          <cell r="F920" t="str">
            <v>Security &amp; Parking Attendant</v>
          </cell>
          <cell r="G920">
            <v>45992</v>
          </cell>
          <cell r="I920" t="str">
            <v>SB Chiniot</v>
          </cell>
          <cell r="J920" t="str">
            <v>00870010153474580014</v>
          </cell>
        </row>
        <row r="921">
          <cell r="B921">
            <v>3340105445975</v>
          </cell>
          <cell r="C921" t="str">
            <v>2nd Tranche</v>
          </cell>
          <cell r="D921">
            <v>916</v>
          </cell>
          <cell r="E921" t="str">
            <v>Tanveer Hussain</v>
          </cell>
          <cell r="F921" t="str">
            <v>Security &amp; Parking Attendant</v>
          </cell>
          <cell r="G921">
            <v>45992</v>
          </cell>
          <cell r="I921" t="str">
            <v>SB Chiniot</v>
          </cell>
          <cell r="J921" t="str">
            <v>04990010153631040018</v>
          </cell>
        </row>
        <row r="922">
          <cell r="B922">
            <v>3510153510553</v>
          </cell>
          <cell r="C922" t="str">
            <v>2nd Tranche</v>
          </cell>
          <cell r="D922">
            <v>917</v>
          </cell>
          <cell r="E922" t="str">
            <v>Muhammad Latif</v>
          </cell>
          <cell r="F922" t="str">
            <v>Security &amp; Parking Attendant</v>
          </cell>
          <cell r="G922">
            <v>45992</v>
          </cell>
          <cell r="I922" t="str">
            <v>SB Okara</v>
          </cell>
          <cell r="J922" t="str">
            <v>09740010153344210018</v>
          </cell>
        </row>
        <row r="923">
          <cell r="B923">
            <v>3310409445709</v>
          </cell>
          <cell r="C923" t="str">
            <v>2nd Tranche</v>
          </cell>
          <cell r="D923">
            <v>918</v>
          </cell>
          <cell r="E923" t="str">
            <v>Muhammad Tayyab</v>
          </cell>
          <cell r="F923" t="str">
            <v>Security &amp; Parking Attendant</v>
          </cell>
          <cell r="G923">
            <v>45992</v>
          </cell>
          <cell r="I923" t="str">
            <v>SB Jarranwala</v>
          </cell>
          <cell r="J923" t="str">
            <v>53680020153742180010</v>
          </cell>
        </row>
        <row r="924">
          <cell r="B924">
            <v>3520231328135</v>
          </cell>
          <cell r="C924" t="str">
            <v>2nd Tranche</v>
          </cell>
          <cell r="D924">
            <v>919</v>
          </cell>
          <cell r="E924" t="str">
            <v>Shahid Iqbal</v>
          </cell>
          <cell r="F924" t="str">
            <v>Security &amp; Parking Attendant</v>
          </cell>
          <cell r="G924">
            <v>45992</v>
          </cell>
          <cell r="I924" t="str">
            <v>SB Chunian</v>
          </cell>
          <cell r="J924" t="str">
            <v>07740010153428610010</v>
          </cell>
        </row>
        <row r="925">
          <cell r="B925">
            <v>3540254404757</v>
          </cell>
          <cell r="C925" t="str">
            <v>2nd Tranche</v>
          </cell>
          <cell r="D925">
            <v>920</v>
          </cell>
          <cell r="E925" t="str">
            <v>Muhammad Umer</v>
          </cell>
          <cell r="F925" t="str">
            <v>Security &amp; Parking Attendant</v>
          </cell>
          <cell r="G925">
            <v>45992</v>
          </cell>
          <cell r="I925" t="str">
            <v>SB Sharaqpur</v>
          </cell>
          <cell r="J925" t="str">
            <v>05200010154955450016</v>
          </cell>
        </row>
        <row r="926">
          <cell r="B926">
            <v>3610193549537</v>
          </cell>
          <cell r="C926" t="str">
            <v>2nd Tranche</v>
          </cell>
          <cell r="D926">
            <v>921</v>
          </cell>
          <cell r="E926" t="str">
            <v>Imran Yaseen</v>
          </cell>
          <cell r="F926" t="str">
            <v>Security &amp; Parking Attendant</v>
          </cell>
          <cell r="G926">
            <v>45992</v>
          </cell>
          <cell r="I926" t="str">
            <v>SB Khanewal</v>
          </cell>
          <cell r="J926" t="str">
            <v>01980010154877510018</v>
          </cell>
        </row>
        <row r="927">
          <cell r="B927">
            <v>3230323938279</v>
          </cell>
          <cell r="C927" t="str">
            <v>2nd Tranche</v>
          </cell>
          <cell r="D927">
            <v>922</v>
          </cell>
          <cell r="E927" t="str">
            <v>Amjad Hussain</v>
          </cell>
          <cell r="F927" t="str">
            <v>Security &amp; Parking Attendant</v>
          </cell>
          <cell r="G927">
            <v>45992</v>
          </cell>
          <cell r="I927" t="str">
            <v>SB Muzaffargarh</v>
          </cell>
          <cell r="J927" t="str">
            <v>02810010153278400017</v>
          </cell>
        </row>
        <row r="928">
          <cell r="B928">
            <v>3510309760227</v>
          </cell>
          <cell r="C928" t="str">
            <v>2nd Tranche</v>
          </cell>
          <cell r="D928">
            <v>923</v>
          </cell>
          <cell r="E928" t="str">
            <v>Muhammad Abu Bakar</v>
          </cell>
          <cell r="F928" t="str">
            <v>Security &amp; Parking Attendant</v>
          </cell>
          <cell r="G928">
            <v>45992</v>
          </cell>
          <cell r="I928" t="str">
            <v>SB Chunian</v>
          </cell>
          <cell r="J928" t="str">
            <v>07740010153918200012</v>
          </cell>
        </row>
        <row r="929">
          <cell r="B929">
            <v>3510324656325</v>
          </cell>
          <cell r="C929" t="str">
            <v>2nd Tranche</v>
          </cell>
          <cell r="D929">
            <v>924</v>
          </cell>
          <cell r="E929" t="str">
            <v>Nadeem Masih</v>
          </cell>
          <cell r="F929" t="str">
            <v>Sanitation Attendant</v>
          </cell>
          <cell r="G929">
            <v>45992</v>
          </cell>
          <cell r="I929" t="str">
            <v>SB Pattoki</v>
          </cell>
          <cell r="J929" t="str">
            <v>03000010155353960013</v>
          </cell>
        </row>
        <row r="930">
          <cell r="B930">
            <v>3540437499367</v>
          </cell>
          <cell r="C930" t="str">
            <v>2nd Tranche</v>
          </cell>
          <cell r="D930">
            <v>925</v>
          </cell>
          <cell r="E930" t="str">
            <v>Shahbaz Raza</v>
          </cell>
          <cell r="F930" t="str">
            <v>Security &amp; Parking Attendant</v>
          </cell>
          <cell r="G930">
            <v>45992</v>
          </cell>
          <cell r="I930" t="str">
            <v>SB Chiniot</v>
          </cell>
          <cell r="J930" t="str">
            <v>03750010154339950011</v>
          </cell>
        </row>
        <row r="931">
          <cell r="B931">
            <v>3230389602655</v>
          </cell>
          <cell r="C931" t="str">
            <v>2nd Tranche</v>
          </cell>
          <cell r="D931">
            <v>926</v>
          </cell>
          <cell r="E931" t="str">
            <v>Nadir Shahzad</v>
          </cell>
          <cell r="F931" t="str">
            <v>Security &amp; Parking Attendant</v>
          </cell>
          <cell r="G931">
            <v>45992</v>
          </cell>
          <cell r="I931" t="str">
            <v>SB Muzaffargarh</v>
          </cell>
          <cell r="J931" t="str">
            <v>08480010055037210013</v>
          </cell>
        </row>
        <row r="932">
          <cell r="B932">
            <v>3230351887807</v>
          </cell>
          <cell r="C932" t="str">
            <v>2nd Tranche</v>
          </cell>
          <cell r="D932">
            <v>927</v>
          </cell>
          <cell r="E932" t="str">
            <v xml:space="preserve">Muhammad Kashif  </v>
          </cell>
          <cell r="F932" t="str">
            <v>Security &amp; Parking Attendant</v>
          </cell>
          <cell r="G932">
            <v>45992</v>
          </cell>
          <cell r="I932" t="str">
            <v>SB Muzaffargarh</v>
          </cell>
          <cell r="J932" t="str">
            <v>02810020154643860019</v>
          </cell>
        </row>
        <row r="933">
          <cell r="B933">
            <v>3530304842315</v>
          </cell>
          <cell r="C933" t="str">
            <v>2nd Tranche</v>
          </cell>
          <cell r="D933">
            <v>928</v>
          </cell>
          <cell r="E933" t="str">
            <v>Muhammad Arslan</v>
          </cell>
          <cell r="F933" t="str">
            <v>Security &amp; Parking Attendant</v>
          </cell>
          <cell r="G933">
            <v>45992</v>
          </cell>
          <cell r="I933" t="str">
            <v>SB Okara</v>
          </cell>
          <cell r="J933" t="str">
            <v>09740010154133530015</v>
          </cell>
        </row>
        <row r="934">
          <cell r="B934">
            <v>3530174374803</v>
          </cell>
          <cell r="C934" t="str">
            <v>2nd Tranche</v>
          </cell>
          <cell r="D934">
            <v>929</v>
          </cell>
          <cell r="E934" t="str">
            <v>Muhammad Inam Ullah Qamar</v>
          </cell>
          <cell r="F934" t="str">
            <v>Security &amp; Parking Attendant</v>
          </cell>
          <cell r="G934">
            <v>45992</v>
          </cell>
          <cell r="I934" t="str">
            <v>SB Okara</v>
          </cell>
          <cell r="J934" t="str">
            <v>02880010139260490015</v>
          </cell>
        </row>
        <row r="935">
          <cell r="B935">
            <v>3510374481791</v>
          </cell>
          <cell r="C935" t="str">
            <v>2nd Tranche</v>
          </cell>
          <cell r="D935">
            <v>930</v>
          </cell>
          <cell r="E935" t="str">
            <v>Sohail Masih</v>
          </cell>
          <cell r="F935" t="str">
            <v>Sanitation Attendant</v>
          </cell>
          <cell r="G935">
            <v>45992</v>
          </cell>
          <cell r="I935" t="str">
            <v>SB Pattoki</v>
          </cell>
          <cell r="J935" t="str">
            <v>03000010058709940021</v>
          </cell>
        </row>
        <row r="936">
          <cell r="B936">
            <v>3330195989111</v>
          </cell>
          <cell r="C936" t="str">
            <v>2nd Tranche</v>
          </cell>
          <cell r="D936">
            <v>931</v>
          </cell>
          <cell r="E936" t="str">
            <v xml:space="preserve">Muhammad Hamza  </v>
          </cell>
          <cell r="F936" t="str">
            <v>Security &amp; Parking Attendant</v>
          </cell>
          <cell r="G936">
            <v>45992</v>
          </cell>
          <cell r="I936" t="str">
            <v>SB Chiniot</v>
          </cell>
          <cell r="J936" t="str">
            <v>00870010154776290018</v>
          </cell>
        </row>
        <row r="937">
          <cell r="B937">
            <v>3430117809957</v>
          </cell>
          <cell r="C937" t="str">
            <v>3rd Tranche</v>
          </cell>
          <cell r="D937">
            <v>932</v>
          </cell>
          <cell r="E937" t="str">
            <v>Alamgir</v>
          </cell>
          <cell r="F937" t="str">
            <v>Gardener</v>
          </cell>
          <cell r="G937">
            <v>45992</v>
          </cell>
          <cell r="I937" t="str">
            <v>SB Chiniot</v>
          </cell>
          <cell r="J937" t="str">
            <v>07940010154368850019</v>
          </cell>
        </row>
        <row r="938">
          <cell r="B938">
            <v>3520260572533</v>
          </cell>
          <cell r="C938" t="str">
            <v>2nd Tranche</v>
          </cell>
          <cell r="D938">
            <v>933</v>
          </cell>
          <cell r="E938" t="str">
            <v>Irfan Ahmad</v>
          </cell>
          <cell r="F938" t="str">
            <v>Security &amp; Parking Attendant</v>
          </cell>
          <cell r="G938">
            <v>45992</v>
          </cell>
          <cell r="I938" t="str">
            <v>SB Chung</v>
          </cell>
          <cell r="J938" t="str">
            <v>07660010155111620017</v>
          </cell>
        </row>
        <row r="939">
          <cell r="B939">
            <v>4220108356483</v>
          </cell>
          <cell r="C939" t="str">
            <v>2nd Tranche</v>
          </cell>
          <cell r="D939">
            <v>934</v>
          </cell>
          <cell r="E939" t="str">
            <v>Abid Hussain</v>
          </cell>
          <cell r="F939" t="str">
            <v>Security &amp; Parking Attendant</v>
          </cell>
          <cell r="G939">
            <v>45992</v>
          </cell>
          <cell r="I939" t="str">
            <v>SB Vehari</v>
          </cell>
          <cell r="J939" t="str">
            <v>02810010154641990010</v>
          </cell>
        </row>
        <row r="940">
          <cell r="B940">
            <v>3340104867305</v>
          </cell>
          <cell r="C940" t="str">
            <v>2nd Tranche</v>
          </cell>
          <cell r="D940">
            <v>935</v>
          </cell>
          <cell r="E940" t="str">
            <v>Zafar Abbas</v>
          </cell>
          <cell r="F940" t="str">
            <v>Security &amp; Parking Attendant</v>
          </cell>
          <cell r="G940">
            <v>45992</v>
          </cell>
          <cell r="I940" t="str">
            <v>SB Chiniot</v>
          </cell>
          <cell r="J940" t="str">
            <v>04990010155030860010</v>
          </cell>
        </row>
        <row r="941">
          <cell r="B941">
            <v>3440295417541</v>
          </cell>
          <cell r="C941" t="str">
            <v>2nd Tranche</v>
          </cell>
          <cell r="D941">
            <v>936</v>
          </cell>
          <cell r="E941" t="str">
            <v>Mujahid Hussain</v>
          </cell>
          <cell r="F941" t="str">
            <v>Security &amp; Parking Attendant</v>
          </cell>
          <cell r="G941">
            <v>45992</v>
          </cell>
          <cell r="I941" t="str">
            <v>SB Mandi Bahau-Din</v>
          </cell>
          <cell r="J941" t="str">
            <v>13380010154449920012</v>
          </cell>
        </row>
        <row r="942">
          <cell r="B942">
            <v>3630251807497</v>
          </cell>
          <cell r="C942" t="str">
            <v>2nd Tranche</v>
          </cell>
          <cell r="D942">
            <v>937</v>
          </cell>
          <cell r="E942" t="str">
            <v>Anosh Nazir</v>
          </cell>
          <cell r="F942" t="str">
            <v>Security &amp; Parking Attendant</v>
          </cell>
          <cell r="G942">
            <v>45992</v>
          </cell>
          <cell r="I942" t="str">
            <v>SB Muzaffargarh</v>
          </cell>
          <cell r="J942" t="str">
            <v>02530020154441660014</v>
          </cell>
        </row>
        <row r="943">
          <cell r="B943">
            <v>3230490287921</v>
          </cell>
          <cell r="C943" t="str">
            <v>2nd Tranche</v>
          </cell>
          <cell r="D943">
            <v>938</v>
          </cell>
          <cell r="E943" t="str">
            <v>Saghgeer Hussain</v>
          </cell>
          <cell r="F943" t="str">
            <v>Sanitation Attendant</v>
          </cell>
          <cell r="G943">
            <v>45992</v>
          </cell>
          <cell r="I943" t="str">
            <v>SB Muzaffargarh</v>
          </cell>
          <cell r="J943" t="str">
            <v>02810010154661800011</v>
          </cell>
        </row>
        <row r="944">
          <cell r="B944">
            <v>3230320829249</v>
          </cell>
          <cell r="C944" t="str">
            <v>2nd Tranche</v>
          </cell>
          <cell r="D944">
            <v>939</v>
          </cell>
          <cell r="E944" t="str">
            <v>Muhammad Nadeem</v>
          </cell>
          <cell r="F944" t="str">
            <v>Sanitation Attendant</v>
          </cell>
          <cell r="G944">
            <v>45992</v>
          </cell>
          <cell r="I944" t="str">
            <v>SB Muzaffargarh</v>
          </cell>
          <cell r="J944" t="str">
            <v>02810020154787530014</v>
          </cell>
        </row>
        <row r="945">
          <cell r="B945">
            <v>3230455199241</v>
          </cell>
          <cell r="C945" t="str">
            <v>2nd Tranche</v>
          </cell>
          <cell r="D945">
            <v>940</v>
          </cell>
          <cell r="E945" t="str">
            <v>Muhammad Shahid</v>
          </cell>
          <cell r="F945" t="str">
            <v>Sanitation Attendant</v>
          </cell>
          <cell r="G945">
            <v>45992</v>
          </cell>
          <cell r="I945" t="str">
            <v>SB Muzaffargarh</v>
          </cell>
          <cell r="J945" t="str">
            <v>02810010154832390010</v>
          </cell>
        </row>
        <row r="946">
          <cell r="B946">
            <v>3840155737359</v>
          </cell>
          <cell r="C946" t="str">
            <v>2nd Tranche</v>
          </cell>
          <cell r="D946">
            <v>941</v>
          </cell>
          <cell r="E946" t="str">
            <v>Muhammad Nouman</v>
          </cell>
          <cell r="F946" t="str">
            <v>Security &amp; Parking Attendant</v>
          </cell>
          <cell r="G946">
            <v>45992</v>
          </cell>
          <cell r="I946" t="str">
            <v>SB Bhalwal</v>
          </cell>
          <cell r="J946" t="str">
            <v>00520010154495960011</v>
          </cell>
        </row>
        <row r="947">
          <cell r="B947">
            <v>3840604196201</v>
          </cell>
          <cell r="C947" t="str">
            <v>2nd Tranche</v>
          </cell>
          <cell r="D947">
            <v>942</v>
          </cell>
          <cell r="E947" t="str">
            <v>Wajid Ali</v>
          </cell>
          <cell r="F947" t="str">
            <v>Security &amp; Parking Attendant</v>
          </cell>
          <cell r="G947">
            <v>45992</v>
          </cell>
          <cell r="I947" t="str">
            <v>SB Bhalwal</v>
          </cell>
          <cell r="J947" t="str">
            <v>00520010154485900019</v>
          </cell>
        </row>
        <row r="948">
          <cell r="B948">
            <v>3840115198197</v>
          </cell>
          <cell r="C948" t="str">
            <v>2nd Tranche</v>
          </cell>
          <cell r="D948">
            <v>943</v>
          </cell>
          <cell r="E948" t="str">
            <v>Khurram Shahzad</v>
          </cell>
          <cell r="F948" t="str">
            <v>Security &amp; Parking Attendant</v>
          </cell>
          <cell r="G948">
            <v>45992</v>
          </cell>
          <cell r="I948" t="str">
            <v>SB Bhalwal</v>
          </cell>
          <cell r="J948" t="str">
            <v>00520010154484320016</v>
          </cell>
        </row>
        <row r="949">
          <cell r="B949">
            <v>3840139135215</v>
          </cell>
          <cell r="C949" t="str">
            <v>2nd Tranche</v>
          </cell>
          <cell r="D949">
            <v>944</v>
          </cell>
          <cell r="E949" t="str">
            <v>Faisal Khan</v>
          </cell>
          <cell r="F949" t="str">
            <v>Security &amp; Parking Attendant</v>
          </cell>
          <cell r="G949">
            <v>45992</v>
          </cell>
          <cell r="I949" t="str">
            <v>SB Bhalwal</v>
          </cell>
          <cell r="J949" t="str">
            <v>00520010154491830013</v>
          </cell>
        </row>
        <row r="950">
          <cell r="B950">
            <v>3840178007871</v>
          </cell>
          <cell r="C950" t="str">
            <v>2nd Tranche</v>
          </cell>
          <cell r="D950">
            <v>945</v>
          </cell>
          <cell r="E950" t="str">
            <v>Adeel Masih</v>
          </cell>
          <cell r="F950" t="str">
            <v>Sanitation Attendant</v>
          </cell>
          <cell r="G950">
            <v>45992</v>
          </cell>
          <cell r="I950" t="str">
            <v>SB Bhalwal</v>
          </cell>
          <cell r="J950" t="str">
            <v>00520010154498440013</v>
          </cell>
        </row>
        <row r="951">
          <cell r="B951">
            <v>3840116554710</v>
          </cell>
          <cell r="C951" t="str">
            <v>2nd Tranche</v>
          </cell>
          <cell r="D951">
            <v>946</v>
          </cell>
          <cell r="E951" t="str">
            <v>Samina Kousar</v>
          </cell>
          <cell r="F951" t="str">
            <v>Sanitation Attendant</v>
          </cell>
          <cell r="G951">
            <v>45992</v>
          </cell>
          <cell r="I951" t="str">
            <v>SB Bhalwal</v>
          </cell>
          <cell r="J951" t="str">
            <v>00520010154478540010</v>
          </cell>
        </row>
        <row r="952">
          <cell r="B952">
            <v>3840159267375</v>
          </cell>
          <cell r="C952" t="str">
            <v>2nd Tranche</v>
          </cell>
          <cell r="D952">
            <v>947</v>
          </cell>
          <cell r="E952" t="str">
            <v>Waleed Baig</v>
          </cell>
          <cell r="F952" t="str">
            <v>Security &amp; Parking Attendant</v>
          </cell>
          <cell r="G952">
            <v>45992</v>
          </cell>
          <cell r="I952" t="str">
            <v>SB Bhalwal</v>
          </cell>
          <cell r="J952" t="str">
            <v>00520010154494260018</v>
          </cell>
        </row>
        <row r="953">
          <cell r="B953">
            <v>3230421538327</v>
          </cell>
          <cell r="C953" t="str">
            <v>2nd Tranche</v>
          </cell>
          <cell r="D953">
            <v>948</v>
          </cell>
          <cell r="E953" t="str">
            <v>Hassan Shahroz Khan</v>
          </cell>
          <cell r="F953" t="str">
            <v>Security &amp; Parking Attendant</v>
          </cell>
          <cell r="G953">
            <v>45992</v>
          </cell>
          <cell r="I953" t="str">
            <v>SB Muzaffargarh</v>
          </cell>
          <cell r="J953" t="str">
            <v>02810020154607720015</v>
          </cell>
        </row>
        <row r="954">
          <cell r="B954">
            <v>3510189681279</v>
          </cell>
          <cell r="C954" t="str">
            <v>2nd Tranche</v>
          </cell>
          <cell r="D954">
            <v>949</v>
          </cell>
          <cell r="E954" t="str">
            <v>Muhammad Abbas</v>
          </cell>
          <cell r="F954" t="str">
            <v>Security &amp; Parking Attendant</v>
          </cell>
          <cell r="G954">
            <v>45992</v>
          </cell>
          <cell r="I954" t="str">
            <v>SB Chunian</v>
          </cell>
          <cell r="J954" t="str">
            <v>07740010154609770010</v>
          </cell>
        </row>
        <row r="955">
          <cell r="B955">
            <v>3540462158587</v>
          </cell>
          <cell r="C955" t="str">
            <v>2nd Tranche</v>
          </cell>
          <cell r="D955">
            <v>950</v>
          </cell>
          <cell r="E955" t="str">
            <v>Muhammad Waseem Ashraf</v>
          </cell>
          <cell r="F955" t="str">
            <v>Security &amp; Parking Attendant</v>
          </cell>
          <cell r="G955">
            <v>45992</v>
          </cell>
          <cell r="I955" t="str">
            <v>SB Sharaqpur</v>
          </cell>
          <cell r="J955" t="str">
            <v>06200010154912060018</v>
          </cell>
        </row>
        <row r="956">
          <cell r="B956">
            <v>3510322782183</v>
          </cell>
          <cell r="C956" t="str">
            <v>2nd Tranche</v>
          </cell>
          <cell r="D956">
            <v>951</v>
          </cell>
          <cell r="E956" t="str">
            <v>Imran Alim</v>
          </cell>
          <cell r="F956" t="str">
            <v>Security &amp; Parking Attendant</v>
          </cell>
          <cell r="G956">
            <v>45992</v>
          </cell>
          <cell r="I956" t="str">
            <v>SB Chunian</v>
          </cell>
          <cell r="J956" t="str">
            <v>03900010154753080013</v>
          </cell>
        </row>
        <row r="957">
          <cell r="B957">
            <v>3230319064303</v>
          </cell>
          <cell r="C957" t="str">
            <v>2nd Tranche</v>
          </cell>
          <cell r="D957">
            <v>952</v>
          </cell>
          <cell r="E957" t="str">
            <v xml:space="preserve">Muhammad Kashif  </v>
          </cell>
          <cell r="F957" t="str">
            <v>Security &amp; Parking Attendant</v>
          </cell>
          <cell r="G957">
            <v>45992</v>
          </cell>
          <cell r="I957" t="str">
            <v>SB Muzaffargarh</v>
          </cell>
          <cell r="J957" t="str">
            <v>02810010154871370010</v>
          </cell>
        </row>
        <row r="958">
          <cell r="B958">
            <v>3540162066761</v>
          </cell>
          <cell r="C958" t="str">
            <v>2nd Tranche</v>
          </cell>
          <cell r="D958">
            <v>953</v>
          </cell>
          <cell r="E958" t="str">
            <v>Waleed Ahmad</v>
          </cell>
          <cell r="F958" t="str">
            <v>Security &amp; Parking Attendant</v>
          </cell>
          <cell r="G958">
            <v>45992</v>
          </cell>
          <cell r="I958" t="str">
            <v>SB Sharaqpur</v>
          </cell>
          <cell r="J958" t="str">
            <v>05200010154951190016</v>
          </cell>
        </row>
        <row r="959">
          <cell r="B959">
            <v>3520275747717</v>
          </cell>
          <cell r="C959" t="str">
            <v>Salary Stop (PCC) &amp; Salary Stop</v>
          </cell>
          <cell r="D959">
            <v>954</v>
          </cell>
          <cell r="E959" t="str">
            <v>Muhammad Nisar</v>
          </cell>
          <cell r="F959" t="str">
            <v>Security &amp; Parking Attendant</v>
          </cell>
          <cell r="G959">
            <v>45992</v>
          </cell>
          <cell r="I959" t="str">
            <v>STOG Awan Town</v>
          </cell>
          <cell r="J959" t="str">
            <v>09650010155025260019</v>
          </cell>
        </row>
        <row r="960">
          <cell r="B960">
            <v>3510357709281</v>
          </cell>
          <cell r="C960" t="str">
            <v>2nd Tranche</v>
          </cell>
          <cell r="D960">
            <v>955</v>
          </cell>
          <cell r="E960" t="str">
            <v>Muhammad Miraj Khalid</v>
          </cell>
          <cell r="F960" t="str">
            <v>Security &amp; Parking Attendant</v>
          </cell>
          <cell r="G960">
            <v>45992</v>
          </cell>
          <cell r="I960" t="str">
            <v>SB Pattoki</v>
          </cell>
          <cell r="J960" t="str">
            <v>03000010154843450019</v>
          </cell>
        </row>
        <row r="961">
          <cell r="B961">
            <v>3520210346545</v>
          </cell>
          <cell r="C961" t="str">
            <v>2nd Tranche</v>
          </cell>
          <cell r="D961">
            <v>956</v>
          </cell>
          <cell r="E961" t="str">
            <v>Khalid Anwar</v>
          </cell>
          <cell r="F961" t="str">
            <v>Security &amp; Parking Attendant</v>
          </cell>
          <cell r="G961">
            <v>45992</v>
          </cell>
          <cell r="I961" t="str">
            <v>SB Chung</v>
          </cell>
          <cell r="J961" t="str">
            <v>09650010036542290020</v>
          </cell>
        </row>
        <row r="962">
          <cell r="B962">
            <v>3810387508545</v>
          </cell>
          <cell r="C962" t="str">
            <v>2nd Tranche</v>
          </cell>
          <cell r="D962">
            <v>957</v>
          </cell>
          <cell r="E962" t="str">
            <v xml:space="preserve">Anas </v>
          </cell>
          <cell r="F962" t="str">
            <v>Security &amp; Parking Attendant</v>
          </cell>
          <cell r="G962">
            <v>45992</v>
          </cell>
          <cell r="I962" t="str">
            <v>SB Bhakar</v>
          </cell>
          <cell r="J962" t="str">
            <v>05030010155652440017</v>
          </cell>
        </row>
        <row r="963">
          <cell r="B963">
            <v>3650203023417</v>
          </cell>
          <cell r="C963" t="str">
            <v>2nd Tranche</v>
          </cell>
          <cell r="D963">
            <v>958</v>
          </cell>
          <cell r="E963" t="str">
            <v>Hassan Shabbir</v>
          </cell>
          <cell r="F963" t="str">
            <v>Security &amp; Parking Attendant</v>
          </cell>
          <cell r="G963">
            <v>45992</v>
          </cell>
          <cell r="I963" t="str">
            <v>SB Okara</v>
          </cell>
          <cell r="J963" t="str">
            <v>09740010154970280011</v>
          </cell>
        </row>
        <row r="964">
          <cell r="B964">
            <v>3650292329919</v>
          </cell>
          <cell r="C964" t="str">
            <v>2nd Tranche</v>
          </cell>
          <cell r="D964">
            <v>959</v>
          </cell>
          <cell r="E964" t="str">
            <v>Shakeel Masih</v>
          </cell>
          <cell r="F964" t="str">
            <v>Sanitation Attendant</v>
          </cell>
          <cell r="G964">
            <v>45992</v>
          </cell>
          <cell r="I964" t="str">
            <v>SB Okara</v>
          </cell>
          <cell r="J964" t="str">
            <v>53470020155149360016</v>
          </cell>
        </row>
        <row r="965">
          <cell r="B965">
            <v>3540117952615</v>
          </cell>
          <cell r="C965" t="str">
            <v>2nd Tranche</v>
          </cell>
          <cell r="D965">
            <v>960</v>
          </cell>
          <cell r="E965" t="str">
            <v>Muhammad Faisal</v>
          </cell>
          <cell r="F965" t="str">
            <v>Security &amp; Parking Attendant</v>
          </cell>
          <cell r="G965">
            <v>45992</v>
          </cell>
          <cell r="I965" t="str">
            <v>SB Sharaqpur</v>
          </cell>
          <cell r="J965" t="str">
            <v>05200010155986290010</v>
          </cell>
        </row>
        <row r="966">
          <cell r="B966">
            <v>3610314752435</v>
          </cell>
          <cell r="C966" t="str">
            <v>2nd Tranche</v>
          </cell>
          <cell r="D966">
            <v>961</v>
          </cell>
          <cell r="E966" t="str">
            <v>Saniu Azeem</v>
          </cell>
          <cell r="F966" t="str">
            <v>Sanitation Attendant</v>
          </cell>
          <cell r="G966">
            <v>45992</v>
          </cell>
          <cell r="I966" t="str">
            <v>SB Khanewal</v>
          </cell>
          <cell r="J966" t="str">
            <v>01980010156097450015</v>
          </cell>
        </row>
        <row r="967">
          <cell r="B967">
            <v>3610315607435</v>
          </cell>
          <cell r="C967" t="str">
            <v>2nd Tranche</v>
          </cell>
          <cell r="D967">
            <v>962</v>
          </cell>
          <cell r="E967" t="str">
            <v>Hiskeel Azeem</v>
          </cell>
          <cell r="F967" t="str">
            <v>Sanitation Attendant</v>
          </cell>
          <cell r="G967">
            <v>45992</v>
          </cell>
          <cell r="I967" t="str">
            <v>SB Khanewal</v>
          </cell>
          <cell r="J967" t="str">
            <v>01980010156107730011</v>
          </cell>
        </row>
        <row r="968">
          <cell r="B968">
            <v>3840162694509</v>
          </cell>
          <cell r="C968" t="str">
            <v>2nd Tranche</v>
          </cell>
          <cell r="D968">
            <v>963</v>
          </cell>
          <cell r="E968" t="str">
            <v>Muhammad Faisal</v>
          </cell>
          <cell r="F968" t="str">
            <v>Sanitation Attendant</v>
          </cell>
          <cell r="G968">
            <v>45992</v>
          </cell>
          <cell r="I968" t="str">
            <v>SB Bhalwal</v>
          </cell>
          <cell r="J968" t="str">
            <v>00520010155266720013</v>
          </cell>
        </row>
        <row r="969">
          <cell r="B969">
            <v>3840138514391</v>
          </cell>
          <cell r="C969" t="str">
            <v>2nd Tranche</v>
          </cell>
          <cell r="D969">
            <v>964</v>
          </cell>
          <cell r="E969" t="str">
            <v>Hamza</v>
          </cell>
          <cell r="F969" t="str">
            <v>Security &amp; Parking Attendant</v>
          </cell>
          <cell r="G969">
            <v>45992</v>
          </cell>
          <cell r="I969" t="str">
            <v>SB Bhalwal</v>
          </cell>
          <cell r="J969" t="str">
            <v>00520010156176200013</v>
          </cell>
        </row>
        <row r="970">
          <cell r="B970">
            <v>3540114829135</v>
          </cell>
          <cell r="C970" t="str">
            <v>2nd Tranche</v>
          </cell>
          <cell r="D970">
            <v>965</v>
          </cell>
          <cell r="E970" t="str">
            <v>Ahmad Tariq</v>
          </cell>
          <cell r="F970" t="str">
            <v>Security &amp; Parking Attendant</v>
          </cell>
          <cell r="G970">
            <v>45992</v>
          </cell>
          <cell r="I970" t="str">
            <v>SB Mandi Faizabad</v>
          </cell>
          <cell r="J970" t="str">
            <v>05200010155972490019</v>
          </cell>
        </row>
        <row r="971">
          <cell r="B971">
            <v>3510334278033</v>
          </cell>
          <cell r="C971" t="str">
            <v>2nd Tranche</v>
          </cell>
          <cell r="D971">
            <v>966</v>
          </cell>
          <cell r="E971" t="str">
            <v>Akash Masih</v>
          </cell>
          <cell r="F971" t="str">
            <v>Sanitation Attendant</v>
          </cell>
          <cell r="G971">
            <v>45992</v>
          </cell>
          <cell r="I971" t="str">
            <v>SB Pattoki</v>
          </cell>
          <cell r="J971" t="str">
            <v>03000010155960130019</v>
          </cell>
        </row>
        <row r="972">
          <cell r="B972">
            <v>3340105620107</v>
          </cell>
          <cell r="C972" t="str">
            <v>2nd Tranche</v>
          </cell>
          <cell r="D972">
            <v>967</v>
          </cell>
          <cell r="E972" t="str">
            <v>Qaiser Ijaz</v>
          </cell>
          <cell r="F972" t="str">
            <v>Sanitation Attendant</v>
          </cell>
          <cell r="G972">
            <v>45992</v>
          </cell>
          <cell r="I972" t="str">
            <v>SB Chiniot</v>
          </cell>
          <cell r="J972" t="str">
            <v>04990010156073930016</v>
          </cell>
        </row>
        <row r="973">
          <cell r="B973">
            <v>3230457734771</v>
          </cell>
          <cell r="C973" t="str">
            <v>2nd Tranche</v>
          </cell>
          <cell r="D973">
            <v>968</v>
          </cell>
          <cell r="E973" t="str">
            <v>Muzamil Sajjad</v>
          </cell>
          <cell r="F973" t="str">
            <v>Security &amp; Parking Attendant</v>
          </cell>
          <cell r="G973">
            <v>45992</v>
          </cell>
          <cell r="I973" t="str">
            <v>SB Muzaffargarh</v>
          </cell>
          <cell r="J973" t="str">
            <v>02810010156584620011</v>
          </cell>
        </row>
        <row r="974">
          <cell r="B974">
            <v>3230447309347</v>
          </cell>
          <cell r="C974" t="str">
            <v>2nd Tranche</v>
          </cell>
          <cell r="D974">
            <v>969</v>
          </cell>
          <cell r="E974" t="str">
            <v>Ghulam Muhammad Mursaleen</v>
          </cell>
          <cell r="F974" t="str">
            <v>Security &amp; Parking Attendant</v>
          </cell>
          <cell r="G974">
            <v>45992</v>
          </cell>
          <cell r="I974" t="str">
            <v>SB Muzaffargarh</v>
          </cell>
          <cell r="J974" t="str">
            <v>02810010155732160010</v>
          </cell>
        </row>
        <row r="975">
          <cell r="B975">
            <v>3230415554797</v>
          </cell>
          <cell r="C975" t="str">
            <v>2nd Tranche</v>
          </cell>
          <cell r="D975">
            <v>970</v>
          </cell>
          <cell r="E975" t="str">
            <v>Jamil Ur Rehman</v>
          </cell>
          <cell r="F975" t="str">
            <v>Sanitation Attendant</v>
          </cell>
          <cell r="G975">
            <v>45992</v>
          </cell>
          <cell r="I975" t="str">
            <v>SB Muzaffargarh</v>
          </cell>
          <cell r="J975" t="str">
            <v>02810020156526130017</v>
          </cell>
        </row>
        <row r="976">
          <cell r="B976">
            <v>3230405656439</v>
          </cell>
          <cell r="C976" t="str">
            <v>2nd Tranche</v>
          </cell>
          <cell r="D976">
            <v>971</v>
          </cell>
          <cell r="E976" t="str">
            <v>Khalid Hussain</v>
          </cell>
          <cell r="F976" t="str">
            <v>Sanitation Attendant</v>
          </cell>
          <cell r="G976">
            <v>45992</v>
          </cell>
          <cell r="I976" t="str">
            <v>SB Muzaffargarh</v>
          </cell>
          <cell r="J976" t="str">
            <v>02810010156043610015</v>
          </cell>
        </row>
        <row r="977">
          <cell r="B977">
            <v>3520186031745</v>
          </cell>
          <cell r="C977" t="str">
            <v>2nd Tranche</v>
          </cell>
          <cell r="D977">
            <v>972</v>
          </cell>
          <cell r="E977" t="str">
            <v>Adnan Masih</v>
          </cell>
          <cell r="F977" t="str">
            <v>Sanitation Attendant</v>
          </cell>
          <cell r="G977">
            <v>45992</v>
          </cell>
          <cell r="I977" t="str">
            <v>SB Chunian</v>
          </cell>
          <cell r="J977" t="str">
            <v>07740010156428900010</v>
          </cell>
        </row>
        <row r="978">
          <cell r="B978">
            <v>3510155042293</v>
          </cell>
          <cell r="C978" t="str">
            <v>2nd Tranche</v>
          </cell>
          <cell r="D978">
            <v>973</v>
          </cell>
          <cell r="E978" t="str">
            <v>Gulfam Masih</v>
          </cell>
          <cell r="F978" t="str">
            <v>Sanitation Attendant</v>
          </cell>
          <cell r="G978">
            <v>45992</v>
          </cell>
          <cell r="I978" t="str">
            <v>SB Chunian</v>
          </cell>
          <cell r="J978" t="str">
            <v>07740010156651240010</v>
          </cell>
        </row>
        <row r="979">
          <cell r="B979">
            <v>3540201016715</v>
          </cell>
          <cell r="C979" t="str">
            <v>2nd Tranche</v>
          </cell>
          <cell r="D979">
            <v>974</v>
          </cell>
          <cell r="E979" t="str">
            <v>Babar Masih</v>
          </cell>
          <cell r="F979" t="str">
            <v>Sanitation Attendant</v>
          </cell>
          <cell r="G979">
            <v>45994</v>
          </cell>
          <cell r="I979" t="str">
            <v>SB Sharaqpur</v>
          </cell>
          <cell r="J979" t="str">
            <v>05200010156616320015</v>
          </cell>
        </row>
        <row r="980">
          <cell r="B980">
            <v>3510323174117</v>
          </cell>
          <cell r="C980" t="str">
            <v>2nd Tranche</v>
          </cell>
          <cell r="D980">
            <v>975</v>
          </cell>
          <cell r="E980" t="str">
            <v>Dawood Masih</v>
          </cell>
          <cell r="F980" t="str">
            <v>Sanitation Attendant</v>
          </cell>
          <cell r="G980">
            <v>46000</v>
          </cell>
          <cell r="I980" t="str">
            <v>STOG Kotha Pind Faisal Town</v>
          </cell>
          <cell r="J980" t="str">
            <v>06340010156520910013</v>
          </cell>
        </row>
        <row r="981">
          <cell r="B981">
            <v>3340106552259</v>
          </cell>
          <cell r="C981" t="str">
            <v>2nd Tranche</v>
          </cell>
          <cell r="D981">
            <v>976</v>
          </cell>
          <cell r="E981" t="str">
            <v>Kashif Ali</v>
          </cell>
          <cell r="F981" t="str">
            <v>Sanitation Attendant</v>
          </cell>
          <cell r="G981">
            <v>45992</v>
          </cell>
          <cell r="I981" t="str">
            <v>SB Chiniot</v>
          </cell>
          <cell r="J981" t="str">
            <v>04990010155064640010</v>
          </cell>
        </row>
        <row r="982">
          <cell r="B982">
            <v>3540237235133</v>
          </cell>
          <cell r="C982" t="str">
            <v>2nd Tranche</v>
          </cell>
          <cell r="D982">
            <v>977</v>
          </cell>
          <cell r="E982" t="str">
            <v xml:space="preserve">Irfan </v>
          </cell>
          <cell r="F982" t="str">
            <v>Sanitation Attendant</v>
          </cell>
          <cell r="G982">
            <v>45992</v>
          </cell>
          <cell r="I982" t="str">
            <v>SB Sharaqpur</v>
          </cell>
          <cell r="J982" t="str">
            <v>05200010156540540016</v>
          </cell>
        </row>
        <row r="983">
          <cell r="B983">
            <v>3640252010287</v>
          </cell>
          <cell r="C983" t="str">
            <v>2nd Tranche</v>
          </cell>
          <cell r="D983">
            <v>978</v>
          </cell>
          <cell r="E983" t="str">
            <v>Rab Nawaz</v>
          </cell>
          <cell r="F983" t="str">
            <v>Sanitation Attendant</v>
          </cell>
          <cell r="G983">
            <v>45996</v>
          </cell>
          <cell r="I983" t="str">
            <v>STOG Kharak Nalla</v>
          </cell>
          <cell r="J983" t="str">
            <v>05380010156423520015</v>
          </cell>
        </row>
        <row r="984">
          <cell r="B984">
            <v>3520240714209</v>
          </cell>
          <cell r="C984" t="str">
            <v>2nd Tranche</v>
          </cell>
          <cell r="D984">
            <v>979</v>
          </cell>
          <cell r="E984" t="str">
            <v xml:space="preserve">Muhammad Javed  </v>
          </cell>
          <cell r="F984" t="str">
            <v>Sanitation Attendant</v>
          </cell>
          <cell r="G984">
            <v>46003</v>
          </cell>
          <cell r="I984" t="str">
            <v>STOG Madr-e-Millat</v>
          </cell>
          <cell r="J984" t="str">
            <v>01530010156441240012</v>
          </cell>
        </row>
        <row r="985">
          <cell r="B985">
            <v>3520215136339</v>
          </cell>
          <cell r="C985" t="str">
            <v>2nd Tranche</v>
          </cell>
          <cell r="D985">
            <v>980</v>
          </cell>
          <cell r="E985" t="str">
            <v>Younas</v>
          </cell>
          <cell r="F985" t="str">
            <v>Sanitation Attendant</v>
          </cell>
          <cell r="G985">
            <v>46007</v>
          </cell>
          <cell r="I985" t="str">
            <v>STOG Valencia</v>
          </cell>
          <cell r="J985" t="str">
            <v>10960010157359180014</v>
          </cell>
        </row>
        <row r="986">
          <cell r="B986">
            <v>3520271842665</v>
          </cell>
          <cell r="C986" t="str">
            <v>2nd Tranche</v>
          </cell>
          <cell r="D986">
            <v>981</v>
          </cell>
          <cell r="E986" t="str">
            <v>Ahsan Khalid</v>
          </cell>
          <cell r="F986" t="str">
            <v>Sanitation Attendant</v>
          </cell>
          <cell r="G986">
            <v>46008</v>
          </cell>
          <cell r="I986" t="str">
            <v>STOG Valencia</v>
          </cell>
          <cell r="J986" t="str">
            <v>01530010157236240010</v>
          </cell>
        </row>
        <row r="987">
          <cell r="B987">
            <v>3520404343891</v>
          </cell>
          <cell r="C987" t="str">
            <v>2nd Tranche</v>
          </cell>
          <cell r="D987">
            <v>982</v>
          </cell>
          <cell r="E987" t="str">
            <v>Chand Masih</v>
          </cell>
          <cell r="F987" t="str">
            <v>Sanitation Attendant</v>
          </cell>
          <cell r="G987">
            <v>46013</v>
          </cell>
          <cell r="I987" t="str">
            <v>STOG Raiwind Road Sundar</v>
          </cell>
          <cell r="J987" t="str">
            <v>03910010157685800017</v>
          </cell>
        </row>
        <row r="988">
          <cell r="B988">
            <v>3840121296433</v>
          </cell>
          <cell r="C988" t="str">
            <v>2nd Tranche</v>
          </cell>
          <cell r="D988">
            <v>983</v>
          </cell>
          <cell r="E988" t="str">
            <v>Nasir Fiaz</v>
          </cell>
          <cell r="F988" t="str">
            <v>Security &amp; Parking Attendant</v>
          </cell>
          <cell r="G988">
            <v>45993</v>
          </cell>
          <cell r="I988" t="str">
            <v>SB Bhalwal</v>
          </cell>
          <cell r="J988" t="str">
            <v>00520010156214950010</v>
          </cell>
        </row>
        <row r="989">
          <cell r="B989">
            <v>3340103723843</v>
          </cell>
          <cell r="C989" t="str">
            <v>2nd Tranche</v>
          </cell>
          <cell r="D989">
            <v>984</v>
          </cell>
          <cell r="E989" t="str">
            <v>Muhammad Sajjad Ali</v>
          </cell>
          <cell r="F989" t="str">
            <v>Security &amp; Parking Attendant</v>
          </cell>
          <cell r="G989">
            <v>45994</v>
          </cell>
          <cell r="I989" t="str">
            <v>SB Chiniot</v>
          </cell>
          <cell r="J989" t="str">
            <v>04990010156653820018</v>
          </cell>
        </row>
        <row r="990">
          <cell r="B990">
            <v>3520403908779</v>
          </cell>
          <cell r="C990" t="str">
            <v>2nd Tranche</v>
          </cell>
          <cell r="D990">
            <v>985</v>
          </cell>
          <cell r="E990" t="str">
            <v>Mubashar Ali</v>
          </cell>
          <cell r="F990" t="str">
            <v>Security &amp; Parking Attendant</v>
          </cell>
          <cell r="G990">
            <v>45999</v>
          </cell>
          <cell r="I990" t="str">
            <v>STOG Shadman</v>
          </cell>
          <cell r="J990" t="str">
            <v>09650010157049310018</v>
          </cell>
        </row>
        <row r="991">
          <cell r="B991">
            <v>3340107426098</v>
          </cell>
          <cell r="C991" t="str">
            <v>2nd Tranche</v>
          </cell>
          <cell r="D991">
            <v>986</v>
          </cell>
          <cell r="E991" t="str">
            <v>Taqweem Zahra</v>
          </cell>
          <cell r="F991" t="str">
            <v>Security &amp; Parking Attendant</v>
          </cell>
          <cell r="G991">
            <v>46000</v>
          </cell>
          <cell r="I991" t="str">
            <v>SB Chiniot</v>
          </cell>
          <cell r="J991" t="str">
            <v>04990010156438760018</v>
          </cell>
        </row>
        <row r="992">
          <cell r="B992">
            <v>3840703450161</v>
          </cell>
          <cell r="C992" t="str">
            <v>2nd Tranche</v>
          </cell>
          <cell r="D992">
            <v>987</v>
          </cell>
          <cell r="E992" t="str">
            <v>Faizan ul Haq</v>
          </cell>
          <cell r="F992" t="str">
            <v>Security &amp; Parking Attendant</v>
          </cell>
          <cell r="G992">
            <v>46000</v>
          </cell>
          <cell r="I992" t="str">
            <v>SB Mandi Bahau-Din</v>
          </cell>
          <cell r="J992" t="str">
            <v>06150010156280140018</v>
          </cell>
        </row>
        <row r="993">
          <cell r="B993">
            <v>3530171140923</v>
          </cell>
          <cell r="C993" t="str">
            <v>2nd Tranche</v>
          </cell>
          <cell r="D993">
            <v>988</v>
          </cell>
          <cell r="E993" t="str">
            <v>Ubaidullah</v>
          </cell>
          <cell r="F993" t="str">
            <v>Security &amp; Parking Attendant</v>
          </cell>
          <cell r="G993">
            <v>46000</v>
          </cell>
          <cell r="I993" t="str">
            <v>SB Muzaffargarh</v>
          </cell>
          <cell r="J993" t="str">
            <v>02880010150327120010</v>
          </cell>
        </row>
        <row r="994">
          <cell r="B994">
            <v>3840703391007</v>
          </cell>
          <cell r="C994" t="str">
            <v>2nd Tranche</v>
          </cell>
          <cell r="D994">
            <v>989</v>
          </cell>
          <cell r="E994" t="str">
            <v>Hafiz Muhammad Mohsin Mehboob</v>
          </cell>
          <cell r="F994" t="str">
            <v>Security &amp; Parking Attendant</v>
          </cell>
          <cell r="G994">
            <v>46001</v>
          </cell>
          <cell r="I994" t="str">
            <v>SB Mandi Bahau-Din</v>
          </cell>
          <cell r="J994" t="str">
            <v>06150010156127570019</v>
          </cell>
        </row>
        <row r="995">
          <cell r="B995">
            <v>3840181673279</v>
          </cell>
          <cell r="C995" t="str">
            <v>2nd Tranche</v>
          </cell>
          <cell r="D995">
            <v>990</v>
          </cell>
          <cell r="E995" t="str">
            <v>Muhammad Javed Ashraf</v>
          </cell>
          <cell r="F995" t="str">
            <v>Security &amp; Parking Attendant</v>
          </cell>
          <cell r="G995">
            <v>46001</v>
          </cell>
          <cell r="I995" t="str">
            <v>SB Mandi Bahau-Din</v>
          </cell>
          <cell r="J995" t="str">
            <v>06150010156143280018</v>
          </cell>
        </row>
        <row r="996">
          <cell r="B996">
            <v>3840198446017</v>
          </cell>
          <cell r="C996" t="str">
            <v>2nd Tranche</v>
          </cell>
          <cell r="D996">
            <v>991</v>
          </cell>
          <cell r="E996" t="str">
            <v>Muhammad Zohaib</v>
          </cell>
          <cell r="F996" t="str">
            <v>Security &amp; Parking Attendant</v>
          </cell>
          <cell r="G996">
            <v>46001</v>
          </cell>
          <cell r="I996" t="str">
            <v>SB Mandi Bahau-Din</v>
          </cell>
          <cell r="J996" t="str">
            <v>06150010156160140011</v>
          </cell>
        </row>
        <row r="997">
          <cell r="B997">
            <v>3510178901025</v>
          </cell>
          <cell r="C997" t="str">
            <v>2nd Tranche</v>
          </cell>
          <cell r="D997">
            <v>992</v>
          </cell>
          <cell r="E997" t="str">
            <v>Allah Ditta</v>
          </cell>
          <cell r="F997" t="str">
            <v>Security &amp; Parking Attendant</v>
          </cell>
          <cell r="G997">
            <v>46002</v>
          </cell>
          <cell r="I997" t="str">
            <v>SB Chunian</v>
          </cell>
          <cell r="J997" t="str">
            <v>07740010156503400018</v>
          </cell>
        </row>
        <row r="998">
          <cell r="B998">
            <v>3610340552531</v>
          </cell>
          <cell r="C998" t="str">
            <v>2nd Tranche</v>
          </cell>
          <cell r="D998">
            <v>993</v>
          </cell>
          <cell r="E998" t="str">
            <v>Muhammad Ansar</v>
          </cell>
          <cell r="F998" t="str">
            <v>Security &amp; Parking Attendant</v>
          </cell>
          <cell r="G998">
            <v>46002</v>
          </cell>
          <cell r="I998" t="str">
            <v>SB Khanewal</v>
          </cell>
          <cell r="J998" t="str">
            <v>09040010149292080020</v>
          </cell>
        </row>
        <row r="999">
          <cell r="B999">
            <v>3610314013819</v>
          </cell>
          <cell r="C999" t="str">
            <v>2nd Tranche</v>
          </cell>
          <cell r="D999">
            <v>994</v>
          </cell>
          <cell r="E999" t="str">
            <v>Khawar Abbas</v>
          </cell>
          <cell r="F999" t="str">
            <v>Security &amp; Parking Attendant</v>
          </cell>
          <cell r="G999">
            <v>46002</v>
          </cell>
          <cell r="I999" t="str">
            <v>SB Khanewal</v>
          </cell>
          <cell r="J999" t="str">
            <v>09040010156660230015</v>
          </cell>
        </row>
        <row r="1000">
          <cell r="B1000">
            <v>3520245348993</v>
          </cell>
          <cell r="C1000" t="str">
            <v>2nd Tranche</v>
          </cell>
          <cell r="D1000">
            <v>995</v>
          </cell>
          <cell r="E1000" t="str">
            <v>Muneeb ur Rehman</v>
          </cell>
          <cell r="F1000" t="str">
            <v>Security &amp; Parking Attendant</v>
          </cell>
          <cell r="G1000">
            <v>46009</v>
          </cell>
          <cell r="I1000" t="str">
            <v>STOG Kotha Pind Faisal Town</v>
          </cell>
          <cell r="J1000" t="str">
            <v>07170010157012110016</v>
          </cell>
        </row>
        <row r="1001">
          <cell r="B1001">
            <v>3660312314999</v>
          </cell>
          <cell r="C1001" t="str">
            <v>2nd Tranche</v>
          </cell>
          <cell r="D1001">
            <v>996</v>
          </cell>
          <cell r="E1001" t="str">
            <v>Talha Hassan</v>
          </cell>
          <cell r="F1001" t="str">
            <v>Security &amp; Parking Attendant</v>
          </cell>
          <cell r="G1001">
            <v>46010</v>
          </cell>
          <cell r="I1001" t="str">
            <v>STOG Gulshan-e-Ravi</v>
          </cell>
          <cell r="J1001" t="str">
            <v>07670010156979500015</v>
          </cell>
        </row>
        <row r="1002">
          <cell r="B1002">
            <v>3520216880443</v>
          </cell>
          <cell r="C1002" t="str">
            <v>2nd Tranche</v>
          </cell>
          <cell r="D1002">
            <v>997</v>
          </cell>
          <cell r="E1002" t="str">
            <v>Naeem Abbas</v>
          </cell>
          <cell r="F1002" t="str">
            <v>Security &amp; Parking Attendant</v>
          </cell>
          <cell r="G1002">
            <v>46010</v>
          </cell>
          <cell r="I1002" t="str">
            <v>STOG Kharak Nalla</v>
          </cell>
          <cell r="J1002" t="str">
            <v>05380010157315930010</v>
          </cell>
        </row>
        <row r="1003">
          <cell r="B1003">
            <v>3810119123307</v>
          </cell>
          <cell r="C1003" t="str">
            <v>2nd Tranche</v>
          </cell>
          <cell r="D1003">
            <v>998</v>
          </cell>
          <cell r="E1003" t="str">
            <v>Irfan Abbas</v>
          </cell>
          <cell r="F1003" t="str">
            <v>Security &amp; Parking Attendant</v>
          </cell>
          <cell r="G1003">
            <v>46010</v>
          </cell>
          <cell r="I1003" t="str">
            <v>STOG Kotha Pind Faisal Town</v>
          </cell>
          <cell r="J1003" t="str">
            <v>07170010157162600011</v>
          </cell>
        </row>
        <row r="1004">
          <cell r="B1004">
            <v>3550105504081</v>
          </cell>
          <cell r="C1004" t="str">
            <v>2nd Tranche</v>
          </cell>
          <cell r="D1004">
            <v>999</v>
          </cell>
          <cell r="E1004" t="str">
            <v>Muhammad Irfan</v>
          </cell>
          <cell r="F1004" t="str">
            <v>Security &amp; Parking Attendant</v>
          </cell>
          <cell r="G1004">
            <v>46010</v>
          </cell>
          <cell r="I1004" t="str">
            <v>STOG Madina Market Township</v>
          </cell>
          <cell r="J1004" t="str">
            <v>08760010091853350018</v>
          </cell>
        </row>
        <row r="1005">
          <cell r="B1005">
            <v>3530219452845</v>
          </cell>
          <cell r="C1005" t="str">
            <v>2nd Tranche</v>
          </cell>
          <cell r="D1005">
            <v>1000</v>
          </cell>
          <cell r="E1005" t="str">
            <v>Muhammad Ashfaq</v>
          </cell>
          <cell r="F1005" t="str">
            <v>Security &amp; Parking Attendant</v>
          </cell>
          <cell r="G1005">
            <v>46011</v>
          </cell>
          <cell r="I1005" t="str">
            <v>STOG Kharak Nalla</v>
          </cell>
          <cell r="J1005" t="str">
            <v>05300010157084580017</v>
          </cell>
        </row>
        <row r="1006">
          <cell r="B1006">
            <v>3520241658501</v>
          </cell>
          <cell r="C1006" t="str">
            <v>2nd Tranche</v>
          </cell>
          <cell r="D1006">
            <v>1001</v>
          </cell>
          <cell r="E1006" t="str">
            <v>Hussnain Raza</v>
          </cell>
          <cell r="F1006" t="str">
            <v>Security &amp; Parking Attendant</v>
          </cell>
          <cell r="G1006">
            <v>46012</v>
          </cell>
          <cell r="I1006" t="str">
            <v>STOG Raiwind Road Sundar</v>
          </cell>
          <cell r="J1006" t="str">
            <v>03910010114105650019</v>
          </cell>
        </row>
        <row r="1007">
          <cell r="B1007">
            <v>3520285130515</v>
          </cell>
          <cell r="C1007" t="str">
            <v>2nd Tranche</v>
          </cell>
          <cell r="D1007">
            <v>1002</v>
          </cell>
          <cell r="E1007" t="str">
            <v>Muhammad Akmal</v>
          </cell>
          <cell r="F1007" t="str">
            <v>Security &amp; Parking Attendant</v>
          </cell>
          <cell r="G1007">
            <v>46013</v>
          </cell>
          <cell r="I1007" t="str">
            <v>STOG Raiwind Road Sundar</v>
          </cell>
          <cell r="J1007" t="str">
            <v>03910010157529540014</v>
          </cell>
        </row>
        <row r="1008">
          <cell r="B1008">
            <v>3510274006037</v>
          </cell>
          <cell r="C1008" t="str">
            <v>2nd Tranche</v>
          </cell>
          <cell r="D1008">
            <v>1003</v>
          </cell>
          <cell r="E1008" t="str">
            <v>Asif Ali</v>
          </cell>
          <cell r="F1008" t="str">
            <v>Security &amp; Parking Attendant</v>
          </cell>
          <cell r="G1008">
            <v>46015</v>
          </cell>
          <cell r="I1008" t="str">
            <v>STOG Kharak Nalla</v>
          </cell>
          <cell r="J1008" t="str">
            <v>05380010157276160019</v>
          </cell>
        </row>
        <row r="1009">
          <cell r="B1009">
            <v>3410178323553</v>
          </cell>
          <cell r="C1009" t="str">
            <v>2nd Tranche</v>
          </cell>
          <cell r="D1009">
            <v>1004</v>
          </cell>
          <cell r="E1009" t="str">
            <v>Abaid Ullah</v>
          </cell>
          <cell r="F1009" t="str">
            <v>Security &amp; Parking Attendant</v>
          </cell>
          <cell r="G1009">
            <v>46018</v>
          </cell>
          <cell r="I1009" t="str">
            <v>SB Gujranwala</v>
          </cell>
          <cell r="J1009" t="str">
            <v>01730010157484680010</v>
          </cell>
        </row>
        <row r="1010">
          <cell r="B1010">
            <v>3820113352075</v>
          </cell>
          <cell r="C1010" t="str">
            <v>2nd Tranche</v>
          </cell>
          <cell r="D1010">
            <v>1005</v>
          </cell>
          <cell r="E1010" t="str">
            <v>Hafiz Muhammad Ikram</v>
          </cell>
          <cell r="F1010" t="str">
            <v>Security &amp; Parking Attendant</v>
          </cell>
          <cell r="G1010">
            <v>46022</v>
          </cell>
          <cell r="I1010" t="str">
            <v>SB Sargodha</v>
          </cell>
          <cell r="J1010" t="str">
            <v>03660010129867270018</v>
          </cell>
        </row>
        <row r="1011">
          <cell r="B1011">
            <v>3530352203181</v>
          </cell>
          <cell r="C1011" t="str">
            <v>2nd Tranche</v>
          </cell>
          <cell r="D1011">
            <v>1006</v>
          </cell>
          <cell r="E1011" t="str">
            <v>Asif Raza</v>
          </cell>
          <cell r="F1011" t="str">
            <v>Security &amp; Parking Attendant</v>
          </cell>
          <cell r="G1011">
            <v>45992</v>
          </cell>
          <cell r="I1011" t="str">
            <v>SB Pakpattan</v>
          </cell>
          <cell r="J1011" t="str">
            <v>03000010017884670028</v>
          </cell>
        </row>
        <row r="1012">
          <cell r="B1012">
            <v>3510197015679</v>
          </cell>
          <cell r="C1012" t="str">
            <v>2nd Tranche</v>
          </cell>
          <cell r="D1012">
            <v>1007</v>
          </cell>
          <cell r="E1012" t="str">
            <v>Mohsin Khan</v>
          </cell>
          <cell r="F1012" t="str">
            <v>Security &amp; Parking Attendant</v>
          </cell>
          <cell r="G1012">
            <v>45992</v>
          </cell>
          <cell r="I1012" t="str">
            <v>SB Pattoki</v>
          </cell>
          <cell r="J1012" t="str">
            <v>07740010153917160010</v>
          </cell>
        </row>
        <row r="1013">
          <cell r="B1013">
            <v>3520282145843</v>
          </cell>
          <cell r="C1013" t="str">
            <v>2nd Tranche</v>
          </cell>
          <cell r="D1013">
            <v>1008</v>
          </cell>
          <cell r="E1013" t="str">
            <v>Hassnain Ali</v>
          </cell>
          <cell r="F1013" t="str">
            <v>Security &amp; Parking Attendant</v>
          </cell>
          <cell r="G1013">
            <v>45992</v>
          </cell>
          <cell r="I1013" t="str">
            <v>STOG Manga Mandi</v>
          </cell>
          <cell r="J1013" t="str">
            <v>03910010155323810010</v>
          </cell>
        </row>
        <row r="1014">
          <cell r="B1014">
            <v>3230259655097</v>
          </cell>
          <cell r="C1014" t="str">
            <v>Suspended 08-12-25</v>
          </cell>
          <cell r="D1014">
            <v>1009</v>
          </cell>
          <cell r="E1014" t="str">
            <v>Jameel Ahmad</v>
          </cell>
          <cell r="F1014" t="str">
            <v>Security &amp; Parking Attendant</v>
          </cell>
          <cell r="G1014">
            <v>45992</v>
          </cell>
          <cell r="I1014" t="str">
            <v>SB Muzaffargarh</v>
          </cell>
          <cell r="J1014" t="str">
            <v>02810010154587570010</v>
          </cell>
        </row>
        <row r="1015">
          <cell r="B1015">
            <v>3520216051081</v>
          </cell>
          <cell r="C1015" t="str">
            <v>2nd Tranche</v>
          </cell>
          <cell r="D1015">
            <v>1010</v>
          </cell>
          <cell r="E1015" t="str">
            <v>Muhammad Hassnain</v>
          </cell>
          <cell r="F1015" t="str">
            <v>Security &amp; Parking Attendant</v>
          </cell>
          <cell r="G1015">
            <v>45992</v>
          </cell>
          <cell r="I1015" t="str">
            <v>STOG Awan Town</v>
          </cell>
          <cell r="J1015" t="str">
            <v>05380010155102430017</v>
          </cell>
        </row>
        <row r="1016">
          <cell r="B1016">
            <v>3530274813353</v>
          </cell>
          <cell r="C1016" t="str">
            <v>2nd Tranche</v>
          </cell>
          <cell r="D1016">
            <v>1011</v>
          </cell>
          <cell r="E1016" t="str">
            <v>Hamza Akram</v>
          </cell>
          <cell r="F1016" t="str">
            <v>Sanitation Attendant</v>
          </cell>
          <cell r="G1016">
            <v>45992</v>
          </cell>
          <cell r="I1016" t="str">
            <v>SB Okara</v>
          </cell>
          <cell r="J1016" t="str">
            <v>53470020143978790011</v>
          </cell>
        </row>
        <row r="1017">
          <cell r="B1017">
            <v>3650264350807</v>
          </cell>
          <cell r="C1017" t="str">
            <v>2nd Tranche</v>
          </cell>
          <cell r="D1017">
            <v>1012</v>
          </cell>
          <cell r="E1017" t="str">
            <v>Daleep Sharif</v>
          </cell>
          <cell r="F1017" t="str">
            <v>Sanitation Attendant</v>
          </cell>
          <cell r="G1017">
            <v>45992</v>
          </cell>
          <cell r="I1017" t="str">
            <v>SB Okara</v>
          </cell>
          <cell r="J1017" t="str">
            <v>07310010064993930013</v>
          </cell>
        </row>
        <row r="1018">
          <cell r="B1018">
            <v>3610359694617</v>
          </cell>
          <cell r="C1018" t="str">
            <v>2nd Tranche</v>
          </cell>
          <cell r="D1018">
            <v>1013</v>
          </cell>
          <cell r="E1018" t="str">
            <v>Wishu Asghar</v>
          </cell>
          <cell r="F1018" t="str">
            <v>Sanitation Attendant</v>
          </cell>
          <cell r="G1018">
            <v>45992</v>
          </cell>
          <cell r="I1018" t="str">
            <v>SB Khanewal</v>
          </cell>
          <cell r="J1018" t="str">
            <v>01980010156108760013</v>
          </cell>
        </row>
        <row r="1019">
          <cell r="B1019">
            <v>3630284102153</v>
          </cell>
          <cell r="C1019" t="str">
            <v>2nd Tranche</v>
          </cell>
          <cell r="D1019">
            <v>1014</v>
          </cell>
          <cell r="E1019" t="str">
            <v>Asghar Masih</v>
          </cell>
          <cell r="F1019" t="str">
            <v>Sanitation Attendant</v>
          </cell>
          <cell r="G1019">
            <v>45992</v>
          </cell>
          <cell r="I1019" t="str">
            <v>SB Khanewal</v>
          </cell>
          <cell r="J1019" t="str">
            <v>09000010156082180013</v>
          </cell>
        </row>
        <row r="1020">
          <cell r="B1020">
            <v>3410447296649</v>
          </cell>
          <cell r="C1020" t="str">
            <v>2nd Tranche</v>
          </cell>
          <cell r="D1020">
            <v>1015</v>
          </cell>
          <cell r="E1020" t="str">
            <v>Abe Hail Jamshed</v>
          </cell>
          <cell r="F1020" t="str">
            <v>Sanitation Attendant</v>
          </cell>
          <cell r="G1020">
            <v>45992</v>
          </cell>
          <cell r="I1020" t="str">
            <v>SB Wazirabad</v>
          </cell>
          <cell r="J1020" t="str">
            <v>05650010156428100019</v>
          </cell>
        </row>
        <row r="1021">
          <cell r="B1021">
            <v>3410411609451</v>
          </cell>
          <cell r="C1021" t="str">
            <v>2nd Tranche</v>
          </cell>
          <cell r="D1021">
            <v>1016</v>
          </cell>
          <cell r="E1021" t="str">
            <v>Mufasar Masih</v>
          </cell>
          <cell r="F1021" t="str">
            <v>Sanitation Attendant</v>
          </cell>
          <cell r="G1021">
            <v>45992</v>
          </cell>
          <cell r="I1021" t="str">
            <v>SB Wazirabad</v>
          </cell>
          <cell r="J1021" t="str">
            <v>05650010156354050018</v>
          </cell>
        </row>
        <row r="1022">
          <cell r="B1022">
            <v>3410421722939</v>
          </cell>
          <cell r="C1022" t="str">
            <v>2nd Tranche</v>
          </cell>
          <cell r="D1022">
            <v>1017</v>
          </cell>
          <cell r="E1022" t="str">
            <v>Rizwan Masih</v>
          </cell>
          <cell r="F1022" t="str">
            <v>Sanitation Attendant</v>
          </cell>
          <cell r="G1022">
            <v>45992</v>
          </cell>
          <cell r="I1022" t="str">
            <v>SB Wazirabad</v>
          </cell>
          <cell r="J1022" t="str">
            <v>05650010156354150010</v>
          </cell>
        </row>
        <row r="1023">
          <cell r="B1023">
            <v>3520280098527</v>
          </cell>
          <cell r="C1023" t="str">
            <v>Salary Stop (PCC) and Suspended 20-02-26</v>
          </cell>
          <cell r="D1023">
            <v>1018</v>
          </cell>
          <cell r="E1023" t="str">
            <v>Kashif Nazir</v>
          </cell>
          <cell r="F1023" t="str">
            <v>Sanitation Attendant</v>
          </cell>
          <cell r="G1023">
            <v>45992</v>
          </cell>
          <cell r="I1023" t="str">
            <v>STOG Kharak Nalla</v>
          </cell>
          <cell r="J1023" t="str">
            <v>05380010156230350011</v>
          </cell>
        </row>
        <row r="1024">
          <cell r="B1024">
            <v>3540118408897</v>
          </cell>
          <cell r="C1024" t="str">
            <v>2nd Tranche</v>
          </cell>
          <cell r="D1024">
            <v>1019</v>
          </cell>
          <cell r="E1024" t="str">
            <v>Babar Masih</v>
          </cell>
          <cell r="F1024" t="str">
            <v>Sanitation Attendant</v>
          </cell>
          <cell r="G1024">
            <v>45992</v>
          </cell>
          <cell r="I1024" t="str">
            <v>STOG Shadman</v>
          </cell>
          <cell r="J1024" t="str">
            <v>02270010156273670014</v>
          </cell>
        </row>
        <row r="1025">
          <cell r="B1025">
            <v>3540136708413</v>
          </cell>
          <cell r="C1025" t="str">
            <v>2nd Tranche</v>
          </cell>
          <cell r="D1025">
            <v>1020</v>
          </cell>
          <cell r="E1025" t="str">
            <v>Shahzada Masih</v>
          </cell>
          <cell r="F1025" t="str">
            <v>Sanitation Attendant</v>
          </cell>
          <cell r="G1025">
            <v>45992</v>
          </cell>
          <cell r="I1025" t="str">
            <v>STOG Shadman</v>
          </cell>
          <cell r="J1025" t="str">
            <v>02270010156232850014</v>
          </cell>
        </row>
        <row r="1026">
          <cell r="B1026">
            <v>3520251292149</v>
          </cell>
          <cell r="C1026" t="str">
            <v>Salary Stop (HR) Resigned 16-05-26</v>
          </cell>
          <cell r="D1026">
            <v>1021</v>
          </cell>
          <cell r="E1026" t="str">
            <v>Sameer Shafqat</v>
          </cell>
          <cell r="F1026" t="str">
            <v>Sanitation Attendant</v>
          </cell>
          <cell r="G1026">
            <v>45994</v>
          </cell>
          <cell r="I1026" t="str">
            <v>STOG Kharak Nalla</v>
          </cell>
          <cell r="J1026" t="str">
            <v>05380010156226680016</v>
          </cell>
        </row>
        <row r="1027">
          <cell r="B1027">
            <v>3520215820749</v>
          </cell>
          <cell r="C1027" t="str">
            <v>2nd Tranche</v>
          </cell>
          <cell r="D1027">
            <v>1022</v>
          </cell>
          <cell r="E1027" t="str">
            <v>Amir Masih</v>
          </cell>
          <cell r="F1027" t="str">
            <v>Sanitation Attendant</v>
          </cell>
          <cell r="G1027">
            <v>45995</v>
          </cell>
          <cell r="I1027" t="str">
            <v>STOG Awan Town</v>
          </cell>
          <cell r="J1027" t="str">
            <v>02880010156170000010</v>
          </cell>
        </row>
        <row r="1028">
          <cell r="B1028">
            <v>3520219860083</v>
          </cell>
          <cell r="C1028" t="str">
            <v>2nd Tranche</v>
          </cell>
          <cell r="D1028">
            <v>1023</v>
          </cell>
          <cell r="E1028" t="str">
            <v>Shahroz Masih</v>
          </cell>
          <cell r="F1028" t="str">
            <v>Sanitation Attendant</v>
          </cell>
          <cell r="G1028">
            <v>46000</v>
          </cell>
          <cell r="I1028" t="str">
            <v>STOG Kotha Pind Faisal Town</v>
          </cell>
          <cell r="J1028" t="str">
            <v>12630010156658820010</v>
          </cell>
        </row>
        <row r="1029">
          <cell r="B1029">
            <v>3520232184803</v>
          </cell>
          <cell r="C1029" t="str">
            <v>2nd Tranche</v>
          </cell>
          <cell r="D1029">
            <v>1024</v>
          </cell>
          <cell r="E1029" t="str">
            <v>Shahroz</v>
          </cell>
          <cell r="F1029" t="str">
            <v>Sanitation Attendant</v>
          </cell>
          <cell r="G1029">
            <v>46001</v>
          </cell>
          <cell r="I1029" t="str">
            <v>STOG Gulshan-e-Ravi</v>
          </cell>
          <cell r="J1029" t="str">
            <v>07690010156539150017</v>
          </cell>
        </row>
        <row r="1030">
          <cell r="B1030">
            <v>3520177237209</v>
          </cell>
          <cell r="C1030" t="str">
            <v>2nd Tranche</v>
          </cell>
          <cell r="D1030">
            <v>1025</v>
          </cell>
          <cell r="E1030" t="str">
            <v>Shehzad Masih</v>
          </cell>
          <cell r="F1030" t="str">
            <v>Sanitation Attendant</v>
          </cell>
          <cell r="G1030">
            <v>46003</v>
          </cell>
          <cell r="I1030" t="str">
            <v>SB Nishter Town</v>
          </cell>
          <cell r="J1030" t="str">
            <v>01530010156442680014</v>
          </cell>
        </row>
        <row r="1031">
          <cell r="B1031">
            <v>3520281863421</v>
          </cell>
          <cell r="C1031" t="str">
            <v>4th Tranche</v>
          </cell>
          <cell r="D1031">
            <v>1026</v>
          </cell>
          <cell r="E1031" t="str">
            <v>Muhammad Kashif Akhtar</v>
          </cell>
          <cell r="F1031" t="str">
            <v>Sanitation Attendant</v>
          </cell>
          <cell r="G1031">
            <v>46001</v>
          </cell>
          <cell r="I1031" t="str">
            <v>STOG Gulshan-e-Ravi</v>
          </cell>
          <cell r="J1031" t="str">
            <v>07690010156542850012</v>
          </cell>
        </row>
        <row r="1032">
          <cell r="B1032">
            <v>3520219308665</v>
          </cell>
          <cell r="C1032" t="str">
            <v>2nd Tranche</v>
          </cell>
          <cell r="D1032">
            <v>1027</v>
          </cell>
          <cell r="E1032" t="str">
            <v>Muhammad Yousaf</v>
          </cell>
          <cell r="F1032" t="str">
            <v>Sanitation Attendant</v>
          </cell>
          <cell r="G1032">
            <v>46003</v>
          </cell>
          <cell r="I1032" t="str">
            <v>STOG Madr-e-Millat</v>
          </cell>
          <cell r="J1032" t="str">
            <v>01530010156442980012</v>
          </cell>
        </row>
        <row r="1033">
          <cell r="B1033">
            <v>3520255150823</v>
          </cell>
          <cell r="C1033" t="str">
            <v>2nd Tranche</v>
          </cell>
          <cell r="D1033">
            <v>1028</v>
          </cell>
          <cell r="E1033" t="str">
            <v>Adeel Masih</v>
          </cell>
          <cell r="F1033" t="str">
            <v>Sanitation Attendant</v>
          </cell>
          <cell r="G1033">
            <v>46014</v>
          </cell>
          <cell r="I1033" t="str">
            <v>STOG Awan Town</v>
          </cell>
          <cell r="J1033" t="str">
            <v>05380010158101310012</v>
          </cell>
        </row>
        <row r="1034">
          <cell r="B1034">
            <v>3640270305807</v>
          </cell>
          <cell r="C1034" t="str">
            <v>2nd Tranche</v>
          </cell>
          <cell r="D1034">
            <v>1029</v>
          </cell>
          <cell r="E1034" t="str">
            <v>Shafqat Ali</v>
          </cell>
          <cell r="F1034" t="str">
            <v>Sanitation Attendant</v>
          </cell>
          <cell r="G1034">
            <v>46015</v>
          </cell>
          <cell r="I1034" t="str">
            <v>SB Pakpattan</v>
          </cell>
          <cell r="J1034" t="str">
            <v>02980010157370900019</v>
          </cell>
        </row>
        <row r="1035">
          <cell r="B1035">
            <v>3550110251609</v>
          </cell>
          <cell r="C1035" t="str">
            <v>2nd Tranche</v>
          </cell>
          <cell r="D1035">
            <v>1030</v>
          </cell>
          <cell r="E1035" t="str">
            <v>Adnan Ali</v>
          </cell>
          <cell r="F1035" t="str">
            <v>Sanitation Attendant</v>
          </cell>
          <cell r="G1035">
            <v>46017</v>
          </cell>
          <cell r="I1035" t="str">
            <v>SB Sharaqpur</v>
          </cell>
          <cell r="J1035" t="str">
            <v>05200010159176280017</v>
          </cell>
        </row>
        <row r="1036">
          <cell r="B1036">
            <v>3660108324201</v>
          </cell>
          <cell r="C1036" t="str">
            <v>2nd Tranche</v>
          </cell>
          <cell r="D1036">
            <v>1031</v>
          </cell>
          <cell r="E1036" t="str">
            <v>Muhammad Zaim</v>
          </cell>
          <cell r="F1036" t="str">
            <v>Security &amp; Parking Attendant</v>
          </cell>
          <cell r="G1036">
            <v>45996</v>
          </cell>
          <cell r="I1036" t="str">
            <v>SB Burewala</v>
          </cell>
          <cell r="J1036" t="str">
            <v>06120010157497830011</v>
          </cell>
        </row>
        <row r="1037">
          <cell r="B1037">
            <v>3620263510365</v>
          </cell>
          <cell r="C1037" t="str">
            <v>2nd Tranche</v>
          </cell>
          <cell r="D1037">
            <v>1032</v>
          </cell>
          <cell r="E1037" t="str">
            <v>Samar Abbas</v>
          </cell>
          <cell r="F1037" t="str">
            <v>Security &amp; Parking Attendant</v>
          </cell>
          <cell r="G1037">
            <v>45997</v>
          </cell>
          <cell r="I1037" t="str">
            <v>SB Jallalpur Pirwala</v>
          </cell>
          <cell r="J1037" t="str">
            <v>09310010092926940018</v>
          </cell>
        </row>
        <row r="1038">
          <cell r="B1038">
            <v>3520403600711</v>
          </cell>
          <cell r="C1038" t="str">
            <v>2nd Tranche</v>
          </cell>
          <cell r="D1038">
            <v>1033</v>
          </cell>
          <cell r="E1038" t="str">
            <v>Sufiyan Yousaf</v>
          </cell>
          <cell r="F1038" t="str">
            <v>Security &amp; Parking Attendant</v>
          </cell>
          <cell r="G1038">
            <v>46000</v>
          </cell>
          <cell r="I1038" t="str">
            <v>STOG Shadman</v>
          </cell>
          <cell r="J1038" t="str">
            <v>09650010156835060015</v>
          </cell>
        </row>
        <row r="1039">
          <cell r="B1039">
            <v>3640148239601</v>
          </cell>
          <cell r="C1039" t="str">
            <v>2nd Tranche</v>
          </cell>
          <cell r="D1039">
            <v>1034</v>
          </cell>
          <cell r="E1039" t="str">
            <v>Muhammad Kaleem</v>
          </cell>
          <cell r="F1039" t="str">
            <v>Security &amp; Parking Attendant</v>
          </cell>
          <cell r="G1039">
            <v>46006</v>
          </cell>
          <cell r="I1039" t="str">
            <v>SB Arifwala</v>
          </cell>
          <cell r="J1039" t="str">
            <v>16130010157857490012</v>
          </cell>
        </row>
        <row r="1040">
          <cell r="B1040">
            <v>3320313417507</v>
          </cell>
          <cell r="C1040" t="str">
            <v>2nd Tranche</v>
          </cell>
          <cell r="D1040">
            <v>1035</v>
          </cell>
          <cell r="E1040" t="str">
            <v>Shan Haider</v>
          </cell>
          <cell r="F1040" t="str">
            <v>Security &amp; Parking Attendant</v>
          </cell>
          <cell r="G1040">
            <v>46009</v>
          </cell>
          <cell r="I1040" t="str">
            <v>SB Wahdat Colony</v>
          </cell>
          <cell r="J1040" t="str">
            <v>09530010158984120015</v>
          </cell>
        </row>
        <row r="1041">
          <cell r="B1041">
            <v>3520245454443</v>
          </cell>
          <cell r="C1041" t="str">
            <v>2nd Tranche</v>
          </cell>
          <cell r="D1041">
            <v>1036</v>
          </cell>
          <cell r="E1041" t="str">
            <v>Abu Rehan</v>
          </cell>
          <cell r="F1041" t="str">
            <v>Security &amp; Parking Attendant</v>
          </cell>
          <cell r="G1041">
            <v>46009</v>
          </cell>
          <cell r="I1041" t="str">
            <v>STOG Madina Market Township</v>
          </cell>
          <cell r="J1041" t="str">
            <v>14180010157045520014</v>
          </cell>
        </row>
        <row r="1042">
          <cell r="B1042">
            <v>3640154756021</v>
          </cell>
          <cell r="C1042" t="str">
            <v>2nd Tranche</v>
          </cell>
          <cell r="D1042">
            <v>1037</v>
          </cell>
          <cell r="E1042" t="str">
            <v>Syed Ali Mohsin Naqvi</v>
          </cell>
          <cell r="F1042" t="str">
            <v>Security &amp; Parking Attendant</v>
          </cell>
          <cell r="G1042">
            <v>46010</v>
          </cell>
          <cell r="I1042" t="str">
            <v>STOG Madina Market Township</v>
          </cell>
          <cell r="J1042" t="str">
            <v>51450020157081930019</v>
          </cell>
        </row>
        <row r="1043">
          <cell r="B1043">
            <v>3540259119341</v>
          </cell>
          <cell r="C1043" t="str">
            <v>2nd Tranche</v>
          </cell>
          <cell r="D1043">
            <v>1038</v>
          </cell>
          <cell r="E1043" t="str">
            <v>Fida Hussain</v>
          </cell>
          <cell r="F1043" t="str">
            <v>Security &amp; Parking Attendant</v>
          </cell>
          <cell r="G1043">
            <v>46010</v>
          </cell>
          <cell r="I1043" t="str">
            <v>STOG Madr-e-Millat</v>
          </cell>
          <cell r="J1043" t="str">
            <v>07030010157451770015</v>
          </cell>
        </row>
        <row r="1044">
          <cell r="B1044">
            <v>3520154868607</v>
          </cell>
          <cell r="C1044" t="str">
            <v>2nd Tranche</v>
          </cell>
          <cell r="D1044">
            <v>1039</v>
          </cell>
          <cell r="E1044" t="str">
            <v>Zain Ali</v>
          </cell>
          <cell r="F1044" t="str">
            <v>Security &amp; Parking Attendant</v>
          </cell>
          <cell r="G1044">
            <v>46010</v>
          </cell>
          <cell r="I1044" t="str">
            <v>STOG Shahdran</v>
          </cell>
          <cell r="J1044" t="str">
            <v>05150010157145070016</v>
          </cell>
        </row>
        <row r="1045">
          <cell r="B1045">
            <v>3230317135421</v>
          </cell>
          <cell r="C1045" t="str">
            <v>2nd Tranche</v>
          </cell>
          <cell r="D1045">
            <v>1040</v>
          </cell>
          <cell r="E1045" t="str">
            <v>Muhammad Rizwan</v>
          </cell>
          <cell r="F1045" t="str">
            <v>Security &amp; Parking Attendant</v>
          </cell>
          <cell r="G1045">
            <v>46010</v>
          </cell>
          <cell r="I1045" t="str">
            <v>STOG Shahdran</v>
          </cell>
          <cell r="J1045" t="str">
            <v>14420010156705820016</v>
          </cell>
        </row>
        <row r="1046">
          <cell r="B1046">
            <v>3230330200691</v>
          </cell>
          <cell r="C1046" t="str">
            <v>2nd Tranche</v>
          </cell>
          <cell r="D1046">
            <v>1041</v>
          </cell>
          <cell r="E1046" t="str">
            <v>Rashid Hussain</v>
          </cell>
          <cell r="F1046" t="str">
            <v>Security &amp; Parking Attendant</v>
          </cell>
          <cell r="G1046">
            <v>46010</v>
          </cell>
          <cell r="I1046" t="str">
            <v>STOG Shahdran</v>
          </cell>
          <cell r="J1046" t="str">
            <v>05150010157004140014</v>
          </cell>
        </row>
        <row r="1047">
          <cell r="B1047">
            <v>3520261384585</v>
          </cell>
          <cell r="C1047" t="str">
            <v>2nd Tranche</v>
          </cell>
          <cell r="D1047">
            <v>1042</v>
          </cell>
          <cell r="E1047" t="str">
            <v>Muhammad Raheem</v>
          </cell>
          <cell r="F1047" t="str">
            <v>Security &amp; Parking Attendant</v>
          </cell>
          <cell r="G1047">
            <v>46011</v>
          </cell>
          <cell r="I1047" t="str">
            <v>STOG Awan Town</v>
          </cell>
          <cell r="J1047" t="str">
            <v>05380010010379960026</v>
          </cell>
        </row>
        <row r="1048">
          <cell r="B1048">
            <v>3410314177363</v>
          </cell>
          <cell r="C1048" t="str">
            <v>3rd Tranche</v>
          </cell>
          <cell r="D1048">
            <v>1043</v>
          </cell>
          <cell r="E1048" t="str">
            <v>Shaharyar Zaidi</v>
          </cell>
          <cell r="F1048" t="str">
            <v>Sahulat Bazaar Incharge</v>
          </cell>
          <cell r="G1048">
            <v>46023</v>
          </cell>
          <cell r="I1048" t="str">
            <v>SB Noshehran Virkan</v>
          </cell>
          <cell r="J1048" t="str">
            <v>02900010140525840013</v>
          </cell>
        </row>
        <row r="1049">
          <cell r="B1049">
            <v>3410411984985</v>
          </cell>
          <cell r="C1049" t="str">
            <v>3rd Tranche</v>
          </cell>
          <cell r="D1049">
            <v>1044</v>
          </cell>
          <cell r="E1049" t="str">
            <v>Akhlaq Ahmad</v>
          </cell>
          <cell r="F1049" t="str">
            <v>Sahulat Bazaar Supervisor</v>
          </cell>
          <cell r="G1049">
            <v>46023</v>
          </cell>
          <cell r="I1049" t="str">
            <v>SB Hafizabad</v>
          </cell>
          <cell r="J1049" t="str">
            <v>08300010080889480010</v>
          </cell>
        </row>
        <row r="1050">
          <cell r="B1050">
            <v>3520186791977</v>
          </cell>
          <cell r="C1050" t="str">
            <v>Salary Stop (HR) (Leaver)</v>
          </cell>
          <cell r="D1050">
            <v>1045</v>
          </cell>
          <cell r="E1050" t="str">
            <v>Moeen Munir</v>
          </cell>
          <cell r="F1050" t="str">
            <v>Record Keeper</v>
          </cell>
          <cell r="G1050">
            <v>45992</v>
          </cell>
          <cell r="I1050" t="str">
            <v>SB Mianwali</v>
          </cell>
          <cell r="J1050" t="str">
            <v>02630010134849260025</v>
          </cell>
        </row>
        <row r="1051">
          <cell r="B1051">
            <v>3410316939639</v>
          </cell>
          <cell r="C1051" t="str">
            <v>Suspended 16-05-26</v>
          </cell>
          <cell r="D1051">
            <v>1046</v>
          </cell>
          <cell r="E1051" t="str">
            <v>Ghulam Abuzar</v>
          </cell>
          <cell r="F1051" t="str">
            <v>Sahulat Bazaar Supervisor</v>
          </cell>
          <cell r="G1051">
            <v>46023</v>
          </cell>
          <cell r="I1051" t="str">
            <v>SB Noshehran Virkan</v>
          </cell>
          <cell r="J1051" t="str">
            <v>51870020146599930014</v>
          </cell>
        </row>
        <row r="1052">
          <cell r="B1052">
            <v>3510171993247</v>
          </cell>
          <cell r="C1052" t="str">
            <v>3rd Tranche</v>
          </cell>
          <cell r="D1052">
            <v>1047</v>
          </cell>
          <cell r="E1052" t="str">
            <v>Sharafat Ali</v>
          </cell>
          <cell r="F1052" t="str">
            <v>Sahulat Bazaar Supervisor</v>
          </cell>
          <cell r="G1052">
            <v>46023</v>
          </cell>
          <cell r="I1052" t="str">
            <v>SB Chunian</v>
          </cell>
          <cell r="J1052" t="str">
            <v>07740010145856440010</v>
          </cell>
        </row>
        <row r="1053">
          <cell r="B1053">
            <v>3650243657851</v>
          </cell>
          <cell r="C1053" t="str">
            <v>3rd Tranche</v>
          </cell>
          <cell r="D1053">
            <v>1048</v>
          </cell>
          <cell r="E1053" t="str">
            <v>Muhammad Mushtaq</v>
          </cell>
          <cell r="F1053" t="str">
            <v>Sahulat Bazaar Supervisor</v>
          </cell>
          <cell r="G1053">
            <v>46023</v>
          </cell>
          <cell r="I1053" t="str">
            <v>SB Okara</v>
          </cell>
          <cell r="J1053" t="str">
            <v>05300010046800920013</v>
          </cell>
        </row>
        <row r="1054">
          <cell r="B1054">
            <v>3510315279885</v>
          </cell>
          <cell r="C1054" t="str">
            <v>3rd Tranche</v>
          </cell>
          <cell r="D1054">
            <v>1049</v>
          </cell>
          <cell r="E1054" t="str">
            <v>Usama Rafique</v>
          </cell>
          <cell r="F1054" t="str">
            <v>Sahulat Bazaar Supervisor</v>
          </cell>
          <cell r="G1054">
            <v>46023</v>
          </cell>
          <cell r="I1054" t="str">
            <v>SB Pattoki</v>
          </cell>
          <cell r="J1054" t="str">
            <v>01530010045472470024</v>
          </cell>
        </row>
        <row r="1055">
          <cell r="B1055">
            <v>3220347571891</v>
          </cell>
          <cell r="C1055" t="str">
            <v>3rd Tranche</v>
          </cell>
          <cell r="D1055">
            <v>1050</v>
          </cell>
          <cell r="E1055" t="str">
            <v>Abrar Hussain Khan</v>
          </cell>
          <cell r="F1055" t="str">
            <v>Sahulat Bazaar Supervisor</v>
          </cell>
          <cell r="G1055">
            <v>46023</v>
          </cell>
          <cell r="I1055" t="str">
            <v>SB Layyah</v>
          </cell>
          <cell r="J1055" t="str">
            <v>51400020099737960014</v>
          </cell>
        </row>
        <row r="1056">
          <cell r="B1056">
            <v>3630259924847</v>
          </cell>
          <cell r="C1056" t="str">
            <v>3rd Tranche</v>
          </cell>
          <cell r="D1056">
            <v>1051</v>
          </cell>
          <cell r="E1056" t="str">
            <v>Amir Sohail</v>
          </cell>
          <cell r="F1056" t="str">
            <v>Record Keeper</v>
          </cell>
          <cell r="G1056">
            <v>45992</v>
          </cell>
          <cell r="I1056" t="str">
            <v>SB Lodhran</v>
          </cell>
          <cell r="J1056" t="str">
            <v>08390010146491740011</v>
          </cell>
        </row>
        <row r="1057">
          <cell r="B1057">
            <v>3510376974029</v>
          </cell>
          <cell r="C1057" t="str">
            <v>3rd Tranche</v>
          </cell>
          <cell r="D1057">
            <v>1052</v>
          </cell>
          <cell r="E1057" t="str">
            <v>Abdul Wakeel</v>
          </cell>
          <cell r="F1057" t="str">
            <v>Record Keeper</v>
          </cell>
          <cell r="G1057">
            <v>45992</v>
          </cell>
          <cell r="I1057" t="str">
            <v>SB Pattoki</v>
          </cell>
          <cell r="J1057" t="str">
            <v>03900010146054890010</v>
          </cell>
        </row>
        <row r="1058">
          <cell r="B1058">
            <v>3510345455245</v>
          </cell>
          <cell r="C1058" t="str">
            <v>3rd Tranche</v>
          </cell>
          <cell r="D1058">
            <v>1053</v>
          </cell>
          <cell r="E1058" t="str">
            <v>Maqsood Ahmed</v>
          </cell>
          <cell r="F1058" t="str">
            <v>Record Keeper</v>
          </cell>
          <cell r="G1058">
            <v>45992</v>
          </cell>
          <cell r="I1058" t="str">
            <v>SB Chunian</v>
          </cell>
          <cell r="J1058" t="str">
            <v>01530010145852280012</v>
          </cell>
        </row>
        <row r="1059">
          <cell r="B1059">
            <v>3510258043995</v>
          </cell>
          <cell r="C1059" t="str">
            <v>3rd Tranche</v>
          </cell>
          <cell r="D1059">
            <v>1054</v>
          </cell>
          <cell r="E1059" t="str">
            <v>Abdul Majid</v>
          </cell>
          <cell r="F1059" t="str">
            <v>Record Keeper</v>
          </cell>
          <cell r="G1059">
            <v>45992</v>
          </cell>
          <cell r="I1059" t="str">
            <v>SB Chunian</v>
          </cell>
          <cell r="J1059" t="str">
            <v>05400010146154470011</v>
          </cell>
        </row>
        <row r="1060">
          <cell r="B1060">
            <v>3520206443345</v>
          </cell>
          <cell r="C1060" t="str">
            <v>3rd Tranche</v>
          </cell>
          <cell r="D1060">
            <v>1055</v>
          </cell>
          <cell r="E1060" t="str">
            <v>Mehsham Nazir</v>
          </cell>
          <cell r="F1060" t="str">
            <v>Record Keeper</v>
          </cell>
          <cell r="G1060">
            <v>45992</v>
          </cell>
          <cell r="I1060" t="str">
            <v>SB Chunian</v>
          </cell>
          <cell r="J1060" t="str">
            <v>07740010147858410019</v>
          </cell>
        </row>
        <row r="1061">
          <cell r="B1061">
            <v>3520261512941</v>
          </cell>
          <cell r="C1061" t="str">
            <v>3rd Tranche</v>
          </cell>
          <cell r="D1061">
            <v>1056</v>
          </cell>
          <cell r="E1061" t="str">
            <v>Muhammad Azhar</v>
          </cell>
          <cell r="F1061" t="str">
            <v>Record Keeper (Look After charge of Incharge)</v>
          </cell>
          <cell r="G1061">
            <v>45992</v>
          </cell>
          <cell r="I1061" t="str">
            <v>STOG Madina Market Township</v>
          </cell>
          <cell r="J1061" t="str">
            <v>02240010058775570027</v>
          </cell>
        </row>
        <row r="1062">
          <cell r="B1062">
            <v>3520186543874</v>
          </cell>
          <cell r="C1062" t="str">
            <v>3rd Tranche</v>
          </cell>
          <cell r="D1062">
            <v>1057</v>
          </cell>
          <cell r="E1062" t="str">
            <v>Laiba Benish</v>
          </cell>
          <cell r="F1062" t="str">
            <v>Record Keeper</v>
          </cell>
          <cell r="G1062">
            <v>45992</v>
          </cell>
          <cell r="I1062" t="str">
            <v>SB Harbanspura</v>
          </cell>
          <cell r="J1062" t="str">
            <v>01260010149396170016</v>
          </cell>
        </row>
        <row r="1063">
          <cell r="B1063">
            <v>3840461215251</v>
          </cell>
          <cell r="C1063" t="str">
            <v>3rd Tranche</v>
          </cell>
          <cell r="D1063">
            <v>1058</v>
          </cell>
          <cell r="E1063" t="str">
            <v>Muhammad Ibraheem</v>
          </cell>
          <cell r="F1063" t="str">
            <v>Record Keeper</v>
          </cell>
          <cell r="G1063">
            <v>45992</v>
          </cell>
          <cell r="I1063" t="str">
            <v>SB Khushab</v>
          </cell>
          <cell r="J1063" t="str">
            <v>08470010149389200010</v>
          </cell>
        </row>
        <row r="1064">
          <cell r="B1064">
            <v>3540361904897</v>
          </cell>
          <cell r="C1064" t="str">
            <v>3rd Tranche</v>
          </cell>
          <cell r="D1064">
            <v>1059</v>
          </cell>
          <cell r="E1064" t="str">
            <v>Muhammad Fahad Haleem</v>
          </cell>
          <cell r="F1064" t="str">
            <v>Record Keeper</v>
          </cell>
          <cell r="G1064">
            <v>45992</v>
          </cell>
          <cell r="I1064" t="str">
            <v>SB Farooqabad</v>
          </cell>
          <cell r="J1064" t="str">
            <v>06200010150529320015</v>
          </cell>
        </row>
        <row r="1065">
          <cell r="B1065">
            <v>3310261546655</v>
          </cell>
          <cell r="C1065" t="str">
            <v>3rd Tranche</v>
          </cell>
          <cell r="D1065">
            <v>1060</v>
          </cell>
          <cell r="E1065" t="str">
            <v>Abu Sufyan</v>
          </cell>
          <cell r="F1065" t="str">
            <v>Record Keeper</v>
          </cell>
          <cell r="G1065">
            <v>45992</v>
          </cell>
          <cell r="I1065" t="str">
            <v>SB Jhang Road (FSD)</v>
          </cell>
          <cell r="J1065" t="str">
            <v>04900010152261990019</v>
          </cell>
        </row>
        <row r="1066">
          <cell r="B1066">
            <v>3310011091185</v>
          </cell>
          <cell r="C1066" t="str">
            <v>3rd Tranche</v>
          </cell>
          <cell r="D1066">
            <v>1061</v>
          </cell>
          <cell r="E1066" t="str">
            <v>Umar Bilal</v>
          </cell>
          <cell r="F1066" t="str">
            <v>Record Keeper</v>
          </cell>
          <cell r="G1066">
            <v>45992</v>
          </cell>
          <cell r="I1066" t="str">
            <v>SB Gujrat</v>
          </cell>
          <cell r="J1066" t="str">
            <v>51870020151182910013</v>
          </cell>
        </row>
        <row r="1067">
          <cell r="B1067">
            <v>3610498611027</v>
          </cell>
          <cell r="C1067" t="str">
            <v>3rd Tranche</v>
          </cell>
          <cell r="D1067">
            <v>1062</v>
          </cell>
          <cell r="E1067" t="str">
            <v>Muhammad Imran</v>
          </cell>
          <cell r="F1067" t="str">
            <v>Sahulat Bazaar Supervisor</v>
          </cell>
          <cell r="G1067">
            <v>46023</v>
          </cell>
          <cell r="I1067" t="str">
            <v>SB Khanewal</v>
          </cell>
          <cell r="J1067" t="str">
            <v>14290010146475570015</v>
          </cell>
        </row>
        <row r="1068">
          <cell r="B1068">
            <v>3660314350513</v>
          </cell>
          <cell r="C1068" t="str">
            <v>3rd Tranche</v>
          </cell>
          <cell r="D1068">
            <v>1063</v>
          </cell>
          <cell r="E1068" t="str">
            <v>Aqeel Ittefaq</v>
          </cell>
          <cell r="F1068" t="str">
            <v>Record Keeper</v>
          </cell>
          <cell r="G1068">
            <v>45992</v>
          </cell>
          <cell r="I1068" t="str">
            <v>SB China Scheme</v>
          </cell>
          <cell r="J1068" t="str">
            <v>08370010146429030012</v>
          </cell>
        </row>
        <row r="1069">
          <cell r="B1069">
            <v>3610394541363</v>
          </cell>
          <cell r="C1069" t="str">
            <v>3rd Tranche</v>
          </cell>
          <cell r="D1069">
            <v>1064</v>
          </cell>
          <cell r="E1069" t="str">
            <v>Muhammad Talha Riaz</v>
          </cell>
          <cell r="F1069" t="str">
            <v>Record Keeper</v>
          </cell>
          <cell r="G1069">
            <v>45992</v>
          </cell>
          <cell r="I1069" t="str">
            <v>SB Khanewal</v>
          </cell>
          <cell r="J1069" t="str">
            <v>01530010147692810015</v>
          </cell>
        </row>
        <row r="1070">
          <cell r="B1070">
            <v>3230306593475</v>
          </cell>
          <cell r="C1070" t="str">
            <v>3rd Tranche</v>
          </cell>
          <cell r="D1070">
            <v>1065</v>
          </cell>
          <cell r="E1070" t="str">
            <v>Ali Jan</v>
          </cell>
          <cell r="F1070" t="str">
            <v>Sahulat Bazaar Supervisor</v>
          </cell>
          <cell r="G1070">
            <v>46023</v>
          </cell>
          <cell r="I1070" t="str">
            <v>SB Muzaffargarh</v>
          </cell>
          <cell r="J1070" t="str">
            <v>14420010151350170012</v>
          </cell>
        </row>
        <row r="1071">
          <cell r="B1071">
            <v>3610309653973</v>
          </cell>
          <cell r="C1071" t="str">
            <v>3rd Tranche</v>
          </cell>
          <cell r="D1071">
            <v>1066</v>
          </cell>
          <cell r="E1071" t="str">
            <v>Ibrar Munawar Jan</v>
          </cell>
          <cell r="F1071" t="str">
            <v>Sahulat Bazaar Supervisor</v>
          </cell>
          <cell r="G1071">
            <v>46023</v>
          </cell>
          <cell r="I1071" t="str">
            <v>SB Khanewal</v>
          </cell>
          <cell r="J1071" t="str">
            <v>09000010104720410015</v>
          </cell>
        </row>
        <row r="1072">
          <cell r="B1072">
            <v>3650190874987</v>
          </cell>
          <cell r="C1072" t="str">
            <v>3rd Tranche</v>
          </cell>
          <cell r="D1072">
            <v>1067</v>
          </cell>
          <cell r="E1072" t="str">
            <v>Abdul Rehman</v>
          </cell>
          <cell r="F1072" t="str">
            <v>Sahulat Bazaar Supervisor</v>
          </cell>
          <cell r="G1072">
            <v>46023</v>
          </cell>
          <cell r="I1072" t="str">
            <v>SB Sahiwal</v>
          </cell>
          <cell r="J1072" t="str">
            <v>00610010100407710014</v>
          </cell>
        </row>
        <row r="1073">
          <cell r="B1073">
            <v>3310474797603</v>
          </cell>
          <cell r="C1073" t="str">
            <v>3rd Tranche</v>
          </cell>
          <cell r="D1073">
            <v>1068</v>
          </cell>
          <cell r="E1073" t="str">
            <v xml:space="preserve">Muhammad Hamza Siddique </v>
          </cell>
          <cell r="F1073" t="str">
            <v>Sahulat Bazaar Supervisor</v>
          </cell>
          <cell r="G1073">
            <v>46023</v>
          </cell>
          <cell r="I1073" t="str">
            <v>SB Chiniot</v>
          </cell>
          <cell r="J1073" t="str">
            <v>01210010153413240016</v>
          </cell>
        </row>
        <row r="1074">
          <cell r="B1074">
            <v>3210404463009</v>
          </cell>
          <cell r="C1074" t="str">
            <v>3rd Tranche</v>
          </cell>
          <cell r="D1074">
            <v>1069</v>
          </cell>
          <cell r="E1074" t="str">
            <v>Ghulam Sarwar</v>
          </cell>
          <cell r="F1074" t="str">
            <v>Record Keeper</v>
          </cell>
          <cell r="G1074">
            <v>45992</v>
          </cell>
          <cell r="I1074" t="str">
            <v>SB DG Khan</v>
          </cell>
          <cell r="J1074" t="str">
            <v>00720010153225460017</v>
          </cell>
        </row>
        <row r="1075">
          <cell r="B1075">
            <v>3430197633398</v>
          </cell>
          <cell r="C1075" t="str">
            <v>3rd Tranche</v>
          </cell>
          <cell r="D1075">
            <v>1070</v>
          </cell>
          <cell r="E1075" t="str">
            <v>Saba Fatima Rehman</v>
          </cell>
          <cell r="F1075" t="str">
            <v>Sahulat Bazaar Supervisor (Look after charge of Incharge)</v>
          </cell>
          <cell r="G1075">
            <v>46023</v>
          </cell>
          <cell r="I1075" t="str">
            <v>SB Chiniot</v>
          </cell>
          <cell r="J1075" t="str">
            <v>04990010152839440011</v>
          </cell>
        </row>
        <row r="1076">
          <cell r="B1076">
            <v>3510362627653</v>
          </cell>
          <cell r="C1076" t="str">
            <v>3rd Tranche</v>
          </cell>
          <cell r="D1076">
            <v>1071</v>
          </cell>
          <cell r="E1076" t="str">
            <v>Farukh Manzoor</v>
          </cell>
          <cell r="F1076" t="str">
            <v>Sahulat Bazaar Supervisor</v>
          </cell>
          <cell r="G1076">
            <v>46023</v>
          </cell>
          <cell r="I1076" t="str">
            <v>SB Pattoki</v>
          </cell>
          <cell r="J1076" t="str">
            <v>03000010153945110010</v>
          </cell>
        </row>
        <row r="1077">
          <cell r="B1077">
            <v>3510360387437</v>
          </cell>
          <cell r="C1077" t="str">
            <v>3rd Tranche</v>
          </cell>
          <cell r="D1077">
            <v>1072</v>
          </cell>
          <cell r="E1077" t="str">
            <v>Asad Ali</v>
          </cell>
          <cell r="F1077" t="str">
            <v>Sahulat Bazaar Supervisor (Look after charge of Incharge)</v>
          </cell>
          <cell r="G1077">
            <v>46023</v>
          </cell>
          <cell r="I1077" t="str">
            <v>SB Pattoki</v>
          </cell>
          <cell r="J1077" t="str">
            <v>03000010153952400013</v>
          </cell>
        </row>
        <row r="1078">
          <cell r="B1078">
            <v>3410262421069</v>
          </cell>
          <cell r="C1078" t="str">
            <v>3rd Tranche</v>
          </cell>
          <cell r="D1078">
            <v>1073</v>
          </cell>
          <cell r="E1078" t="str">
            <v xml:space="preserve">Muhammad Talha </v>
          </cell>
          <cell r="F1078" t="str">
            <v>Record Keeper</v>
          </cell>
          <cell r="G1078">
            <v>45992</v>
          </cell>
          <cell r="I1078" t="str">
            <v>SB Gujranwala</v>
          </cell>
          <cell r="J1078" t="str">
            <v>51400020153359000014</v>
          </cell>
        </row>
        <row r="1079">
          <cell r="B1079">
            <v>3520153389809</v>
          </cell>
          <cell r="C1079" t="str">
            <v>3rd Tranche</v>
          </cell>
          <cell r="D1079">
            <v>1074</v>
          </cell>
          <cell r="E1079" t="str">
            <v>Ahmer Saeed</v>
          </cell>
          <cell r="F1079" t="str">
            <v>Record Keeper</v>
          </cell>
          <cell r="G1079">
            <v>45992</v>
          </cell>
          <cell r="I1079" t="str">
            <v>SB Sharaqpur</v>
          </cell>
          <cell r="J1079" t="str">
            <v>07650010087435230016</v>
          </cell>
        </row>
        <row r="1080">
          <cell r="B1080">
            <v>3540160577245</v>
          </cell>
          <cell r="C1080" t="str">
            <v>3rd Tranche</v>
          </cell>
          <cell r="D1080">
            <v>1075</v>
          </cell>
          <cell r="E1080" t="str">
            <v>Umer Basharat</v>
          </cell>
          <cell r="F1080" t="str">
            <v>Record Keeper</v>
          </cell>
          <cell r="G1080">
            <v>45992</v>
          </cell>
          <cell r="I1080" t="str">
            <v>STOG Madr-e-Millat</v>
          </cell>
          <cell r="J1080" t="str">
            <v>02880010152524010012</v>
          </cell>
        </row>
        <row r="1081">
          <cell r="B1081">
            <v>3460360929143</v>
          </cell>
          <cell r="C1081" t="str">
            <v>3rd Tranche</v>
          </cell>
          <cell r="D1081">
            <v>1076</v>
          </cell>
          <cell r="E1081" t="str">
            <v>Abdul Momin</v>
          </cell>
          <cell r="F1081" t="str">
            <v>Record Keeper</v>
          </cell>
          <cell r="G1081">
            <v>45992</v>
          </cell>
          <cell r="I1081" t="str">
            <v>SB Sialkot</v>
          </cell>
          <cell r="J1081" t="str">
            <v>03790010153192880010</v>
          </cell>
        </row>
        <row r="1082">
          <cell r="B1082">
            <v>3530266341800</v>
          </cell>
          <cell r="C1082" t="str">
            <v>3rd Tranche</v>
          </cell>
          <cell r="D1082">
            <v>1077</v>
          </cell>
          <cell r="E1082" t="str">
            <v>Sadaf Muhammad Din</v>
          </cell>
          <cell r="F1082" t="str">
            <v>Record Keeper</v>
          </cell>
          <cell r="G1082">
            <v>45992</v>
          </cell>
          <cell r="I1082" t="str">
            <v>SB Okara</v>
          </cell>
          <cell r="J1082" t="str">
            <v>09740010153274040014</v>
          </cell>
        </row>
        <row r="1083">
          <cell r="B1083">
            <v>3210405173055</v>
          </cell>
          <cell r="C1083" t="str">
            <v>3rd Tranche</v>
          </cell>
          <cell r="D1083">
            <v>1078</v>
          </cell>
          <cell r="E1083" t="str">
            <v>Muhammad Shoaib</v>
          </cell>
          <cell r="F1083" t="str">
            <v>Record Keeper</v>
          </cell>
          <cell r="G1083">
            <v>45992</v>
          </cell>
          <cell r="I1083" t="str">
            <v>SB Hafizabad</v>
          </cell>
          <cell r="J1083" t="str">
            <v>07300010153091010010</v>
          </cell>
        </row>
        <row r="1084">
          <cell r="B1084">
            <v>3210405162089</v>
          </cell>
          <cell r="C1084" t="str">
            <v>3rd Tranche</v>
          </cell>
          <cell r="D1084">
            <v>1079</v>
          </cell>
          <cell r="E1084" t="str">
            <v>Naveed Iqbal</v>
          </cell>
          <cell r="F1084" t="str">
            <v>Record Keeper</v>
          </cell>
          <cell r="G1084">
            <v>45992</v>
          </cell>
          <cell r="I1084" t="str">
            <v>SB Muzaffargarh</v>
          </cell>
          <cell r="J1084" t="str">
            <v>07300010153086900010</v>
          </cell>
        </row>
        <row r="1085">
          <cell r="B1085">
            <v>3660167782253</v>
          </cell>
          <cell r="C1085" t="str">
            <v>3rd Tranche</v>
          </cell>
          <cell r="D1085">
            <v>1080</v>
          </cell>
          <cell r="E1085" t="str">
            <v>Subhan Ahmad Amin</v>
          </cell>
          <cell r="F1085" t="str">
            <v>Record Keeper</v>
          </cell>
          <cell r="G1085">
            <v>45992</v>
          </cell>
          <cell r="I1085" t="str">
            <v>SB Burewala</v>
          </cell>
          <cell r="J1085" t="str">
            <v>51260020153947060011</v>
          </cell>
        </row>
        <row r="1086">
          <cell r="B1086">
            <v>3540170436559</v>
          </cell>
          <cell r="C1086" t="str">
            <v>3rd Tranche</v>
          </cell>
          <cell r="D1086">
            <v>1081</v>
          </cell>
          <cell r="E1086" t="str">
            <v>Muhamad Abdullah</v>
          </cell>
          <cell r="F1086" t="str">
            <v>Sahulat Bazaar Supervisor</v>
          </cell>
          <cell r="G1086">
            <v>46023</v>
          </cell>
          <cell r="I1086" t="str">
            <v>STOG Ferozwala</v>
          </cell>
          <cell r="J1086" t="str">
            <v>05200010150748580017</v>
          </cell>
        </row>
        <row r="1087">
          <cell r="B1087">
            <v>3510112511923</v>
          </cell>
          <cell r="C1087" t="str">
            <v>3rd Tranche</v>
          </cell>
          <cell r="D1087">
            <v>1082</v>
          </cell>
          <cell r="E1087" t="str">
            <v>Rana Sheraz</v>
          </cell>
          <cell r="F1087" t="str">
            <v>Sahulat Bazaar Supervisor</v>
          </cell>
          <cell r="G1087">
            <v>46023</v>
          </cell>
          <cell r="I1087" t="str">
            <v>SB Chunian</v>
          </cell>
          <cell r="J1087" t="str">
            <v>07740010154107970016</v>
          </cell>
        </row>
        <row r="1088">
          <cell r="B1088">
            <v>3540149993253</v>
          </cell>
          <cell r="C1088" t="str">
            <v>3rd Tranche</v>
          </cell>
          <cell r="D1088">
            <v>1083</v>
          </cell>
          <cell r="E1088" t="str">
            <v>Nasir Ali</v>
          </cell>
          <cell r="F1088" t="str">
            <v>Sahulat Bazaar Supervisor (Look after charge of Incharge)</v>
          </cell>
          <cell r="G1088">
            <v>46023</v>
          </cell>
          <cell r="I1088" t="str">
            <v>SB Mandi Faizabad</v>
          </cell>
          <cell r="J1088" t="str">
            <v>05200010154868980019</v>
          </cell>
        </row>
        <row r="1089">
          <cell r="B1089">
            <v>3410165347393</v>
          </cell>
          <cell r="C1089" t="str">
            <v>3rd Tranche</v>
          </cell>
          <cell r="D1089">
            <v>1084</v>
          </cell>
          <cell r="E1089" t="str">
            <v>Arslan Ali</v>
          </cell>
          <cell r="F1089" t="str">
            <v>Sahulat Bazaar Supervisor</v>
          </cell>
          <cell r="G1089">
            <v>46023</v>
          </cell>
          <cell r="I1089" t="str">
            <v>SB Gujranwala</v>
          </cell>
          <cell r="J1089" t="str">
            <v>07300010153983490014</v>
          </cell>
        </row>
        <row r="1090">
          <cell r="B1090">
            <v>3310440461435</v>
          </cell>
          <cell r="C1090" t="str">
            <v>3rd Tranche</v>
          </cell>
          <cell r="D1090">
            <v>1085</v>
          </cell>
          <cell r="E1090" t="str">
            <v>Qamar Hussain</v>
          </cell>
          <cell r="F1090" t="str">
            <v>Record Keeper</v>
          </cell>
          <cell r="G1090">
            <v>45992</v>
          </cell>
          <cell r="I1090" t="str">
            <v>SB Jarranwala</v>
          </cell>
          <cell r="J1090" t="str">
            <v>07660010150349620010</v>
          </cell>
        </row>
        <row r="1091">
          <cell r="B1091">
            <v>3310296273411</v>
          </cell>
          <cell r="C1091" t="str">
            <v>3rd Tranche</v>
          </cell>
          <cell r="D1091">
            <v>1086</v>
          </cell>
          <cell r="E1091" t="str">
            <v>Bilaj Munir</v>
          </cell>
          <cell r="F1091" t="str">
            <v>Record Keeper</v>
          </cell>
          <cell r="G1091">
            <v>45992</v>
          </cell>
          <cell r="I1091" t="str">
            <v>SB Jhang Road (FSD)</v>
          </cell>
          <cell r="J1091" t="str">
            <v>09380010062880660020</v>
          </cell>
        </row>
        <row r="1092">
          <cell r="B1092">
            <v>3610221714275</v>
          </cell>
          <cell r="C1092" t="str">
            <v>3rd Tranche</v>
          </cell>
          <cell r="D1092">
            <v>1087</v>
          </cell>
          <cell r="E1092" t="str">
            <v>Ubaid Ullah</v>
          </cell>
          <cell r="F1092" t="str">
            <v>Record Keeper</v>
          </cell>
          <cell r="G1092">
            <v>45992</v>
          </cell>
          <cell r="I1092" t="str">
            <v>SB Khanewal</v>
          </cell>
          <cell r="J1092" t="str">
            <v>52010020154800190010</v>
          </cell>
        </row>
        <row r="1093">
          <cell r="B1093">
            <v>3340104576445</v>
          </cell>
          <cell r="C1093" t="str">
            <v>3rd Tranche</v>
          </cell>
          <cell r="D1093">
            <v>1088</v>
          </cell>
          <cell r="E1093" t="str">
            <v>Noman Mehndi</v>
          </cell>
          <cell r="F1093" t="str">
            <v>Sahulat Bazaar Supervisor</v>
          </cell>
          <cell r="G1093">
            <v>46023</v>
          </cell>
          <cell r="I1093" t="str">
            <v>SB Chiniot</v>
          </cell>
          <cell r="J1093" t="str">
            <v>04990010154105410019</v>
          </cell>
        </row>
        <row r="1094">
          <cell r="B1094">
            <v>3520291059933</v>
          </cell>
          <cell r="C1094" t="str">
            <v>3rd Tranche</v>
          </cell>
          <cell r="D1094">
            <v>1089</v>
          </cell>
          <cell r="E1094" t="str">
            <v>Tanveer Aslam</v>
          </cell>
          <cell r="F1094" t="str">
            <v>Sahulat Bazaar Supervisor (Look after charge of Incharge)</v>
          </cell>
          <cell r="G1094">
            <v>46023</v>
          </cell>
          <cell r="I1094" t="str">
            <v>SB Sharaqpur</v>
          </cell>
          <cell r="J1094" t="str">
            <v>05200010154103850017</v>
          </cell>
        </row>
        <row r="1095">
          <cell r="B1095">
            <v>3540219921427</v>
          </cell>
          <cell r="C1095" t="str">
            <v>3rd Tranche</v>
          </cell>
          <cell r="D1095">
            <v>1090</v>
          </cell>
          <cell r="E1095" t="str">
            <v>Usman Ali</v>
          </cell>
          <cell r="F1095" t="str">
            <v>Sahulat Bazaar Supervisor</v>
          </cell>
          <cell r="G1095">
            <v>46023</v>
          </cell>
          <cell r="I1095" t="str">
            <v>STOG Ferozwala</v>
          </cell>
          <cell r="J1095" t="str">
            <v>53010020154664330019</v>
          </cell>
        </row>
        <row r="1096">
          <cell r="B1096">
            <v>3410195171511</v>
          </cell>
          <cell r="C1096" t="str">
            <v>3rd Tranche</v>
          </cell>
          <cell r="D1096">
            <v>1091</v>
          </cell>
          <cell r="E1096" t="str">
            <v>Sibghat Ullah</v>
          </cell>
          <cell r="F1096" t="str">
            <v>Record Keeper</v>
          </cell>
          <cell r="G1096">
            <v>45992</v>
          </cell>
          <cell r="I1096" t="str">
            <v>SB Wazirabad</v>
          </cell>
          <cell r="J1096" t="str">
            <v>01730010154070870019</v>
          </cell>
        </row>
        <row r="1097">
          <cell r="B1097">
            <v>3230394382272</v>
          </cell>
          <cell r="C1097" t="str">
            <v>3rd Tranche</v>
          </cell>
          <cell r="D1097">
            <v>1092</v>
          </cell>
          <cell r="E1097" t="str">
            <v>Alia Batool</v>
          </cell>
          <cell r="F1097" t="str">
            <v>Record Keeper</v>
          </cell>
          <cell r="G1097">
            <v>45992</v>
          </cell>
          <cell r="I1097" t="str">
            <v>SB Muzaffargarh</v>
          </cell>
          <cell r="J1097" t="str">
            <v>02810020154607970016</v>
          </cell>
        </row>
        <row r="1098">
          <cell r="B1098">
            <v>3510371029995</v>
          </cell>
          <cell r="C1098" t="str">
            <v>3rd Tranche</v>
          </cell>
          <cell r="D1098">
            <v>1093</v>
          </cell>
          <cell r="E1098" t="str">
            <v>Waqas Munam</v>
          </cell>
          <cell r="F1098" t="str">
            <v>Sahulat Bazaar Supervisor (Look after charge of Incharge)</v>
          </cell>
          <cell r="G1098">
            <v>46023</v>
          </cell>
          <cell r="I1098" t="str">
            <v>SB Chunian</v>
          </cell>
          <cell r="J1098" t="str">
            <v>07740010155259810012</v>
          </cell>
        </row>
        <row r="1099">
          <cell r="B1099">
            <v>3230323561273</v>
          </cell>
          <cell r="C1099" t="str">
            <v>3rd Tranche</v>
          </cell>
          <cell r="D1099">
            <v>1094</v>
          </cell>
          <cell r="E1099" t="str">
            <v>Muhammad Mujahid Munir</v>
          </cell>
          <cell r="F1099" t="str">
            <v>Record Keeper</v>
          </cell>
          <cell r="G1099">
            <v>45995</v>
          </cell>
          <cell r="I1099" t="str">
            <v>SB Muzaffargarh</v>
          </cell>
          <cell r="J1099" t="str">
            <v>02810010156474220012</v>
          </cell>
        </row>
        <row r="1100">
          <cell r="B1100">
            <v>1350161947855</v>
          </cell>
          <cell r="C1100" t="str">
            <v>3rd Tranche</v>
          </cell>
          <cell r="D1100">
            <v>1095</v>
          </cell>
          <cell r="E1100" t="str">
            <v>Ehtisham</v>
          </cell>
          <cell r="F1100" t="str">
            <v>Record Keeper</v>
          </cell>
          <cell r="G1100">
            <v>46004</v>
          </cell>
          <cell r="I1100" t="str">
            <v>SB Pattoki</v>
          </cell>
          <cell r="J1100" t="str">
            <v>03000010156846230016</v>
          </cell>
        </row>
        <row r="1101">
          <cell r="B1101">
            <v>3310465973913</v>
          </cell>
          <cell r="C1101" t="str">
            <v>3rd Tranche</v>
          </cell>
          <cell r="D1101">
            <v>1096</v>
          </cell>
          <cell r="E1101" t="str">
            <v>Talha Naseer</v>
          </cell>
          <cell r="F1101" t="str">
            <v>Record Keeper</v>
          </cell>
          <cell r="G1101">
            <v>46010</v>
          </cell>
          <cell r="I1101" t="str">
            <v>SB Jarranwala</v>
          </cell>
          <cell r="J1101" t="str">
            <v>01210010074092920015</v>
          </cell>
        </row>
        <row r="1102">
          <cell r="B1102">
            <v>3540158007339</v>
          </cell>
          <cell r="C1102" t="str">
            <v>3rd Tranche</v>
          </cell>
          <cell r="D1102">
            <v>1097</v>
          </cell>
          <cell r="E1102" t="str">
            <v>Muhammad Muzammal Iqbal</v>
          </cell>
          <cell r="F1102" t="str">
            <v>Record Keeper</v>
          </cell>
          <cell r="G1102">
            <v>46014</v>
          </cell>
          <cell r="I1102" t="str">
            <v>STOG Shahdran</v>
          </cell>
          <cell r="J1102" t="str">
            <v>05150010157143440010</v>
          </cell>
        </row>
        <row r="1103">
          <cell r="B1103">
            <v>3520280872785</v>
          </cell>
          <cell r="C1103" t="str">
            <v>3rd Tranche</v>
          </cell>
          <cell r="D1103">
            <v>1098</v>
          </cell>
          <cell r="E1103" t="str">
            <v>Hafiz Muhammad Ahsan Suleman</v>
          </cell>
          <cell r="F1103" t="str">
            <v>Record Keeper</v>
          </cell>
          <cell r="G1103">
            <v>46021</v>
          </cell>
          <cell r="I1103" t="str">
            <v>STOG Shadman</v>
          </cell>
          <cell r="J1103" t="str">
            <v>05280010091924130014</v>
          </cell>
        </row>
        <row r="1104">
          <cell r="B1104">
            <v>3840107552198</v>
          </cell>
          <cell r="C1104" t="str">
            <v>3rd Tranche</v>
          </cell>
          <cell r="D1104">
            <v>1099</v>
          </cell>
          <cell r="E1104" t="str">
            <v>Mukhaifa Fatima</v>
          </cell>
          <cell r="F1104" t="str">
            <v>Sahulat Bazaar Supervisor</v>
          </cell>
          <cell r="G1104">
            <v>46023</v>
          </cell>
          <cell r="I1104" t="str">
            <v>SB Bhalwal</v>
          </cell>
          <cell r="J1104" t="str">
            <v>00520010156436250016</v>
          </cell>
        </row>
        <row r="1105">
          <cell r="B1105">
            <v>3610393260537</v>
          </cell>
          <cell r="C1105" t="str">
            <v>3rd Tranche</v>
          </cell>
          <cell r="D1105">
            <v>1100</v>
          </cell>
          <cell r="E1105" t="str">
            <v>Muhammad Abdur Rehman</v>
          </cell>
          <cell r="F1105" t="str">
            <v>Sahulat Bazaar Supervisor</v>
          </cell>
          <cell r="G1105">
            <v>46023</v>
          </cell>
          <cell r="I1105" t="str">
            <v>SB Khanewal</v>
          </cell>
          <cell r="J1105" t="str">
            <v>52010020157511210014</v>
          </cell>
        </row>
        <row r="1106">
          <cell r="B1106">
            <v>3840325230097</v>
          </cell>
          <cell r="C1106" t="str">
            <v>3rd Tranche</v>
          </cell>
          <cell r="D1106">
            <v>1101</v>
          </cell>
          <cell r="E1106" t="str">
            <v>Abdullah Tabassum</v>
          </cell>
          <cell r="F1106" t="str">
            <v>Sahulat Bazaar Incharge</v>
          </cell>
          <cell r="G1106">
            <v>46023</v>
          </cell>
          <cell r="I1106" t="str">
            <v>SB Wazirabad</v>
          </cell>
          <cell r="J1106" t="str">
            <v>10870010006912770025</v>
          </cell>
        </row>
        <row r="1107">
          <cell r="B1107">
            <v>3520243986657</v>
          </cell>
          <cell r="C1107" t="str">
            <v>3rd Tranche</v>
          </cell>
          <cell r="D1107">
            <v>1102</v>
          </cell>
          <cell r="E1107" t="str">
            <v>Waleed Khalil</v>
          </cell>
          <cell r="F1107" t="str">
            <v>Record Keeper (Look After charge of Incharge)</v>
          </cell>
          <cell r="G1107">
            <v>45992</v>
          </cell>
          <cell r="I1107" t="str">
            <v>STOG Gulshan-e-Ravi</v>
          </cell>
          <cell r="J1107" t="str">
            <v>09410010149855030010</v>
          </cell>
        </row>
        <row r="1108">
          <cell r="B1108">
            <v>3510284600727</v>
          </cell>
          <cell r="C1108" t="str">
            <v>3rd Tranche</v>
          </cell>
          <cell r="D1108">
            <v>1103</v>
          </cell>
          <cell r="E1108" t="str">
            <v>Faizan Basharat</v>
          </cell>
          <cell r="F1108" t="str">
            <v>Record Keeper</v>
          </cell>
          <cell r="G1108">
            <v>45992</v>
          </cell>
          <cell r="I1108" t="str">
            <v>SB Kasur</v>
          </cell>
          <cell r="J1108" t="str">
            <v>52060020152140880016</v>
          </cell>
        </row>
        <row r="1109">
          <cell r="B1109">
            <v>3510259095027</v>
          </cell>
          <cell r="C1109" t="str">
            <v>3rd Tranche</v>
          </cell>
          <cell r="D1109">
            <v>1104</v>
          </cell>
          <cell r="E1109" t="str">
            <v>Muhammad Tabish</v>
          </cell>
          <cell r="F1109" t="str">
            <v>Record Keeper</v>
          </cell>
          <cell r="G1109">
            <v>45992</v>
          </cell>
          <cell r="I1109" t="str">
            <v>SB Kasur</v>
          </cell>
          <cell r="J1109" t="str">
            <v>52060020152142880015</v>
          </cell>
        </row>
        <row r="1110">
          <cell r="B1110">
            <v>3510337144329</v>
          </cell>
          <cell r="C1110" t="str">
            <v>3rd Tranche</v>
          </cell>
          <cell r="D1110">
            <v>1105</v>
          </cell>
          <cell r="E1110" t="str">
            <v>Muhammad Arslan</v>
          </cell>
          <cell r="F1110" t="str">
            <v>Record Keeper</v>
          </cell>
          <cell r="G1110">
            <v>45992</v>
          </cell>
          <cell r="I1110" t="str">
            <v>SB Burewala</v>
          </cell>
          <cell r="J1110" t="str">
            <v>09000010152398210013</v>
          </cell>
        </row>
        <row r="1111">
          <cell r="B1111">
            <v>3520290643403</v>
          </cell>
          <cell r="C1111" t="str">
            <v>3rd Tranche</v>
          </cell>
          <cell r="D1111">
            <v>1106</v>
          </cell>
          <cell r="E1111" t="str">
            <v>Nabeel Afsar</v>
          </cell>
          <cell r="F1111" t="str">
            <v>Record Keeper (Look After charge of Incharge)</v>
          </cell>
          <cell r="G1111">
            <v>45992</v>
          </cell>
          <cell r="I1111" t="str">
            <v>STOG Kharak Nalla</v>
          </cell>
          <cell r="J1111" t="str">
            <v>02880010151642060011</v>
          </cell>
        </row>
        <row r="1112">
          <cell r="B1112">
            <v>3650244170677</v>
          </cell>
          <cell r="C1112" t="str">
            <v>3rd Tranche</v>
          </cell>
          <cell r="D1112">
            <v>1107</v>
          </cell>
          <cell r="E1112" t="str">
            <v>Mubashir Ali Saeed</v>
          </cell>
          <cell r="F1112" t="str">
            <v>Sahulat Bazaar Supervisor (Look after charge of Incharge)</v>
          </cell>
          <cell r="G1112">
            <v>46023</v>
          </cell>
          <cell r="I1112" t="str">
            <v>STOG Awan Town</v>
          </cell>
          <cell r="J1112" t="str">
            <v>00600010152107500014</v>
          </cell>
        </row>
        <row r="1113">
          <cell r="B1113">
            <v>3330320196821</v>
          </cell>
          <cell r="C1113" t="str">
            <v>3rd Tranche</v>
          </cell>
          <cell r="D1113">
            <v>1108</v>
          </cell>
          <cell r="E1113" t="str">
            <v>Abdul Hannan Shehzad</v>
          </cell>
          <cell r="F1113" t="str">
            <v>Sahulat Bazaar Supervisor (Look after charge of Incharge)</v>
          </cell>
          <cell r="G1113">
            <v>46023</v>
          </cell>
          <cell r="I1113" t="str">
            <v>SB Toba Tek Singh</v>
          </cell>
          <cell r="J1113" t="str">
            <v>04060010154216900016</v>
          </cell>
        </row>
        <row r="1114">
          <cell r="B1114">
            <v>3540137457727</v>
          </cell>
          <cell r="C1114" t="str">
            <v>3rd Tranche</v>
          </cell>
          <cell r="D1114">
            <v>1109</v>
          </cell>
          <cell r="E1114" t="str">
            <v>Hafiz Rizwan</v>
          </cell>
          <cell r="F1114" t="str">
            <v>Record Keeper</v>
          </cell>
          <cell r="G1114">
            <v>45992</v>
          </cell>
          <cell r="I1114" t="str">
            <v>SB Sharaqpur</v>
          </cell>
          <cell r="J1114" t="str">
            <v>05200010150694580010</v>
          </cell>
        </row>
        <row r="1115">
          <cell r="B1115">
            <v>3310404212497</v>
          </cell>
          <cell r="C1115" t="str">
            <v>3rd Tranche</v>
          </cell>
          <cell r="D1115">
            <v>1110</v>
          </cell>
          <cell r="E1115" t="str">
            <v>Muhammad Saif ur Rehman</v>
          </cell>
          <cell r="F1115" t="str">
            <v>Sahulat Bazaar Supervisor (Look after charge of Incharge)</v>
          </cell>
          <cell r="G1115">
            <v>46023</v>
          </cell>
          <cell r="I1115" t="str">
            <v>SB Mianwali</v>
          </cell>
          <cell r="J1115" t="str">
            <v>00620010090075360019</v>
          </cell>
        </row>
        <row r="1116">
          <cell r="B1116">
            <v>3520289292397</v>
          </cell>
          <cell r="C1116" t="str">
            <v>3rd Tranche</v>
          </cell>
          <cell r="D1116">
            <v>1111</v>
          </cell>
          <cell r="E1116" t="str">
            <v>Mirza Hasnat Baig</v>
          </cell>
          <cell r="F1116" t="str">
            <v>Record Keeper</v>
          </cell>
          <cell r="G1116">
            <v>46052</v>
          </cell>
          <cell r="I1116" t="str">
            <v>STOG Manga Mandi</v>
          </cell>
          <cell r="J1116" t="str">
            <v>07660010089292390022</v>
          </cell>
        </row>
        <row r="1117">
          <cell r="B1117">
            <v>3530375213986</v>
          </cell>
          <cell r="C1117" t="str">
            <v xml:space="preserve">discuss andSalary Stop (PCCM) </v>
          </cell>
          <cell r="D1117">
            <v>1112</v>
          </cell>
          <cell r="E1117" t="str">
            <v>Sumira Ruby</v>
          </cell>
          <cell r="F1117" t="str">
            <v>Record Keeper</v>
          </cell>
          <cell r="G1117">
            <v>45992</v>
          </cell>
          <cell r="I1117" t="str">
            <v>SB Okara</v>
          </cell>
          <cell r="J1117" t="e">
            <v>#N/A</v>
          </cell>
        </row>
        <row r="1118">
          <cell r="B1118">
            <v>3620295112513</v>
          </cell>
          <cell r="C1118" t="str">
            <v>3rd Tranche</v>
          </cell>
          <cell r="D1118">
            <v>1113</v>
          </cell>
          <cell r="E1118" t="str">
            <v>Tayyab Raza</v>
          </cell>
          <cell r="F1118" t="str">
            <v>Record Keeper</v>
          </cell>
          <cell r="G1118">
            <v>45999</v>
          </cell>
          <cell r="I1118" t="str">
            <v>SB Pakpattan</v>
          </cell>
          <cell r="J1118" t="str">
            <v>02980010156465900010</v>
          </cell>
        </row>
        <row r="1119">
          <cell r="B1119">
            <v>3520226370997</v>
          </cell>
          <cell r="C1119" t="str">
            <v>3rd Tranche</v>
          </cell>
          <cell r="D1119">
            <v>1114</v>
          </cell>
          <cell r="E1119" t="str">
            <v>Bilal Ilyas Gujar</v>
          </cell>
          <cell r="F1119" t="str">
            <v>Record Keeper</v>
          </cell>
          <cell r="G1119">
            <v>46013</v>
          </cell>
          <cell r="I1119" t="str">
            <v>SB Chakwal</v>
          </cell>
          <cell r="J1119" t="str">
            <v>02880010071903700011</v>
          </cell>
        </row>
        <row r="1120">
          <cell r="B1120">
            <v>3520201339323</v>
          </cell>
          <cell r="C1120" t="str">
            <v>3rd Tranche</v>
          </cell>
          <cell r="D1120">
            <v>1115</v>
          </cell>
          <cell r="E1120" t="str">
            <v>Ghulam Ghous Khan</v>
          </cell>
          <cell r="F1120" t="str">
            <v>Record Keeper</v>
          </cell>
          <cell r="G1120">
            <v>46015</v>
          </cell>
          <cell r="I1120" t="str">
            <v>STOG Kharak Nalla</v>
          </cell>
          <cell r="J1120" t="str">
            <v>06880010136187920012</v>
          </cell>
        </row>
        <row r="1121">
          <cell r="B1121">
            <v>3640191273779</v>
          </cell>
          <cell r="C1121" t="str">
            <v>3rd Tranche</v>
          </cell>
          <cell r="D1121">
            <v>1116</v>
          </cell>
          <cell r="E1121" t="str">
            <v>Hassan Mujatba</v>
          </cell>
          <cell r="F1121" t="str">
            <v>Record Keeper</v>
          </cell>
          <cell r="G1121">
            <v>46022</v>
          </cell>
          <cell r="I1121" t="str">
            <v>SB Burewala</v>
          </cell>
          <cell r="J1121" t="str">
            <v>06120010158083800011</v>
          </cell>
        </row>
        <row r="1122">
          <cell r="B1122">
            <v>3540177097629</v>
          </cell>
          <cell r="C1122" t="str">
            <v>3rd Tranche</v>
          </cell>
          <cell r="D1122">
            <v>1117</v>
          </cell>
          <cell r="E1122" t="str">
            <v>Muhammad Ahmad Sheikh</v>
          </cell>
          <cell r="F1122" t="str">
            <v>Sahulat Bazaar Supervisor</v>
          </cell>
          <cell r="G1122">
            <v>46023</v>
          </cell>
          <cell r="I1122" t="str">
            <v>SB Sharaqpur</v>
          </cell>
          <cell r="J1122" t="str">
            <v>05200010039995990025</v>
          </cell>
        </row>
        <row r="1123">
          <cell r="B1123">
            <v>3320260577891</v>
          </cell>
          <cell r="C1123" t="str">
            <v>3rd Tranche</v>
          </cell>
          <cell r="D1123">
            <v>1118</v>
          </cell>
          <cell r="E1123" t="str">
            <v>Kishwar Shahzad</v>
          </cell>
          <cell r="F1123" t="str">
            <v>Sahulat Bazaar Supervisor</v>
          </cell>
          <cell r="G1123">
            <v>46023</v>
          </cell>
          <cell r="I1123" t="str">
            <v>SB Jhang</v>
          </cell>
          <cell r="J1123" t="str">
            <v>11330010134754860010</v>
          </cell>
        </row>
        <row r="1124">
          <cell r="B1124">
            <v>3610357071955</v>
          </cell>
          <cell r="C1124" t="str">
            <v>3rd Tranche</v>
          </cell>
          <cell r="D1124">
            <v>1119</v>
          </cell>
          <cell r="E1124" t="str">
            <v>Saqib Sarfraz</v>
          </cell>
          <cell r="F1124" t="str">
            <v>Sahulat Bazaar Supervisor</v>
          </cell>
          <cell r="G1124">
            <v>46035</v>
          </cell>
          <cell r="I1124" t="str">
            <v>SB Khanewal</v>
          </cell>
          <cell r="J1124" t="str">
            <v>01980010158312790019</v>
          </cell>
        </row>
        <row r="1125">
          <cell r="B1125">
            <v>3320245810885</v>
          </cell>
          <cell r="C1125" t="str">
            <v>3rd Tranche</v>
          </cell>
          <cell r="D1125">
            <v>1120</v>
          </cell>
          <cell r="E1125" t="str">
            <v>Muhammad Rouf</v>
          </cell>
          <cell r="F1125" t="str">
            <v>Sahulat Bazaar Supervisor (Look after charge of Incharge)</v>
          </cell>
          <cell r="G1125">
            <v>46023</v>
          </cell>
          <cell r="I1125" t="str">
            <v>STOG Shahdran</v>
          </cell>
          <cell r="J1125" t="str">
            <v>05460010070166940029</v>
          </cell>
        </row>
        <row r="1126">
          <cell r="B1126">
            <v>3410389298843</v>
          </cell>
          <cell r="C1126" t="str">
            <v>3rd Tranche</v>
          </cell>
          <cell r="D1126">
            <v>1121</v>
          </cell>
          <cell r="E1126" t="str">
            <v>Kumail Haider</v>
          </cell>
          <cell r="F1126" t="str">
            <v>Sahulat Bazaar Supervisor (Look after charge of Incharge)</v>
          </cell>
          <cell r="G1126">
            <v>46023</v>
          </cell>
          <cell r="I1126" t="str">
            <v>SB Noshehran Virkan</v>
          </cell>
          <cell r="J1126" t="str">
            <v>51590020045186690018</v>
          </cell>
        </row>
        <row r="1127">
          <cell r="B1127">
            <v>3520299359669</v>
          </cell>
          <cell r="C1127" t="str">
            <v>3rd Tranche</v>
          </cell>
          <cell r="D1127">
            <v>1122</v>
          </cell>
          <cell r="E1127" t="str">
            <v>Iqrar Akram</v>
          </cell>
          <cell r="F1127" t="str">
            <v>Sahulat Bazaar Supervisor</v>
          </cell>
          <cell r="G1127">
            <v>46039</v>
          </cell>
          <cell r="I1127" t="str">
            <v>SB Sher Sha Colony</v>
          </cell>
          <cell r="J1127" t="str">
            <v>12630010160125990012</v>
          </cell>
        </row>
        <row r="1128">
          <cell r="B1128">
            <v>3510142439677</v>
          </cell>
          <cell r="C1128" t="str">
            <v>3rd Tranche</v>
          </cell>
          <cell r="D1128">
            <v>1123</v>
          </cell>
          <cell r="E1128" t="str">
            <v>Muhammad Fayaz</v>
          </cell>
          <cell r="F1128" t="str">
            <v>Sahulat Bazaar Supervisor (Look after charge of Incharge)</v>
          </cell>
          <cell r="G1128">
            <v>46039</v>
          </cell>
          <cell r="I1128" t="str">
            <v>SB Nishter Town</v>
          </cell>
          <cell r="J1128" t="str">
            <v>01530010158620090019</v>
          </cell>
        </row>
        <row r="1129">
          <cell r="B1129">
            <v>3520241608373</v>
          </cell>
          <cell r="C1129" t="str">
            <v>3rd Tranche</v>
          </cell>
          <cell r="D1129">
            <v>1124</v>
          </cell>
          <cell r="E1129" t="str">
            <v>Malik Kabir Ahmad Khokhar</v>
          </cell>
          <cell r="F1129" t="str">
            <v>Sahulat Bazaar Supervisor</v>
          </cell>
          <cell r="G1129">
            <v>46039</v>
          </cell>
          <cell r="I1129" t="str">
            <v>SB Township</v>
          </cell>
          <cell r="J1129" t="str">
            <v>02880010158527770011</v>
          </cell>
        </row>
        <row r="1130">
          <cell r="B1130">
            <v>3520291735337</v>
          </cell>
          <cell r="C1130" t="str">
            <v>3rd Tranche</v>
          </cell>
          <cell r="D1130">
            <v>1125</v>
          </cell>
          <cell r="E1130" t="str">
            <v>Muhammad Ihsan Mansha</v>
          </cell>
          <cell r="F1130" t="str">
            <v>Sahulat Bazaar Supervisor</v>
          </cell>
          <cell r="G1130">
            <v>46039</v>
          </cell>
          <cell r="I1130" t="str">
            <v>STOG Shadman</v>
          </cell>
          <cell r="J1130" t="str">
            <v>03910010158787570015</v>
          </cell>
        </row>
        <row r="1131">
          <cell r="B1131">
            <v>3520213584359</v>
          </cell>
          <cell r="C1131" t="str">
            <v>3rd Tranche</v>
          </cell>
          <cell r="D1131">
            <v>1126</v>
          </cell>
          <cell r="E1131" t="str">
            <v>Bilal Idrees</v>
          </cell>
          <cell r="F1131" t="str">
            <v>Sahulat Bazaar Supervisor</v>
          </cell>
          <cell r="G1131">
            <v>46039</v>
          </cell>
          <cell r="I1131" t="str">
            <v>SB Johar Town</v>
          </cell>
          <cell r="J1131" t="str">
            <v>02880010159099570016</v>
          </cell>
        </row>
        <row r="1132">
          <cell r="B1132">
            <v>3230355359013</v>
          </cell>
          <cell r="C1132" t="str">
            <v>3rd Tranche</v>
          </cell>
          <cell r="D1132">
            <v>1127</v>
          </cell>
          <cell r="E1132" t="str">
            <v>Awon Raza</v>
          </cell>
          <cell r="F1132" t="str">
            <v>Sahulat Bazaar Supervisor</v>
          </cell>
          <cell r="G1132">
            <v>46042</v>
          </cell>
          <cell r="I1132" t="str">
            <v>SB Jallalpur Pirwala</v>
          </cell>
          <cell r="J1132" t="str">
            <v>06120010100465710020</v>
          </cell>
        </row>
        <row r="1133">
          <cell r="B1133">
            <v>3520208165027</v>
          </cell>
          <cell r="C1133" t="str">
            <v>2nd Tranche</v>
          </cell>
          <cell r="D1133">
            <v>1128</v>
          </cell>
          <cell r="E1133" t="str">
            <v>Abdul Rehman</v>
          </cell>
          <cell r="F1133" t="str">
            <v>Security &amp; Parking Attendant</v>
          </cell>
          <cell r="G1133">
            <v>46048</v>
          </cell>
          <cell r="I1133" t="str">
            <v>STOG Manga Mandi</v>
          </cell>
          <cell r="J1133" t="str">
            <v>03910010159411410017</v>
          </cell>
        </row>
        <row r="1134">
          <cell r="B1134">
            <v>3410301568515</v>
          </cell>
          <cell r="C1134" t="str">
            <v>2nd Tranche</v>
          </cell>
          <cell r="D1134">
            <v>1129</v>
          </cell>
          <cell r="E1134" t="str">
            <v>Ebiya Masih</v>
          </cell>
          <cell r="F1134" t="str">
            <v>Sanitation Attendant</v>
          </cell>
          <cell r="G1134">
            <v>46024</v>
          </cell>
          <cell r="I1134" t="str">
            <v>SB Noshehran Virkan</v>
          </cell>
          <cell r="J1134" t="str">
            <v>02900010158086940014</v>
          </cell>
        </row>
        <row r="1135">
          <cell r="B1135">
            <v>3520274540835</v>
          </cell>
          <cell r="C1135" t="str">
            <v>3rd Tranche</v>
          </cell>
          <cell r="D1135">
            <v>1130</v>
          </cell>
          <cell r="E1135" t="str">
            <v>Abdul Rauf</v>
          </cell>
          <cell r="F1135" t="str">
            <v>Record Keeper</v>
          </cell>
          <cell r="G1135">
            <v>46025</v>
          </cell>
          <cell r="I1135" t="str">
            <v>STOG Shahdran</v>
          </cell>
          <cell r="J1135" t="str">
            <v>05150010104890590018</v>
          </cell>
        </row>
        <row r="1136">
          <cell r="B1136">
            <v>3630122516599</v>
          </cell>
          <cell r="C1136" t="str">
            <v>3rd Tranche</v>
          </cell>
          <cell r="D1136">
            <v>1131</v>
          </cell>
          <cell r="E1136" t="str">
            <v>Junaid Mukhtiar</v>
          </cell>
          <cell r="F1136" t="str">
            <v>Record Keeper (Look After charge of Incharge)</v>
          </cell>
          <cell r="G1136">
            <v>46037</v>
          </cell>
          <cell r="I1136" t="str">
            <v>SB Jallalpur Pirwala</v>
          </cell>
          <cell r="J1136" t="str">
            <v>06390010159038070019</v>
          </cell>
        </row>
        <row r="1137">
          <cell r="B1137">
            <v>3660128648365</v>
          </cell>
          <cell r="C1137" t="str">
            <v>3rd Tranche</v>
          </cell>
          <cell r="D1137">
            <v>1132</v>
          </cell>
          <cell r="E1137" t="str">
            <v>Junaid Sarwar</v>
          </cell>
          <cell r="F1137" t="str">
            <v>Record Keeper</v>
          </cell>
          <cell r="G1137">
            <v>46037</v>
          </cell>
          <cell r="I1137" t="str">
            <v>SB Burewala</v>
          </cell>
          <cell r="J1137" t="str">
            <v>06120010158750160019</v>
          </cell>
        </row>
        <row r="1138">
          <cell r="B1138">
            <v>3520245967333</v>
          </cell>
          <cell r="C1138" t="str">
            <v>3rd Tranche</v>
          </cell>
          <cell r="D1138">
            <v>1133</v>
          </cell>
          <cell r="E1138" t="str">
            <v>Muhammad Azam</v>
          </cell>
          <cell r="F1138" t="str">
            <v>Record Keeper</v>
          </cell>
          <cell r="G1138">
            <v>46039</v>
          </cell>
          <cell r="I1138" t="str">
            <v>STOG Shadman</v>
          </cell>
          <cell r="J1138" t="str">
            <v>02270010160312770017</v>
          </cell>
        </row>
        <row r="1139">
          <cell r="B1139">
            <v>3520299463385</v>
          </cell>
          <cell r="C1139" t="str">
            <v>3rd Tranche</v>
          </cell>
          <cell r="D1139">
            <v>1134</v>
          </cell>
          <cell r="E1139" t="str">
            <v>Hafiz Muhammad Umar</v>
          </cell>
          <cell r="F1139" t="str">
            <v>Record Keeper</v>
          </cell>
          <cell r="G1139">
            <v>46039</v>
          </cell>
          <cell r="I1139" t="str">
            <v>STOG Kharak Nalla</v>
          </cell>
          <cell r="J1139" t="str">
            <v>07660010159238060010</v>
          </cell>
        </row>
        <row r="1140">
          <cell r="B1140">
            <v>3520283948783</v>
          </cell>
          <cell r="C1140" t="str">
            <v>3rd Tranche</v>
          </cell>
          <cell r="D1140">
            <v>1135</v>
          </cell>
          <cell r="E1140" t="str">
            <v>Asad Raza</v>
          </cell>
          <cell r="F1140" t="str">
            <v>Record Keeper</v>
          </cell>
          <cell r="G1140">
            <v>46039</v>
          </cell>
          <cell r="I1140" t="str">
            <v>STOG Awan Town</v>
          </cell>
          <cell r="J1140" t="str">
            <v>05380010158370630011</v>
          </cell>
        </row>
        <row r="1141">
          <cell r="B1141">
            <v>3520264249915</v>
          </cell>
          <cell r="C1141" t="str">
            <v>3rd Tranche</v>
          </cell>
          <cell r="D1141">
            <v>1136</v>
          </cell>
          <cell r="E1141" t="str">
            <v>Rana Haris Zia</v>
          </cell>
          <cell r="F1141" t="str">
            <v>Record Keeper (Look After charge of Incharge)</v>
          </cell>
          <cell r="G1141">
            <v>46041</v>
          </cell>
          <cell r="I1141" t="str">
            <v>STOG Manga Mandi</v>
          </cell>
          <cell r="J1141" t="str">
            <v>07660010158777000010</v>
          </cell>
        </row>
        <row r="1142">
          <cell r="B1142">
            <v>3830264476227</v>
          </cell>
          <cell r="C1142" t="str">
            <v>3rd Tranche</v>
          </cell>
          <cell r="D1142">
            <v>1137</v>
          </cell>
          <cell r="E1142" t="str">
            <v>Muhammad Saqib</v>
          </cell>
          <cell r="F1142" t="str">
            <v>Record Keeper</v>
          </cell>
          <cell r="G1142">
            <v>46045</v>
          </cell>
          <cell r="I1142" t="str">
            <v>SB Mianwali</v>
          </cell>
          <cell r="J1142" t="str">
            <v>06230010158929920010</v>
          </cell>
        </row>
        <row r="1143">
          <cell r="B1143">
            <v>3410218669989</v>
          </cell>
          <cell r="C1143" t="str">
            <v>3rd Tranche</v>
          </cell>
          <cell r="D1143">
            <v>1138</v>
          </cell>
          <cell r="E1143" t="str">
            <v>Hashim Ali</v>
          </cell>
          <cell r="F1143" t="str">
            <v>Record Keeper</v>
          </cell>
          <cell r="G1143">
            <v>46045</v>
          </cell>
          <cell r="I1143" t="str">
            <v>SB Noshehran Virkan</v>
          </cell>
          <cell r="J1143" t="str">
            <v>05610010074197310012</v>
          </cell>
        </row>
        <row r="1144">
          <cell r="B1144">
            <v>3520296699745</v>
          </cell>
          <cell r="C1144" t="str">
            <v>3rd Tranche</v>
          </cell>
          <cell r="D1144">
            <v>1139</v>
          </cell>
          <cell r="E1144" t="str">
            <v>Danish Tariq</v>
          </cell>
          <cell r="F1144" t="str">
            <v>Record Keeper</v>
          </cell>
          <cell r="G1144">
            <v>46038</v>
          </cell>
          <cell r="I1144" t="str">
            <v>SB Sabzazaar</v>
          </cell>
          <cell r="J1144" t="str">
            <v>06880010107304710016</v>
          </cell>
        </row>
        <row r="1145">
          <cell r="B1145">
            <v>3520232345015</v>
          </cell>
          <cell r="C1145" t="str">
            <v>3rd Tranche</v>
          </cell>
          <cell r="D1145">
            <v>1140</v>
          </cell>
          <cell r="E1145" t="str">
            <v>Tayyab Sarwar</v>
          </cell>
          <cell r="F1145" t="str">
            <v>Record Keeper</v>
          </cell>
          <cell r="G1145">
            <v>46039</v>
          </cell>
          <cell r="I1145" t="str">
            <v>STOG Madina Market Township</v>
          </cell>
          <cell r="J1145" t="str">
            <v>14180010159222680019</v>
          </cell>
        </row>
        <row r="1146">
          <cell r="B1146">
            <v>3520216837975</v>
          </cell>
          <cell r="C1146" t="str">
            <v>3rd Tranche</v>
          </cell>
          <cell r="D1146">
            <v>1141</v>
          </cell>
          <cell r="E1146" t="str">
            <v>Hussain Nadeem</v>
          </cell>
          <cell r="F1146" t="str">
            <v>Record Keeper</v>
          </cell>
          <cell r="G1146">
            <v>46039</v>
          </cell>
          <cell r="I1146" t="str">
            <v>SB Nishter Town</v>
          </cell>
          <cell r="J1146" t="str">
            <v>11950010124864740012</v>
          </cell>
        </row>
        <row r="1147">
          <cell r="B1147">
            <v>3520234687635</v>
          </cell>
          <cell r="C1147" t="str">
            <v>3rd Tranche</v>
          </cell>
          <cell r="D1147">
            <v>1142</v>
          </cell>
          <cell r="E1147" t="str">
            <v>Abu Harira</v>
          </cell>
          <cell r="F1147" t="str">
            <v>Record Keeper</v>
          </cell>
          <cell r="G1147">
            <v>46039</v>
          </cell>
          <cell r="I1147" t="str">
            <v>SB Johar Town</v>
          </cell>
          <cell r="J1147" t="str">
            <v>07660010158404110010</v>
          </cell>
        </row>
        <row r="1148">
          <cell r="B1148">
            <v>3520258411749</v>
          </cell>
          <cell r="C1148" t="str">
            <v>Suspended 20-04-26</v>
          </cell>
          <cell r="D1148">
            <v>1143</v>
          </cell>
          <cell r="E1148" t="str">
            <v>Babar Hussain</v>
          </cell>
          <cell r="F1148" t="str">
            <v>Record Keeper</v>
          </cell>
          <cell r="G1148">
            <v>46039</v>
          </cell>
          <cell r="I1148" t="str">
            <v>STOG Kharak Nalla</v>
          </cell>
          <cell r="J1148" t="str">
            <v>03910010160275290014</v>
          </cell>
        </row>
        <row r="1149">
          <cell r="B1149">
            <v>3520219010901</v>
          </cell>
          <cell r="C1149" t="str">
            <v>3rd Tranche</v>
          </cell>
          <cell r="D1149">
            <v>1144</v>
          </cell>
          <cell r="E1149" t="str">
            <v>Noman Ali</v>
          </cell>
          <cell r="F1149" t="str">
            <v>Record Keeper</v>
          </cell>
          <cell r="G1149">
            <v>46039</v>
          </cell>
          <cell r="I1149" t="str">
            <v>STOG Manga Mandi</v>
          </cell>
          <cell r="J1149" t="str">
            <v>07660010158946270010</v>
          </cell>
        </row>
        <row r="1150">
          <cell r="B1150">
            <v>3520260226651</v>
          </cell>
          <cell r="C1150" t="str">
            <v>3rd Tranche</v>
          </cell>
          <cell r="D1150">
            <v>1145</v>
          </cell>
          <cell r="E1150" t="str">
            <v>Mian Muhammad Waleed Fiaz</v>
          </cell>
          <cell r="F1150" t="str">
            <v>Record Keeper</v>
          </cell>
          <cell r="G1150">
            <v>46042</v>
          </cell>
          <cell r="I1150" t="str">
            <v>SB Sher Sha Colony</v>
          </cell>
          <cell r="J1150" t="str">
            <v>03910010158868960015</v>
          </cell>
        </row>
        <row r="1151">
          <cell r="B1151">
            <v>3510191843407</v>
          </cell>
          <cell r="C1151" t="str">
            <v>2nd Tranche</v>
          </cell>
          <cell r="D1151">
            <v>1146</v>
          </cell>
          <cell r="E1151" t="str">
            <v>Shoukat Ali</v>
          </cell>
          <cell r="F1151" t="str">
            <v>Security &amp; Parking Attendant</v>
          </cell>
          <cell r="G1151">
            <v>45992</v>
          </cell>
          <cell r="I1151" t="str">
            <v>SB Chunian</v>
          </cell>
          <cell r="J1151" t="str">
            <v>07740010155387820017</v>
          </cell>
        </row>
        <row r="1152">
          <cell r="B1152">
            <v>3520239391423</v>
          </cell>
          <cell r="C1152" t="str">
            <v>2nd Tranche</v>
          </cell>
          <cell r="D1152">
            <v>1147</v>
          </cell>
          <cell r="E1152" t="str">
            <v>Muhammad Qadeer</v>
          </cell>
          <cell r="F1152" t="str">
            <v>Security &amp; Parking Attendant</v>
          </cell>
          <cell r="G1152">
            <v>46024</v>
          </cell>
          <cell r="I1152" t="str">
            <v>STOG Shadman</v>
          </cell>
          <cell r="J1152" t="str">
            <v>02270010157731730012</v>
          </cell>
        </row>
        <row r="1153">
          <cell r="B1153">
            <v>3520208439327</v>
          </cell>
          <cell r="C1153" t="str">
            <v>2nd Tranche</v>
          </cell>
          <cell r="D1153">
            <v>1148</v>
          </cell>
          <cell r="E1153" t="str">
            <v>Ghulam Mustafa</v>
          </cell>
          <cell r="F1153" t="str">
            <v>Security &amp; Parking Attendant</v>
          </cell>
          <cell r="G1153">
            <v>46024</v>
          </cell>
          <cell r="I1153" t="str">
            <v>STOG Shadman</v>
          </cell>
          <cell r="J1153" t="str">
            <v>02270010157521850015</v>
          </cell>
        </row>
        <row r="1154">
          <cell r="B1154">
            <v>3460326402677</v>
          </cell>
          <cell r="C1154" t="str">
            <v>2nd Tranche</v>
          </cell>
          <cell r="D1154">
            <v>1149</v>
          </cell>
          <cell r="E1154" t="str">
            <v>Junaid Daniyal</v>
          </cell>
          <cell r="F1154" t="str">
            <v>Security &amp; Parking Attendant</v>
          </cell>
          <cell r="G1154">
            <v>46014</v>
          </cell>
          <cell r="I1154" t="str">
            <v>SB Sialkot</v>
          </cell>
          <cell r="J1154" t="str">
            <v>09140010157676980019</v>
          </cell>
        </row>
        <row r="1155">
          <cell r="B1155">
            <v>3540466111147</v>
          </cell>
          <cell r="C1155" t="str">
            <v>2nd Tranche</v>
          </cell>
          <cell r="D1155">
            <v>1150</v>
          </cell>
          <cell r="E1155" t="str">
            <v xml:space="preserve">Muhammad Awais </v>
          </cell>
          <cell r="F1155" t="str">
            <v>Security &amp; Parking Attendant</v>
          </cell>
          <cell r="G1155">
            <v>46022</v>
          </cell>
          <cell r="I1155" t="str">
            <v>STOG Shahdran</v>
          </cell>
          <cell r="J1155" t="str">
            <v>06200010157835000014</v>
          </cell>
        </row>
        <row r="1156">
          <cell r="B1156">
            <v>3520143451069</v>
          </cell>
          <cell r="C1156" t="str">
            <v>2nd Tranche</v>
          </cell>
          <cell r="D1156">
            <v>1151</v>
          </cell>
          <cell r="E1156" t="str">
            <v>Muhammad Arslan</v>
          </cell>
          <cell r="F1156" t="str">
            <v>Security &amp; Parking Attendant</v>
          </cell>
          <cell r="G1156">
            <v>46034</v>
          </cell>
          <cell r="I1156" t="str">
            <v>SB China Scheme</v>
          </cell>
          <cell r="J1156" t="str">
            <v>16200010158711130013</v>
          </cell>
        </row>
        <row r="1157">
          <cell r="B1157">
            <v>3660193159413</v>
          </cell>
          <cell r="C1157" t="str">
            <v>2nd Tranche</v>
          </cell>
          <cell r="D1157">
            <v>1152</v>
          </cell>
          <cell r="E1157" t="str">
            <v>Muhammad Ramzan</v>
          </cell>
          <cell r="F1157" t="str">
            <v>Security &amp; Parking Attendant</v>
          </cell>
          <cell r="G1157">
            <v>46031</v>
          </cell>
          <cell r="I1157" t="str">
            <v>SB Burewala</v>
          </cell>
          <cell r="J1157" t="str">
            <v>06120010159371040012</v>
          </cell>
        </row>
        <row r="1158">
          <cell r="B1158">
            <v>3460233853303</v>
          </cell>
          <cell r="C1158" t="str">
            <v>2nd Tranche</v>
          </cell>
          <cell r="D1158">
            <v>1153</v>
          </cell>
          <cell r="E1158" t="str">
            <v>Danish Ali</v>
          </cell>
          <cell r="F1158" t="str">
            <v>Security &amp; Parking Attendant</v>
          </cell>
          <cell r="G1158">
            <v>46025</v>
          </cell>
          <cell r="I1158" t="str">
            <v>STOG Madr-e-Millat</v>
          </cell>
          <cell r="J1158" t="str">
            <v>52050020158291160016</v>
          </cell>
        </row>
        <row r="1159">
          <cell r="B1159">
            <v>3520135717925</v>
          </cell>
          <cell r="C1159" t="str">
            <v>2nd Tranche</v>
          </cell>
          <cell r="D1159">
            <v>1154</v>
          </cell>
          <cell r="E1159" t="str">
            <v>Ahmed Ali Sher</v>
          </cell>
          <cell r="F1159" t="str">
            <v>Security &amp; Parking Attendant</v>
          </cell>
          <cell r="G1159">
            <v>46037</v>
          </cell>
          <cell r="I1159" t="str">
            <v>SB China Scheme</v>
          </cell>
          <cell r="J1159" t="str">
            <v>02130010158748470014</v>
          </cell>
        </row>
        <row r="1160">
          <cell r="B1160">
            <v>3450183961501</v>
          </cell>
          <cell r="C1160" t="str">
            <v>2nd Tranche</v>
          </cell>
          <cell r="D1160">
            <v>1155</v>
          </cell>
          <cell r="E1160" t="str">
            <v>Mohsin Ali</v>
          </cell>
          <cell r="F1160" t="str">
            <v>Security &amp; Parking Attendant</v>
          </cell>
          <cell r="G1160">
            <v>46037</v>
          </cell>
          <cell r="I1160" t="str">
            <v>STOG Valencia</v>
          </cell>
          <cell r="J1160" t="str">
            <v>05380010158373330017</v>
          </cell>
        </row>
        <row r="1161">
          <cell r="B1161">
            <v>3520269401805</v>
          </cell>
          <cell r="C1161" t="str">
            <v>2nd Tranche</v>
          </cell>
          <cell r="D1161">
            <v>1156</v>
          </cell>
          <cell r="E1161" t="str">
            <v>Zahid Subhani</v>
          </cell>
          <cell r="F1161" t="str">
            <v>Security &amp; Parking Attendant</v>
          </cell>
          <cell r="G1161">
            <v>46037</v>
          </cell>
          <cell r="I1161" t="str">
            <v>STOG Kharak Nalla</v>
          </cell>
          <cell r="J1161" t="str">
            <v>07890010158237760010</v>
          </cell>
        </row>
        <row r="1162">
          <cell r="B1162">
            <v>1730188814217</v>
          </cell>
          <cell r="C1162" t="str">
            <v>Death case 06-05-26</v>
          </cell>
          <cell r="D1162">
            <v>1157</v>
          </cell>
          <cell r="E1162" t="str">
            <v>Shehzad Nadeem</v>
          </cell>
          <cell r="F1162" t="str">
            <v>Security &amp; Parking Attendant</v>
          </cell>
          <cell r="G1162">
            <v>46038</v>
          </cell>
          <cell r="I1162" t="str">
            <v>STOG Gulshan-e-Ravi</v>
          </cell>
          <cell r="J1162" t="str">
            <v>09410010159308160018</v>
          </cell>
        </row>
        <row r="1163">
          <cell r="B1163">
            <v>3640243235053</v>
          </cell>
          <cell r="C1163" t="str">
            <v>2nd Tranche</v>
          </cell>
          <cell r="D1163">
            <v>1158</v>
          </cell>
          <cell r="E1163" t="str">
            <v>Waseem Sarwar</v>
          </cell>
          <cell r="F1163" t="str">
            <v>Security &amp; Parking Attendant</v>
          </cell>
          <cell r="G1163">
            <v>46038</v>
          </cell>
          <cell r="I1163" t="str">
            <v>STOG Madr-e-Millat</v>
          </cell>
          <cell r="J1163" t="str">
            <v>07030010158436900017</v>
          </cell>
        </row>
        <row r="1164">
          <cell r="B1164">
            <v>3520172595725</v>
          </cell>
          <cell r="C1164" t="str">
            <v>2nd Tranche</v>
          </cell>
          <cell r="D1164">
            <v>1159</v>
          </cell>
          <cell r="E1164" t="str">
            <v>Muhammad Talha</v>
          </cell>
          <cell r="F1164" t="str">
            <v>Security &amp; Parking Attendant</v>
          </cell>
          <cell r="G1164">
            <v>46037</v>
          </cell>
          <cell r="I1164" t="str">
            <v>STOG Valencia</v>
          </cell>
          <cell r="J1164" t="str">
            <v>10810010104911040018</v>
          </cell>
        </row>
        <row r="1165">
          <cell r="B1165">
            <v>3520219734467</v>
          </cell>
          <cell r="C1165" t="str">
            <v>2nd Tranche</v>
          </cell>
          <cell r="D1165">
            <v>1160</v>
          </cell>
          <cell r="E1165" t="str">
            <v>Nazim Hussain</v>
          </cell>
          <cell r="F1165" t="str">
            <v>Security &amp; Parking Attendant</v>
          </cell>
          <cell r="G1165">
            <v>46037</v>
          </cell>
          <cell r="I1165" t="str">
            <v>STOG Valencia</v>
          </cell>
          <cell r="J1165" t="str">
            <v>05380010158266240019</v>
          </cell>
        </row>
        <row r="1166">
          <cell r="B1166">
            <v>3520230875883</v>
          </cell>
          <cell r="C1166" t="str">
            <v>2nd Tranche</v>
          </cell>
          <cell r="D1166">
            <v>1161</v>
          </cell>
          <cell r="E1166" t="str">
            <v>Muhammad Abdul Mateen Subhani</v>
          </cell>
          <cell r="F1166" t="str">
            <v>Security &amp; Parking Attendant</v>
          </cell>
          <cell r="G1166">
            <v>46037</v>
          </cell>
          <cell r="I1166" t="str">
            <v>SB Harbanspura</v>
          </cell>
          <cell r="J1166" t="str">
            <v>05450010114670640014</v>
          </cell>
        </row>
        <row r="1167">
          <cell r="B1167">
            <v>3520182699961</v>
          </cell>
          <cell r="C1167" t="str">
            <v>2nd Tranche</v>
          </cell>
          <cell r="D1167">
            <v>1162</v>
          </cell>
          <cell r="E1167" t="str">
            <v>Muhammad Ahmad</v>
          </cell>
          <cell r="F1167" t="str">
            <v>Security &amp; Parking Attendant</v>
          </cell>
          <cell r="G1167">
            <v>46040</v>
          </cell>
          <cell r="I1167" t="str">
            <v>SB Harbanspura</v>
          </cell>
          <cell r="J1167" t="str">
            <v>08770010158659940013</v>
          </cell>
        </row>
        <row r="1168">
          <cell r="B1168">
            <v>3520270512831</v>
          </cell>
          <cell r="C1168" t="str">
            <v>2nd Tranche</v>
          </cell>
          <cell r="D1168">
            <v>1163</v>
          </cell>
          <cell r="E1168" t="str">
            <v>Azhar Mukhtar</v>
          </cell>
          <cell r="F1168" t="str">
            <v>Security &amp; Parking Attendant</v>
          </cell>
          <cell r="G1168">
            <v>46039</v>
          </cell>
          <cell r="I1168" t="str">
            <v>STOG Manga Mandi</v>
          </cell>
          <cell r="J1168" t="str">
            <v>07660010158951230019</v>
          </cell>
        </row>
        <row r="1169">
          <cell r="B1169">
            <v>3610294950777</v>
          </cell>
          <cell r="C1169" t="str">
            <v>2nd Tranche</v>
          </cell>
          <cell r="D1169">
            <v>1164</v>
          </cell>
          <cell r="E1169" t="str">
            <v>Ahmad Nawaz</v>
          </cell>
          <cell r="F1169" t="str">
            <v>Security &amp; Parking Attendant</v>
          </cell>
          <cell r="G1169">
            <v>46039</v>
          </cell>
          <cell r="I1169" t="str">
            <v>SB DG Khan</v>
          </cell>
          <cell r="J1169" t="str">
            <v>03660010158521540011</v>
          </cell>
        </row>
        <row r="1170">
          <cell r="B1170">
            <v>3330405008515</v>
          </cell>
          <cell r="C1170" t="str">
            <v>2nd Tranche</v>
          </cell>
          <cell r="D1170">
            <v>1165</v>
          </cell>
          <cell r="E1170" t="str">
            <v>Muhammad Hassan</v>
          </cell>
          <cell r="F1170" t="str">
            <v>Security &amp; Parking Attendant</v>
          </cell>
          <cell r="G1170">
            <v>46039</v>
          </cell>
          <cell r="I1170" t="str">
            <v>SB DG Khan</v>
          </cell>
          <cell r="J1170" t="str">
            <v>03660010158525130010</v>
          </cell>
        </row>
        <row r="1171">
          <cell r="B1171">
            <v>3450126932491</v>
          </cell>
          <cell r="C1171" t="str">
            <v>2nd Tranche</v>
          </cell>
          <cell r="D1171">
            <v>1166</v>
          </cell>
          <cell r="E1171" t="str">
            <v>Iman Ali</v>
          </cell>
          <cell r="F1171" t="str">
            <v>Security &amp; Parking Attendant</v>
          </cell>
          <cell r="G1171">
            <v>46045</v>
          </cell>
          <cell r="I1171" t="str">
            <v>SB Gujrat</v>
          </cell>
          <cell r="J1171" t="str">
            <v>51870020159332330013</v>
          </cell>
        </row>
        <row r="1172">
          <cell r="B1172">
            <v>3430103408589</v>
          </cell>
          <cell r="C1172" t="str">
            <v>2nd Tranche</v>
          </cell>
          <cell r="D1172">
            <v>1167</v>
          </cell>
          <cell r="E1172" t="str">
            <v>Ijaz Ahmad</v>
          </cell>
          <cell r="F1172" t="str">
            <v>Security &amp; Parking Attendant</v>
          </cell>
          <cell r="G1172">
            <v>46051</v>
          </cell>
          <cell r="I1172" t="str">
            <v>SB Hafizabad</v>
          </cell>
          <cell r="J1172" t="str">
            <v>07940010159589370012</v>
          </cell>
        </row>
        <row r="1173">
          <cell r="B1173">
            <v>3520280209909</v>
          </cell>
          <cell r="C1173" t="str">
            <v>2nd Tranche</v>
          </cell>
          <cell r="D1173">
            <v>1168</v>
          </cell>
          <cell r="E1173" t="str">
            <v>Allah Wasaya</v>
          </cell>
          <cell r="F1173" t="str">
            <v>Sanitation Attendant</v>
          </cell>
          <cell r="G1173">
            <v>46038</v>
          </cell>
          <cell r="I1173" t="str">
            <v>STOG Raiwind Road Sundar</v>
          </cell>
          <cell r="J1173" t="str">
            <v>03910010159568830019</v>
          </cell>
        </row>
        <row r="1174">
          <cell r="B1174">
            <v>3520403615643</v>
          </cell>
          <cell r="C1174" t="str">
            <v>2nd Tranche</v>
          </cell>
          <cell r="D1174">
            <v>1169</v>
          </cell>
          <cell r="E1174" t="str">
            <v>Awais Masih</v>
          </cell>
          <cell r="F1174" t="str">
            <v>Sanitation Attendant</v>
          </cell>
          <cell r="G1174">
            <v>46030</v>
          </cell>
          <cell r="I1174" t="str">
            <v>STOG Kharak Nalla</v>
          </cell>
          <cell r="J1174" t="str">
            <v>10520010125869340018</v>
          </cell>
        </row>
        <row r="1175">
          <cell r="B1175">
            <v>3520175774185</v>
          </cell>
          <cell r="C1175" t="str">
            <v>2nd Tranche</v>
          </cell>
          <cell r="D1175">
            <v>1170</v>
          </cell>
          <cell r="E1175" t="str">
            <v>Kashif Younas</v>
          </cell>
          <cell r="F1175" t="str">
            <v>Sanitation Attendant</v>
          </cell>
          <cell r="G1175">
            <v>46026</v>
          </cell>
          <cell r="I1175" t="str">
            <v>STOG Shahdran</v>
          </cell>
          <cell r="J1175" t="str">
            <v>05150010158409510014</v>
          </cell>
        </row>
        <row r="1176">
          <cell r="B1176">
            <v>3520227796951</v>
          </cell>
          <cell r="C1176" t="str">
            <v>2nd Tranche</v>
          </cell>
          <cell r="D1176">
            <v>1171</v>
          </cell>
          <cell r="E1176" t="str">
            <v>Qamar Hayat</v>
          </cell>
          <cell r="F1176" t="str">
            <v>Sanitation Attendant</v>
          </cell>
          <cell r="G1176">
            <v>46026</v>
          </cell>
          <cell r="I1176" t="str">
            <v>STOG Shahdran</v>
          </cell>
          <cell r="J1176" t="str">
            <v>06010010158531430018</v>
          </cell>
        </row>
        <row r="1177">
          <cell r="B1177">
            <v>3520266937401</v>
          </cell>
          <cell r="C1177" t="str">
            <v>2nd Tranche</v>
          </cell>
          <cell r="D1177">
            <v>1172</v>
          </cell>
          <cell r="E1177" t="str">
            <v>Vicky Masih</v>
          </cell>
          <cell r="F1177" t="str">
            <v>Sanitation Attendant</v>
          </cell>
          <cell r="G1177">
            <v>46026</v>
          </cell>
          <cell r="I1177" t="str">
            <v>STOG Shahdran</v>
          </cell>
          <cell r="J1177" t="str">
            <v>06010010154500380017</v>
          </cell>
        </row>
        <row r="1178">
          <cell r="B1178">
            <v>3510257091749</v>
          </cell>
          <cell r="C1178" t="str">
            <v>2nd Tranche</v>
          </cell>
          <cell r="D1178">
            <v>1173</v>
          </cell>
          <cell r="E1178" t="str">
            <v>Sahil Naqash</v>
          </cell>
          <cell r="F1178" t="str">
            <v>Sanitation Attendant</v>
          </cell>
          <cell r="G1178">
            <v>46012</v>
          </cell>
          <cell r="I1178" t="str">
            <v>STOG Shadman</v>
          </cell>
          <cell r="J1178" t="str">
            <v>02270010158699560013</v>
          </cell>
        </row>
        <row r="1179">
          <cell r="B1179">
            <v>3840372888129</v>
          </cell>
          <cell r="C1179" t="str">
            <v>2nd Tranche</v>
          </cell>
          <cell r="D1179">
            <v>1174</v>
          </cell>
          <cell r="E1179" t="str">
            <v>Riaz</v>
          </cell>
          <cell r="F1179" t="str">
            <v>Sanitation Attendant</v>
          </cell>
          <cell r="G1179">
            <v>46042</v>
          </cell>
          <cell r="I1179" t="str">
            <v>SB Sargodha</v>
          </cell>
          <cell r="J1179" t="str">
            <v>07980010158632010013</v>
          </cell>
        </row>
        <row r="1180">
          <cell r="B1180">
            <v>3520284305261</v>
          </cell>
          <cell r="C1180" t="str">
            <v>2nd Tranche</v>
          </cell>
          <cell r="D1180">
            <v>1175</v>
          </cell>
          <cell r="E1180" t="str">
            <v>Shakeel Akram</v>
          </cell>
          <cell r="F1180" t="str">
            <v>Sanitation Attendant</v>
          </cell>
          <cell r="G1180">
            <v>46050</v>
          </cell>
          <cell r="I1180" t="str">
            <v>SB Raiwind</v>
          </cell>
          <cell r="J1180" t="str">
            <v>03910010159051120027</v>
          </cell>
        </row>
        <row r="1181">
          <cell r="B1181">
            <v>3530243705593</v>
          </cell>
          <cell r="C1181" t="str">
            <v>2nd Tranche</v>
          </cell>
          <cell r="D1181">
            <v>1176</v>
          </cell>
          <cell r="E1181" t="str">
            <v>Muhammad Arslan</v>
          </cell>
          <cell r="F1181" t="str">
            <v>Sanitation Attendant</v>
          </cell>
          <cell r="G1181">
            <v>46023</v>
          </cell>
          <cell r="I1181" t="str">
            <v>SB Okara</v>
          </cell>
          <cell r="J1181" t="str">
            <v>09740010151712760016</v>
          </cell>
        </row>
        <row r="1182">
          <cell r="B1182">
            <v>3510266916825</v>
          </cell>
          <cell r="C1182" t="str">
            <v>3rd Tranche</v>
          </cell>
          <cell r="D1182">
            <v>1177</v>
          </cell>
          <cell r="E1182" t="str">
            <v>Ali Wajid</v>
          </cell>
          <cell r="F1182" t="str">
            <v>Sahulat Bazaar Supervisor</v>
          </cell>
          <cell r="G1182">
            <v>46054</v>
          </cell>
          <cell r="I1182" t="str">
            <v>SB Rawalpindi</v>
          </cell>
          <cell r="J1182" t="str">
            <v>05700010160794630012</v>
          </cell>
        </row>
        <row r="1183">
          <cell r="B1183">
            <v>3540161245207</v>
          </cell>
          <cell r="C1183" t="str">
            <v>3rd Tranche</v>
          </cell>
          <cell r="D1183">
            <v>1178</v>
          </cell>
          <cell r="E1183" t="str">
            <v>Khurram Shahzad</v>
          </cell>
          <cell r="F1183" t="str">
            <v>Sahulat Bazaar Supervisor</v>
          </cell>
          <cell r="G1183">
            <v>46054</v>
          </cell>
          <cell r="I1183" t="str">
            <v>SB Nishter Town</v>
          </cell>
          <cell r="J1183" t="str">
            <v>05220010121655630016</v>
          </cell>
        </row>
        <row r="1184">
          <cell r="B1184">
            <v>3410173466812</v>
          </cell>
          <cell r="C1184" t="str">
            <v>3rd Tranche</v>
          </cell>
          <cell r="D1184">
            <v>1179</v>
          </cell>
          <cell r="E1184" t="str">
            <v>Fiza Rasheed</v>
          </cell>
          <cell r="F1184" t="str">
            <v>Sahulat Bazaar Supervisor</v>
          </cell>
          <cell r="G1184">
            <v>46054</v>
          </cell>
          <cell r="I1184" t="str">
            <v>SB Sialkot</v>
          </cell>
          <cell r="J1184" t="str">
            <v>07280010156011650018</v>
          </cell>
        </row>
        <row r="1185">
          <cell r="B1185">
            <v>3120556777649</v>
          </cell>
          <cell r="C1185" t="str">
            <v>3rd Tranche</v>
          </cell>
          <cell r="D1185">
            <v>1180</v>
          </cell>
          <cell r="E1185" t="str">
            <v>Muhammad Nouman Khalid</v>
          </cell>
          <cell r="F1185" t="str">
            <v>Sahulat Bazaar Supervisor</v>
          </cell>
          <cell r="G1185">
            <v>46054</v>
          </cell>
          <cell r="I1185" t="str">
            <v>SB Vehari</v>
          </cell>
          <cell r="J1185" t="str">
            <v>03530010155752880014</v>
          </cell>
        </row>
        <row r="1186">
          <cell r="B1186">
            <v>3540185027683</v>
          </cell>
          <cell r="C1186" t="str">
            <v>3rd Tranche</v>
          </cell>
          <cell r="D1186">
            <v>1181</v>
          </cell>
          <cell r="E1186" t="str">
            <v>Muhammad Sannan</v>
          </cell>
          <cell r="F1186" t="str">
            <v>Record Keeper</v>
          </cell>
          <cell r="G1186">
            <v>46064</v>
          </cell>
          <cell r="I1186" t="str">
            <v>STOG Ferozwala</v>
          </cell>
          <cell r="J1186" t="str">
            <v>05200010159863720014</v>
          </cell>
        </row>
        <row r="1187">
          <cell r="B1187">
            <v>3520208017269</v>
          </cell>
          <cell r="C1187" t="str">
            <v>3rd Tranche</v>
          </cell>
          <cell r="D1187">
            <v>1182</v>
          </cell>
          <cell r="E1187" t="str">
            <v>Shahid Hussain</v>
          </cell>
          <cell r="F1187" t="str">
            <v>Record Keeper</v>
          </cell>
          <cell r="G1187">
            <v>46069</v>
          </cell>
          <cell r="I1187" t="str">
            <v>SB Nishter Town</v>
          </cell>
          <cell r="J1187" t="str">
            <v>05980010010264040022</v>
          </cell>
        </row>
        <row r="1188">
          <cell r="B1188">
            <v>3330201304725</v>
          </cell>
          <cell r="C1188" t="str">
            <v>2nd Tranche</v>
          </cell>
          <cell r="D1188">
            <v>1183</v>
          </cell>
          <cell r="E1188" t="str">
            <v>Muhammad Zaman</v>
          </cell>
          <cell r="F1188" t="str">
            <v>Security &amp; Parking Attendant</v>
          </cell>
          <cell r="G1188">
            <v>46070</v>
          </cell>
          <cell r="I1188" t="str">
            <v>SB Thokar</v>
          </cell>
          <cell r="J1188" t="str">
            <v>10010010131100090022</v>
          </cell>
        </row>
        <row r="1189">
          <cell r="B1189">
            <v>3220372754381</v>
          </cell>
          <cell r="C1189" t="str">
            <v>3rd Tranche</v>
          </cell>
          <cell r="D1189">
            <v>1184</v>
          </cell>
          <cell r="E1189" t="str">
            <v>Azhar Abbas</v>
          </cell>
          <cell r="F1189" t="str">
            <v>Record Keeper</v>
          </cell>
          <cell r="G1189">
            <v>46079</v>
          </cell>
          <cell r="I1189" t="str">
            <v>STOG Minor Road Layyah</v>
          </cell>
          <cell r="J1189" t="str">
            <v>51400020160856690013</v>
          </cell>
        </row>
        <row r="1190">
          <cell r="B1190">
            <v>3110110559935</v>
          </cell>
          <cell r="C1190" t="str">
            <v>3rd Tranche</v>
          </cell>
          <cell r="D1190">
            <v>1185</v>
          </cell>
          <cell r="E1190" t="str">
            <v>Muhammad Asif</v>
          </cell>
          <cell r="F1190" t="str">
            <v>Sahulat Bazaar Supervisor</v>
          </cell>
          <cell r="G1190">
            <v>46082</v>
          </cell>
          <cell r="I1190" t="str">
            <v>SB Bahawalpur</v>
          </cell>
          <cell r="J1190" t="str">
            <v>52710020160980330018</v>
          </cell>
        </row>
        <row r="1191">
          <cell r="B1191">
            <v>9040302291991</v>
          </cell>
          <cell r="C1191" t="str">
            <v>3rd Tranche</v>
          </cell>
          <cell r="D1191">
            <v>1186</v>
          </cell>
          <cell r="E1191" t="str">
            <v>Abdul Rehman</v>
          </cell>
          <cell r="F1191" t="str">
            <v>Sahulat Bazaar Supervisor</v>
          </cell>
          <cell r="G1191">
            <v>46082</v>
          </cell>
          <cell r="I1191" t="str">
            <v>SB Layyah</v>
          </cell>
          <cell r="J1191" t="str">
            <v>04850010161190100017</v>
          </cell>
        </row>
        <row r="1192">
          <cell r="B1192">
            <v>3510262918349</v>
          </cell>
          <cell r="C1192" t="str">
            <v>2nd Tranche</v>
          </cell>
          <cell r="D1192">
            <v>1187</v>
          </cell>
          <cell r="E1192" t="str">
            <v>Ameen Masih</v>
          </cell>
          <cell r="F1192" t="str">
            <v>Sanitation Attendant</v>
          </cell>
          <cell r="G1192">
            <v>46134</v>
          </cell>
          <cell r="I1192" t="str">
            <v>SB Nishter Town</v>
          </cell>
          <cell r="J1192" t="str">
            <v>05980010163710990012</v>
          </cell>
        </row>
        <row r="1193">
          <cell r="B1193">
            <v>3520133083761</v>
          </cell>
          <cell r="C1193" t="str">
            <v>2nd Tranche</v>
          </cell>
          <cell r="D1193">
            <v>1188</v>
          </cell>
          <cell r="E1193" t="str">
            <v>Shoaib</v>
          </cell>
          <cell r="F1193" t="str">
            <v>Sanitation Attendant</v>
          </cell>
          <cell r="G1193">
            <v>46134</v>
          </cell>
          <cell r="I1193" t="str">
            <v>STOG Barki Road</v>
          </cell>
          <cell r="J1193" t="str">
            <v>51890020094165620017</v>
          </cell>
        </row>
      </sheetData>
      <sheetData sheetId="1">
        <row r="7">
          <cell r="B7">
            <v>3520209405169</v>
          </cell>
          <cell r="C7">
            <v>1</v>
          </cell>
          <cell r="D7" t="str">
            <v>Naveed Rafaqat Ahmad</v>
          </cell>
          <cell r="E7" t="str">
            <v>ADG (Headquarter, Finance &amp; Strategic Planning)</v>
          </cell>
          <cell r="F7">
            <v>42522</v>
          </cell>
          <cell r="G7">
            <v>0</v>
          </cell>
          <cell r="H7" t="str">
            <v>Head Office</v>
          </cell>
          <cell r="I7" t="str">
            <v>02880010025080120035</v>
          </cell>
        </row>
        <row r="8">
          <cell r="B8">
            <v>3520294410711</v>
          </cell>
          <cell r="C8">
            <v>2</v>
          </cell>
          <cell r="D8" t="str">
            <v>Farhan Dilawar Sheikh</v>
          </cell>
          <cell r="E8" t="str">
            <v>Additional Director (Audit, Monitoring &amp; Evaluation)</v>
          </cell>
          <cell r="F8">
            <v>43110</v>
          </cell>
          <cell r="G8">
            <v>0</v>
          </cell>
          <cell r="H8" t="str">
            <v>Head Office</v>
          </cell>
          <cell r="I8" t="str">
            <v>02880010049544070016</v>
          </cell>
        </row>
        <row r="9">
          <cell r="B9">
            <v>3520086525621</v>
          </cell>
          <cell r="C9">
            <v>3</v>
          </cell>
          <cell r="D9" t="str">
            <v>Roshan Zameer</v>
          </cell>
          <cell r="E9" t="str">
            <v>Additional Director (Projects, Planning &amp; Special Initiatives)</v>
          </cell>
          <cell r="F9">
            <v>42500</v>
          </cell>
          <cell r="G9">
            <v>0</v>
          </cell>
          <cell r="H9" t="str">
            <v>Head Office</v>
          </cell>
          <cell r="I9" t="str">
            <v>02880010046555670014</v>
          </cell>
        </row>
        <row r="10">
          <cell r="B10">
            <v>3520258457507</v>
          </cell>
          <cell r="C10">
            <v>4</v>
          </cell>
          <cell r="D10" t="str">
            <v>Sadaam Hussain</v>
          </cell>
          <cell r="E10" t="str">
            <v>Additional Director (Operations &amp; Revenue)</v>
          </cell>
          <cell r="F10">
            <v>42500</v>
          </cell>
          <cell r="G10">
            <v>0</v>
          </cell>
          <cell r="H10" t="str">
            <v>Head Office</v>
          </cell>
          <cell r="I10" t="str">
            <v>02880010045565410019</v>
          </cell>
        </row>
        <row r="11">
          <cell r="B11">
            <v>3230313997409</v>
          </cell>
          <cell r="C11">
            <v>5</v>
          </cell>
          <cell r="D11" t="str">
            <v>Muhammad Asad Abbas</v>
          </cell>
          <cell r="E11" t="str">
            <v>Sr. Engineer (Civil)</v>
          </cell>
          <cell r="F11">
            <v>43048</v>
          </cell>
          <cell r="G11">
            <v>0</v>
          </cell>
          <cell r="H11" t="str">
            <v>Head Office</v>
          </cell>
          <cell r="I11" t="str">
            <v>02880010048328110012</v>
          </cell>
        </row>
        <row r="12">
          <cell r="B12">
            <v>3210298220329</v>
          </cell>
          <cell r="C12">
            <v>6</v>
          </cell>
          <cell r="D12" t="str">
            <v>Barkat Ali</v>
          </cell>
          <cell r="E12" t="str">
            <v>Structural Design Engineer</v>
          </cell>
          <cell r="F12">
            <v>44662</v>
          </cell>
          <cell r="G12">
            <v>0</v>
          </cell>
          <cell r="H12" t="str">
            <v>Head Office</v>
          </cell>
          <cell r="I12" t="str">
            <v>02880010037434520020</v>
          </cell>
        </row>
        <row r="13">
          <cell r="B13">
            <v>3830242683949</v>
          </cell>
          <cell r="C13">
            <v>7</v>
          </cell>
          <cell r="D13" t="str">
            <v>Muhammad Aamir</v>
          </cell>
          <cell r="E13" t="str">
            <v>Architect</v>
          </cell>
          <cell r="F13">
            <v>44839</v>
          </cell>
          <cell r="G13">
            <v>0</v>
          </cell>
          <cell r="H13" t="str">
            <v>Head Office</v>
          </cell>
          <cell r="I13" t="str">
            <v>02880010101650730015</v>
          </cell>
        </row>
        <row r="14">
          <cell r="B14">
            <v>3520279405754</v>
          </cell>
          <cell r="C14">
            <v>8</v>
          </cell>
          <cell r="D14" t="str">
            <v>Mariya Iqbal</v>
          </cell>
          <cell r="E14" t="str">
            <v>Assistant Director (Establishment)</v>
          </cell>
          <cell r="F14">
            <v>43678</v>
          </cell>
          <cell r="G14">
            <v>0</v>
          </cell>
          <cell r="H14" t="str">
            <v>Head Office</v>
          </cell>
          <cell r="I14" t="str">
            <v>07040010061881370015</v>
          </cell>
        </row>
        <row r="15">
          <cell r="B15">
            <v>3520273705001</v>
          </cell>
          <cell r="C15">
            <v>9</v>
          </cell>
          <cell r="D15" t="str">
            <v>Muhammad Ahmad</v>
          </cell>
          <cell r="E15" t="str">
            <v>Assistant Director (IT)</v>
          </cell>
          <cell r="F15">
            <v>44228</v>
          </cell>
          <cell r="G15">
            <v>0</v>
          </cell>
          <cell r="H15" t="str">
            <v>Head Office</v>
          </cell>
          <cell r="I15" t="str">
            <v>05280010044937960019</v>
          </cell>
        </row>
        <row r="16">
          <cell r="B16">
            <v>3520241082553</v>
          </cell>
          <cell r="C16">
            <v>10</v>
          </cell>
          <cell r="D16" t="str">
            <v>Rab Nawaz Baloch</v>
          </cell>
          <cell r="E16" t="str">
            <v>Assistant Director (Legal)</v>
          </cell>
          <cell r="F16">
            <v>45776</v>
          </cell>
          <cell r="H16" t="str">
            <v>Head Office</v>
          </cell>
          <cell r="I16" t="str">
            <v>02880010046629640010</v>
          </cell>
        </row>
        <row r="17">
          <cell r="B17">
            <v>3540146081723</v>
          </cell>
          <cell r="C17">
            <v>11</v>
          </cell>
          <cell r="D17" t="str">
            <v>Asim Shahbaz</v>
          </cell>
          <cell r="E17" t="str">
            <v>Assistant Director (Security &amp; Surveillance)</v>
          </cell>
          <cell r="F17">
            <v>45292</v>
          </cell>
          <cell r="H17" t="str">
            <v>Head Office</v>
          </cell>
          <cell r="I17" t="str">
            <v>08760010022743920020</v>
          </cell>
        </row>
        <row r="18">
          <cell r="B18">
            <v>3410141448295</v>
          </cell>
          <cell r="C18">
            <v>12</v>
          </cell>
          <cell r="D18" t="str">
            <v>Muhammad Iqbal</v>
          </cell>
          <cell r="E18" t="str">
            <v>Assistant Director (Budget, Finance &amp; Taxation)</v>
          </cell>
          <cell r="F18">
            <v>43588</v>
          </cell>
          <cell r="G18">
            <v>0</v>
          </cell>
          <cell r="H18" t="str">
            <v>Head Office</v>
          </cell>
          <cell r="I18" t="str">
            <v>02880010061659230018</v>
          </cell>
        </row>
        <row r="19">
          <cell r="B19">
            <v>3520230926617</v>
          </cell>
          <cell r="C19">
            <v>13</v>
          </cell>
          <cell r="D19" t="str">
            <v>Kashif Rasheed</v>
          </cell>
          <cell r="E19" t="str">
            <v>Assistant Director (Account, Payroll &amp; Reconciliation)</v>
          </cell>
          <cell r="F19">
            <v>42500</v>
          </cell>
          <cell r="G19">
            <v>0</v>
          </cell>
          <cell r="H19" t="str">
            <v>Head Office</v>
          </cell>
          <cell r="I19" t="str">
            <v>02880010045636690017</v>
          </cell>
        </row>
        <row r="20">
          <cell r="B20">
            <v>3520278022145</v>
          </cell>
          <cell r="C20">
            <v>14</v>
          </cell>
          <cell r="D20" t="str">
            <v>Muhammad Moeen Chishti</v>
          </cell>
          <cell r="E20" t="str">
            <v>Assistant Director (Monitroring &amp; Evaluation)</v>
          </cell>
          <cell r="F20">
            <v>42896</v>
          </cell>
          <cell r="G20">
            <v>0</v>
          </cell>
          <cell r="H20" t="str">
            <v>Head Office</v>
          </cell>
          <cell r="I20" t="str">
            <v>02880010045636930033</v>
          </cell>
        </row>
        <row r="21">
          <cell r="B21">
            <v>3110125338133</v>
          </cell>
          <cell r="C21">
            <v>15</v>
          </cell>
          <cell r="D21" t="str">
            <v>Syed Rizwan Haider</v>
          </cell>
          <cell r="E21" t="str">
            <v>Assistant Director (Projects, Planning &amp; Special Initiatives)</v>
          </cell>
          <cell r="F21">
            <v>42948</v>
          </cell>
          <cell r="G21">
            <v>0</v>
          </cell>
          <cell r="H21" t="str">
            <v>Head Office</v>
          </cell>
          <cell r="I21" t="str">
            <v>02880010046336480016</v>
          </cell>
        </row>
        <row r="22">
          <cell r="B22">
            <v>3520163912981</v>
          </cell>
          <cell r="C22">
            <v>16</v>
          </cell>
          <cell r="D22" t="str">
            <v>Usman Badar</v>
          </cell>
          <cell r="E22" t="str">
            <v>Assistant Director, Operations &amp; Revenue (Central &amp; North)</v>
          </cell>
          <cell r="F22">
            <v>44287</v>
          </cell>
          <cell r="G22">
            <v>0</v>
          </cell>
          <cell r="H22" t="str">
            <v>Head Office</v>
          </cell>
          <cell r="I22" t="str">
            <v>02880010066371460019</v>
          </cell>
        </row>
        <row r="23">
          <cell r="B23">
            <v>3520265331633</v>
          </cell>
          <cell r="C23">
            <v>17</v>
          </cell>
          <cell r="D23" t="str">
            <v>Muhammad Ali</v>
          </cell>
          <cell r="E23" t="str">
            <v>Assistant Director (Headquarter, Admin/Operations)</v>
          </cell>
          <cell r="F23">
            <v>44652</v>
          </cell>
          <cell r="G23">
            <v>0</v>
          </cell>
          <cell r="H23" t="str">
            <v>Head Office</v>
          </cell>
          <cell r="I23" t="str">
            <v>02880010085083630011</v>
          </cell>
        </row>
        <row r="24">
          <cell r="B24">
            <v>3540425519833</v>
          </cell>
          <cell r="C24">
            <v>18</v>
          </cell>
          <cell r="D24" t="str">
            <v>Muhammad Ali Hassan</v>
          </cell>
          <cell r="E24" t="str">
            <v>Assistant Director (DevOps)</v>
          </cell>
          <cell r="F24">
            <v>45292</v>
          </cell>
          <cell r="H24" t="str">
            <v>Head Office</v>
          </cell>
          <cell r="I24" t="str">
            <v>02880010137994960017</v>
          </cell>
        </row>
        <row r="25">
          <cell r="B25">
            <v>3520261508085</v>
          </cell>
          <cell r="C25">
            <v>19</v>
          </cell>
          <cell r="D25" t="str">
            <v>Muhammad Faisal Tariq</v>
          </cell>
          <cell r="E25" t="str">
            <v>Public Relations Officer</v>
          </cell>
          <cell r="F25">
            <v>44287</v>
          </cell>
          <cell r="G25">
            <v>0</v>
          </cell>
          <cell r="H25" t="str">
            <v>Head Office</v>
          </cell>
          <cell r="I25" t="str">
            <v>07890010073538210011</v>
          </cell>
        </row>
        <row r="26">
          <cell r="B26">
            <v>3460235786589</v>
          </cell>
          <cell r="C26">
            <v>20</v>
          </cell>
          <cell r="D26" t="str">
            <v>Qamar Shehzad</v>
          </cell>
          <cell r="E26" t="str">
            <v>Admin Officer</v>
          </cell>
          <cell r="F26">
            <v>42614</v>
          </cell>
          <cell r="G26">
            <v>0</v>
          </cell>
          <cell r="H26" t="str">
            <v>Head Office</v>
          </cell>
          <cell r="I26" t="str">
            <v>02880010045637260013</v>
          </cell>
        </row>
        <row r="27">
          <cell r="B27">
            <v>3410204728161</v>
          </cell>
          <cell r="C27">
            <v>21</v>
          </cell>
          <cell r="D27" t="str">
            <v>Salman Elahi</v>
          </cell>
          <cell r="E27" t="str">
            <v>Finance &amp; Taxation Officer</v>
          </cell>
          <cell r="F27">
            <v>42635</v>
          </cell>
          <cell r="G27">
            <v>0</v>
          </cell>
          <cell r="H27" t="str">
            <v>Head Office</v>
          </cell>
          <cell r="I27" t="str">
            <v>02880010045636430017</v>
          </cell>
        </row>
        <row r="28">
          <cell r="B28">
            <v>3110468804103</v>
          </cell>
          <cell r="C28">
            <v>22</v>
          </cell>
          <cell r="D28" t="str">
            <v>Muhammad Imran Saeed</v>
          </cell>
          <cell r="E28" t="str">
            <v>Procurement Officer</v>
          </cell>
          <cell r="F28">
            <v>42524</v>
          </cell>
          <cell r="G28">
            <v>0</v>
          </cell>
          <cell r="H28" t="str">
            <v>Head Office</v>
          </cell>
          <cell r="I28" t="str">
            <v>02880010045631890010</v>
          </cell>
        </row>
        <row r="29">
          <cell r="B29">
            <v>3520191937379</v>
          </cell>
          <cell r="C29">
            <v>23</v>
          </cell>
          <cell r="D29" t="str">
            <v>Ali Zia</v>
          </cell>
          <cell r="E29" t="str">
            <v>Accounts Receivable Officer</v>
          </cell>
          <cell r="F29">
            <v>42896</v>
          </cell>
          <cell r="G29">
            <v>0</v>
          </cell>
          <cell r="H29" t="str">
            <v>Head Office</v>
          </cell>
          <cell r="I29" t="str">
            <v>02880010045632540010</v>
          </cell>
        </row>
        <row r="30">
          <cell r="B30">
            <v>3520254903929</v>
          </cell>
          <cell r="C30">
            <v>24</v>
          </cell>
          <cell r="D30" t="str">
            <v>Umair Iqbal</v>
          </cell>
          <cell r="E30" t="str">
            <v>Asset Management Officer</v>
          </cell>
          <cell r="F30">
            <v>43647</v>
          </cell>
          <cell r="G30">
            <v>0</v>
          </cell>
          <cell r="H30" t="str">
            <v>Head Office</v>
          </cell>
          <cell r="I30" t="str">
            <v>02880010062251140011</v>
          </cell>
        </row>
        <row r="31">
          <cell r="B31">
            <v>3230332099783</v>
          </cell>
          <cell r="C31">
            <v>25</v>
          </cell>
          <cell r="D31" t="str">
            <v>Zee Waqar Mehdi</v>
          </cell>
          <cell r="E31" t="str">
            <v>Sub Engineer (Civil)</v>
          </cell>
          <cell r="F31">
            <v>44287</v>
          </cell>
          <cell r="G31">
            <v>0</v>
          </cell>
          <cell r="H31" t="str">
            <v>Head Office</v>
          </cell>
          <cell r="I31" t="str">
            <v>02880010079711300025</v>
          </cell>
        </row>
        <row r="32">
          <cell r="B32">
            <v>3330259267193</v>
          </cell>
          <cell r="C32">
            <v>26</v>
          </cell>
          <cell r="D32" t="str">
            <v>Waseem Akram</v>
          </cell>
          <cell r="E32" t="str">
            <v>HR Operations Officer</v>
          </cell>
          <cell r="F32">
            <v>43661</v>
          </cell>
          <cell r="G32">
            <v>0</v>
          </cell>
          <cell r="H32" t="str">
            <v>Head Office</v>
          </cell>
          <cell r="I32" t="str">
            <v>02880010063023520012</v>
          </cell>
        </row>
        <row r="33">
          <cell r="B33">
            <v>3530264533005</v>
          </cell>
          <cell r="C33">
            <v>27</v>
          </cell>
          <cell r="D33" t="str">
            <v>Muhammad Husnain</v>
          </cell>
          <cell r="E33" t="str">
            <v>Project Coordinator</v>
          </cell>
          <cell r="F33">
            <v>44256</v>
          </cell>
          <cell r="G33">
            <v>0</v>
          </cell>
          <cell r="H33" t="str">
            <v>Head Office</v>
          </cell>
          <cell r="I33" t="str">
            <v>57890010058748360015</v>
          </cell>
        </row>
        <row r="34">
          <cell r="B34">
            <v>3310244062313</v>
          </cell>
          <cell r="C34">
            <v>28</v>
          </cell>
          <cell r="D34" t="str">
            <v>Gul e Madni</v>
          </cell>
          <cell r="E34" t="str">
            <v>Supervisor FHD</v>
          </cell>
          <cell r="F34">
            <v>44652</v>
          </cell>
          <cell r="G34">
            <v>0</v>
          </cell>
          <cell r="H34" t="str">
            <v>Head Office</v>
          </cell>
          <cell r="I34" t="str">
            <v>02240010087568850019</v>
          </cell>
        </row>
        <row r="35">
          <cell r="B35">
            <v>3520015123991</v>
          </cell>
          <cell r="C35">
            <v>29</v>
          </cell>
          <cell r="D35" t="str">
            <v>Asad Ullah Khan</v>
          </cell>
          <cell r="E35" t="str">
            <v>Monitoring Supervisor</v>
          </cell>
          <cell r="F35">
            <v>44652</v>
          </cell>
          <cell r="G35">
            <v>0</v>
          </cell>
          <cell r="H35" t="str">
            <v>Head Office</v>
          </cell>
          <cell r="I35" t="str">
            <v>02880010092128980013</v>
          </cell>
        </row>
        <row r="36">
          <cell r="B36">
            <v>3520011249097</v>
          </cell>
          <cell r="C36">
            <v>30</v>
          </cell>
          <cell r="D36" t="str">
            <v>Hashir Kaleem</v>
          </cell>
          <cell r="E36" t="str">
            <v>HR Operations Officer</v>
          </cell>
          <cell r="F36">
            <v>44652</v>
          </cell>
          <cell r="G36">
            <v>0</v>
          </cell>
          <cell r="H36" t="str">
            <v>Head Office</v>
          </cell>
          <cell r="I36" t="str">
            <v>02880010083863700013</v>
          </cell>
        </row>
        <row r="37">
          <cell r="B37">
            <v>3840393284969</v>
          </cell>
          <cell r="C37">
            <v>31</v>
          </cell>
          <cell r="D37" t="str">
            <v>Muhammad Zeeshan</v>
          </cell>
          <cell r="E37" t="str">
            <v>Network Support Associate</v>
          </cell>
          <cell r="F37">
            <v>44287</v>
          </cell>
          <cell r="G37">
            <v>0</v>
          </cell>
          <cell r="H37" t="str">
            <v>Head Office</v>
          </cell>
          <cell r="I37" t="str">
            <v>02880010064248660014</v>
          </cell>
        </row>
        <row r="38">
          <cell r="B38">
            <v>3520272743683</v>
          </cell>
          <cell r="C38">
            <v>32</v>
          </cell>
          <cell r="D38" t="str">
            <v>Abdul Moeez Shoaib</v>
          </cell>
          <cell r="E38" t="str">
            <v>Operations Assistant</v>
          </cell>
          <cell r="F38">
            <v>44228</v>
          </cell>
          <cell r="G38">
            <v>0</v>
          </cell>
          <cell r="H38" t="str">
            <v>Head Office</v>
          </cell>
          <cell r="I38" t="str">
            <v>02880010072883450018</v>
          </cell>
        </row>
        <row r="39">
          <cell r="B39">
            <v>3520261954861</v>
          </cell>
          <cell r="C39">
            <v>33</v>
          </cell>
          <cell r="D39" t="str">
            <v>Rizwan Shoukat</v>
          </cell>
          <cell r="E39" t="str">
            <v>Computer Operator</v>
          </cell>
          <cell r="F39">
            <v>44228</v>
          </cell>
          <cell r="G39">
            <v>0</v>
          </cell>
          <cell r="H39" t="str">
            <v>Head Office</v>
          </cell>
          <cell r="I39" t="str">
            <v>02880010074072250017</v>
          </cell>
        </row>
        <row r="40">
          <cell r="B40">
            <v>3520271964359</v>
          </cell>
          <cell r="C40">
            <v>34</v>
          </cell>
          <cell r="D40" t="str">
            <v>Umer Farooq</v>
          </cell>
          <cell r="E40" t="str">
            <v>Operations Assistant</v>
          </cell>
          <cell r="F40">
            <v>44228</v>
          </cell>
          <cell r="G40">
            <v>0</v>
          </cell>
          <cell r="H40" t="str">
            <v>Head Office</v>
          </cell>
          <cell r="I40" t="str">
            <v>02880010076051010011</v>
          </cell>
        </row>
        <row r="41">
          <cell r="B41">
            <v>3520159024231</v>
          </cell>
          <cell r="C41">
            <v>35</v>
          </cell>
          <cell r="D41" t="str">
            <v>Muhammad Anas</v>
          </cell>
          <cell r="E41" t="str">
            <v>Operations Assistant</v>
          </cell>
          <cell r="F41">
            <v>44652</v>
          </cell>
          <cell r="G41">
            <v>0</v>
          </cell>
          <cell r="H41" t="str">
            <v>Head Office</v>
          </cell>
          <cell r="I41" t="str">
            <v>02880010089150200010</v>
          </cell>
        </row>
        <row r="42">
          <cell r="B42">
            <v>3520245744217</v>
          </cell>
          <cell r="C42">
            <v>36</v>
          </cell>
          <cell r="D42" t="str">
            <v>Zain ul Abiden</v>
          </cell>
          <cell r="E42" t="str">
            <v>Computer Operator</v>
          </cell>
          <cell r="F42">
            <v>44652</v>
          </cell>
          <cell r="G42">
            <v>0</v>
          </cell>
          <cell r="H42" t="str">
            <v>Head Office</v>
          </cell>
          <cell r="I42" t="str">
            <v>10080010089549770010</v>
          </cell>
        </row>
        <row r="43">
          <cell r="B43">
            <v>3520173617314</v>
          </cell>
          <cell r="C43">
            <v>37</v>
          </cell>
          <cell r="D43" t="str">
            <v>Sahar Fatima</v>
          </cell>
          <cell r="E43" t="str">
            <v>Monitoring &amp; Evaluation Assistant</v>
          </cell>
          <cell r="F43">
            <v>44652</v>
          </cell>
          <cell r="G43">
            <v>0</v>
          </cell>
          <cell r="H43" t="str">
            <v>Head Office</v>
          </cell>
          <cell r="I43" t="str">
            <v>02880010086020360011</v>
          </cell>
        </row>
        <row r="44">
          <cell r="B44">
            <v>3520232257671</v>
          </cell>
          <cell r="C44">
            <v>38</v>
          </cell>
          <cell r="D44" t="str">
            <v>Shab-e-Qadar</v>
          </cell>
          <cell r="E44" t="str">
            <v>Office Attendant</v>
          </cell>
          <cell r="F44">
            <v>42546</v>
          </cell>
          <cell r="G44">
            <v>0</v>
          </cell>
          <cell r="H44" t="str">
            <v>Head Office</v>
          </cell>
          <cell r="I44" t="str">
            <v>02880010045638990014</v>
          </cell>
        </row>
        <row r="45">
          <cell r="B45">
            <v>3840320856555</v>
          </cell>
          <cell r="C45">
            <v>39</v>
          </cell>
          <cell r="D45" t="str">
            <v>Pervaiz Masih</v>
          </cell>
          <cell r="E45" t="str">
            <v>Sanitation Attendant</v>
          </cell>
          <cell r="F45">
            <v>42616</v>
          </cell>
          <cell r="G45">
            <v>0</v>
          </cell>
          <cell r="H45" t="str">
            <v>Head Office</v>
          </cell>
          <cell r="I45" t="str">
            <v>05400010045862680014</v>
          </cell>
        </row>
        <row r="46">
          <cell r="B46">
            <v>3330222165689</v>
          </cell>
          <cell r="C46">
            <v>40</v>
          </cell>
          <cell r="D46" t="str">
            <v>Bashir Ahmad</v>
          </cell>
          <cell r="E46" t="str">
            <v>Security &amp; Parking Attendant</v>
          </cell>
          <cell r="F46">
            <v>42921</v>
          </cell>
          <cell r="G46">
            <v>0</v>
          </cell>
          <cell r="H46" t="str">
            <v>Head Office</v>
          </cell>
          <cell r="I46" t="str">
            <v>02880010002763450013</v>
          </cell>
        </row>
        <row r="47">
          <cell r="B47">
            <v>3830383321489</v>
          </cell>
          <cell r="C47">
            <v>41</v>
          </cell>
          <cell r="D47" t="str">
            <v>Muhammad Mushtaq</v>
          </cell>
          <cell r="E47" t="str">
            <v>Filing Assistant</v>
          </cell>
          <cell r="F47">
            <v>43101</v>
          </cell>
          <cell r="G47">
            <v>0</v>
          </cell>
          <cell r="H47" t="str">
            <v>Head Office</v>
          </cell>
          <cell r="I47" t="str">
            <v>02880010049751810018</v>
          </cell>
        </row>
        <row r="48">
          <cell r="B48">
            <v>3520212523967</v>
          </cell>
          <cell r="C48">
            <v>42</v>
          </cell>
          <cell r="D48" t="str">
            <v>Abdul Razzaq</v>
          </cell>
          <cell r="E48" t="str">
            <v>Office Attendant</v>
          </cell>
          <cell r="F48">
            <v>41364</v>
          </cell>
          <cell r="G48">
            <v>0</v>
          </cell>
          <cell r="H48" t="str">
            <v>Head Office</v>
          </cell>
          <cell r="I48" t="str">
            <v>02880010045863600022</v>
          </cell>
        </row>
        <row r="49">
          <cell r="B49">
            <v>3530140790617</v>
          </cell>
          <cell r="C49">
            <v>43</v>
          </cell>
          <cell r="D49" t="str">
            <v>Saif ul Malook</v>
          </cell>
          <cell r="E49" t="str">
            <v>Security &amp; Parking Attendant</v>
          </cell>
          <cell r="F49">
            <v>44317</v>
          </cell>
          <cell r="G49">
            <v>0</v>
          </cell>
          <cell r="H49" t="str">
            <v>Head Office</v>
          </cell>
          <cell r="I49" t="str">
            <v>02880010064840940024</v>
          </cell>
        </row>
        <row r="50">
          <cell r="B50">
            <v>3520256700507</v>
          </cell>
          <cell r="C50">
            <v>44</v>
          </cell>
          <cell r="D50" t="str">
            <v>Babar Ashraf</v>
          </cell>
          <cell r="E50" t="str">
            <v>Filling Assistant</v>
          </cell>
          <cell r="F50">
            <v>42614</v>
          </cell>
          <cell r="G50">
            <v>0</v>
          </cell>
          <cell r="H50" t="str">
            <v>Head Office</v>
          </cell>
          <cell r="I50" t="str">
            <v>02880010045863440023</v>
          </cell>
        </row>
        <row r="51">
          <cell r="B51">
            <v>3520202337837</v>
          </cell>
          <cell r="C51">
            <v>45</v>
          </cell>
          <cell r="D51" t="str">
            <v>Hassan Ali Shah Shami</v>
          </cell>
          <cell r="E51" t="str">
            <v>Network Support Associate</v>
          </cell>
          <cell r="F51">
            <v>45292</v>
          </cell>
          <cell r="G51">
            <v>0</v>
          </cell>
          <cell r="H51" t="str">
            <v>Head Office</v>
          </cell>
          <cell r="I51" t="str">
            <v>02880010112266690011</v>
          </cell>
        </row>
        <row r="52">
          <cell r="B52">
            <v>3520287739729</v>
          </cell>
          <cell r="C52">
            <v>46</v>
          </cell>
          <cell r="D52" t="str">
            <v>Muhammad Usman</v>
          </cell>
          <cell r="E52" t="str">
            <v>Filling Assistant</v>
          </cell>
          <cell r="F52">
            <v>42212</v>
          </cell>
          <cell r="G52">
            <v>0</v>
          </cell>
          <cell r="H52" t="str">
            <v>Head Office</v>
          </cell>
          <cell r="I52" t="str">
            <v>02880010045972490022</v>
          </cell>
        </row>
        <row r="53">
          <cell r="B53">
            <v>3520121149383</v>
          </cell>
          <cell r="C53">
            <v>47</v>
          </cell>
          <cell r="D53" t="str">
            <v>Husnain Atif</v>
          </cell>
          <cell r="E53" t="str">
            <v>Filling Assistant</v>
          </cell>
          <cell r="F53">
            <v>45799</v>
          </cell>
          <cell r="H53" t="str">
            <v>Head Office</v>
          </cell>
          <cell r="I53" t="str">
            <v>07040010146511730017</v>
          </cell>
        </row>
        <row r="54">
          <cell r="B54">
            <v>3230360067747</v>
          </cell>
          <cell r="C54">
            <v>48</v>
          </cell>
          <cell r="D54" t="str">
            <v>Mashkoor Hussain</v>
          </cell>
          <cell r="E54" t="str">
            <v>Driver</v>
          </cell>
          <cell r="F54">
            <v>45748</v>
          </cell>
          <cell r="H54" t="str">
            <v>Head Office</v>
          </cell>
          <cell r="I54" t="str">
            <v>02880010111539470013</v>
          </cell>
        </row>
        <row r="55">
          <cell r="B55">
            <v>3320273119377</v>
          </cell>
          <cell r="C55">
            <v>49</v>
          </cell>
          <cell r="D55" t="str">
            <v>Muhammad Irfan</v>
          </cell>
          <cell r="E55" t="str">
            <v>Gardener</v>
          </cell>
          <cell r="F55">
            <v>45748</v>
          </cell>
          <cell r="H55" t="str">
            <v>Head Office</v>
          </cell>
          <cell r="I55" t="str">
            <v>02880010136913170010</v>
          </cell>
        </row>
        <row r="56">
          <cell r="B56">
            <v>3520268022031</v>
          </cell>
          <cell r="C56">
            <v>50</v>
          </cell>
          <cell r="D56" t="str">
            <v>Ali Raza</v>
          </cell>
          <cell r="E56" t="str">
            <v>Filing Assistant</v>
          </cell>
          <cell r="F56">
            <v>45748</v>
          </cell>
          <cell r="H56" t="str">
            <v>Head Office</v>
          </cell>
          <cell r="I56" t="str">
            <v>10810010101783980014</v>
          </cell>
        </row>
        <row r="57">
          <cell r="B57">
            <v>3520274497446</v>
          </cell>
          <cell r="C57">
            <v>51</v>
          </cell>
          <cell r="D57" t="str">
            <v>Miraj Bibi</v>
          </cell>
          <cell r="E57" t="str">
            <v>Sanitation Attendant</v>
          </cell>
          <cell r="F57">
            <v>45748</v>
          </cell>
          <cell r="H57" t="str">
            <v>Head Office</v>
          </cell>
          <cell r="I57" t="str">
            <v>51010020137834470013</v>
          </cell>
        </row>
        <row r="58">
          <cell r="B58">
            <v>3520284213345</v>
          </cell>
          <cell r="C58">
            <v>52</v>
          </cell>
          <cell r="D58" t="str">
            <v>Saif ur Rehman Baig</v>
          </cell>
          <cell r="E58" t="str">
            <v>Filing Assistant</v>
          </cell>
          <cell r="F58">
            <v>45748</v>
          </cell>
          <cell r="H58" t="str">
            <v>Head Office</v>
          </cell>
          <cell r="I58" t="str">
            <v>02880010139022290016</v>
          </cell>
        </row>
        <row r="59">
          <cell r="B59">
            <v>7180203391649</v>
          </cell>
          <cell r="C59">
            <v>53</v>
          </cell>
          <cell r="D59" t="str">
            <v>Wajahat Hussain</v>
          </cell>
          <cell r="E59" t="str">
            <v>Driver</v>
          </cell>
          <cell r="F59">
            <v>45748</v>
          </cell>
          <cell r="H59" t="str">
            <v>Head Office</v>
          </cell>
          <cell r="I59" t="str">
            <v>02880010139186160013</v>
          </cell>
        </row>
        <row r="60">
          <cell r="B60">
            <v>3640283391419</v>
          </cell>
          <cell r="C60">
            <v>54</v>
          </cell>
          <cell r="D60" t="str">
            <v>Ali Sher</v>
          </cell>
          <cell r="E60" t="str">
            <v>Gardener</v>
          </cell>
          <cell r="F60">
            <v>45809</v>
          </cell>
          <cell r="H60" t="str">
            <v>Head Office</v>
          </cell>
          <cell r="I60" t="str">
            <v>02880010148226260019</v>
          </cell>
        </row>
        <row r="61">
          <cell r="B61">
            <v>3520296791390</v>
          </cell>
          <cell r="C61">
            <v>55</v>
          </cell>
          <cell r="D61" t="str">
            <v>Gull Sehar</v>
          </cell>
          <cell r="E61" t="str">
            <v>Record Keeper</v>
          </cell>
          <cell r="F61">
            <v>45748</v>
          </cell>
          <cell r="H61" t="str">
            <v>Head Office</v>
          </cell>
          <cell r="I61" t="str">
            <v>07040010108843500013</v>
          </cell>
        </row>
        <row r="62">
          <cell r="B62">
            <v>3520213684959</v>
          </cell>
          <cell r="C62">
            <v>56</v>
          </cell>
          <cell r="D62" t="str">
            <v>Muhammad Musahaf ur Rahman Baig</v>
          </cell>
          <cell r="E62" t="str">
            <v>Security &amp; Parking Attendant</v>
          </cell>
          <cell r="F62">
            <v>45992</v>
          </cell>
          <cell r="H62" t="str">
            <v>Head Office</v>
          </cell>
          <cell r="I62" t="str">
            <v>02880010147522250018</v>
          </cell>
        </row>
        <row r="63">
          <cell r="B63">
            <v>3520116944717</v>
          </cell>
          <cell r="C63">
            <v>57</v>
          </cell>
          <cell r="D63" t="str">
            <v>Mustjab Ali</v>
          </cell>
          <cell r="E63" t="str">
            <v>Security &amp; Parking Attendant</v>
          </cell>
          <cell r="F63">
            <v>45992</v>
          </cell>
          <cell r="H63" t="str">
            <v>Head Office</v>
          </cell>
          <cell r="I63" t="str">
            <v>51010020150833840018</v>
          </cell>
        </row>
        <row r="64">
          <cell r="B64">
            <v>3660314247857</v>
          </cell>
          <cell r="C64">
            <v>58</v>
          </cell>
          <cell r="D64" t="str">
            <v>Muhammad Imran</v>
          </cell>
          <cell r="E64" t="str">
            <v>Security &amp; Parking Attendant</v>
          </cell>
          <cell r="F64">
            <v>45992</v>
          </cell>
          <cell r="H64" t="str">
            <v>Head Office</v>
          </cell>
          <cell r="I64" t="str">
            <v>02880010117276840018</v>
          </cell>
        </row>
        <row r="65">
          <cell r="B65">
            <v>3530165415365</v>
          </cell>
          <cell r="C65">
            <v>59</v>
          </cell>
          <cell r="D65" t="str">
            <v>Liaqat Ali</v>
          </cell>
          <cell r="E65" t="str">
            <v>Software Assistant</v>
          </cell>
          <cell r="F65">
            <v>45992</v>
          </cell>
          <cell r="H65" t="str">
            <v>Head Office</v>
          </cell>
          <cell r="I65" t="str">
            <v>07030010134243720019</v>
          </cell>
        </row>
        <row r="66">
          <cell r="B66">
            <v>3230313168202</v>
          </cell>
          <cell r="C66">
            <v>60</v>
          </cell>
          <cell r="D66" t="str">
            <v>Fakhra Ahsan</v>
          </cell>
          <cell r="E66" t="str">
            <v>Office Supervisor</v>
          </cell>
          <cell r="F66">
            <v>46023</v>
          </cell>
          <cell r="H66" t="str">
            <v>Head Office</v>
          </cell>
          <cell r="I66" t="str">
            <v>02880010042683940022</v>
          </cell>
        </row>
        <row r="67">
          <cell r="B67">
            <v>3220359319553</v>
          </cell>
          <cell r="C67">
            <v>61</v>
          </cell>
          <cell r="D67" t="str">
            <v>Muhammad Umar</v>
          </cell>
          <cell r="E67" t="str">
            <v>Software Assistant</v>
          </cell>
          <cell r="F67">
            <v>45992</v>
          </cell>
          <cell r="H67" t="str">
            <v>Head Office</v>
          </cell>
          <cell r="I67" t="str">
            <v>08050010091337780018</v>
          </cell>
        </row>
        <row r="68">
          <cell r="B68">
            <v>3520150089311</v>
          </cell>
          <cell r="C68">
            <v>62</v>
          </cell>
          <cell r="D68" t="str">
            <v>Maher Umair Sajid</v>
          </cell>
          <cell r="E68" t="str">
            <v>Record Keeper</v>
          </cell>
          <cell r="F68">
            <v>45992</v>
          </cell>
          <cell r="H68" t="str">
            <v>Head Office</v>
          </cell>
          <cell r="I68" t="str">
            <v>02880010095154660020</v>
          </cell>
        </row>
        <row r="69">
          <cell r="B69">
            <v>3520265515163</v>
          </cell>
          <cell r="C69">
            <v>63</v>
          </cell>
          <cell r="D69" t="str">
            <v>Abid Ali</v>
          </cell>
          <cell r="E69" t="str">
            <v>Record Keeper</v>
          </cell>
          <cell r="F69">
            <v>45992</v>
          </cell>
          <cell r="H69" t="str">
            <v>Head Office</v>
          </cell>
          <cell r="I69" t="str">
            <v>02880010150911970012</v>
          </cell>
        </row>
        <row r="70">
          <cell r="B70">
            <v>3520247499748</v>
          </cell>
          <cell r="C70">
            <v>64</v>
          </cell>
          <cell r="D70" t="str">
            <v>Hifza Amir</v>
          </cell>
          <cell r="E70" t="str">
            <v>Office Supervisor</v>
          </cell>
          <cell r="F70">
            <v>46023</v>
          </cell>
          <cell r="H70" t="str">
            <v>Head Office</v>
          </cell>
          <cell r="I70" t="str">
            <v>02880010151223970013</v>
          </cell>
        </row>
        <row r="71">
          <cell r="B71">
            <v>3840321089630</v>
          </cell>
          <cell r="C71">
            <v>65</v>
          </cell>
          <cell r="D71" t="str">
            <v>Shaista Khalil</v>
          </cell>
          <cell r="E71" t="str">
            <v>Office Supervisor</v>
          </cell>
          <cell r="F71">
            <v>46023</v>
          </cell>
          <cell r="H71" t="str">
            <v>Head Office</v>
          </cell>
          <cell r="I71" t="str">
            <v>02880010039933940021</v>
          </cell>
        </row>
        <row r="72">
          <cell r="B72">
            <v>3520205428939</v>
          </cell>
          <cell r="C72">
            <v>66</v>
          </cell>
          <cell r="D72" t="str">
            <v>Muhammad Adil Rauf</v>
          </cell>
          <cell r="E72" t="str">
            <v>Office Supervisor</v>
          </cell>
          <cell r="F72">
            <v>46023</v>
          </cell>
          <cell r="H72" t="str">
            <v>Head Office</v>
          </cell>
          <cell r="I72" t="str">
            <v>02880010102084120022</v>
          </cell>
        </row>
        <row r="73">
          <cell r="B73">
            <v>3130229766217</v>
          </cell>
          <cell r="C73">
            <v>67</v>
          </cell>
          <cell r="D73" t="str">
            <v>Muhammad Makki</v>
          </cell>
          <cell r="E73" t="str">
            <v>Record Keeper</v>
          </cell>
          <cell r="F73">
            <v>45992</v>
          </cell>
          <cell r="H73" t="str">
            <v>Head Office</v>
          </cell>
          <cell r="I73" t="str">
            <v>02880010154953460016</v>
          </cell>
        </row>
        <row r="74">
          <cell r="B74">
            <v>3520242594775</v>
          </cell>
          <cell r="C74">
            <v>68</v>
          </cell>
          <cell r="D74" t="str">
            <v>Khalid Sattar</v>
          </cell>
          <cell r="E74" t="str">
            <v>Research Assistant</v>
          </cell>
          <cell r="F74">
            <v>45992</v>
          </cell>
          <cell r="H74" t="str">
            <v>Head Office</v>
          </cell>
          <cell r="I74" t="str">
            <v>07170010039369670016</v>
          </cell>
        </row>
        <row r="75">
          <cell r="B75">
            <v>3520272649551</v>
          </cell>
          <cell r="C75">
            <v>69</v>
          </cell>
          <cell r="D75" t="str">
            <v>Muhammad Usman</v>
          </cell>
          <cell r="E75" t="str">
            <v>Sub Engineer (Electrical)</v>
          </cell>
          <cell r="F75">
            <v>46008</v>
          </cell>
          <cell r="H75" t="str">
            <v>Head Office</v>
          </cell>
          <cell r="I75" t="str">
            <v>05280010096142290017</v>
          </cell>
        </row>
        <row r="76">
          <cell r="B76">
            <v>3440263325002</v>
          </cell>
          <cell r="C76">
            <v>70</v>
          </cell>
          <cell r="D76" t="str">
            <v>Fozia Dilawar</v>
          </cell>
          <cell r="E76" t="str">
            <v>Research Assistant</v>
          </cell>
          <cell r="F76">
            <v>46013</v>
          </cell>
          <cell r="H76" t="str">
            <v>Head Office</v>
          </cell>
          <cell r="I76" t="str">
            <v>51450020157184820010</v>
          </cell>
        </row>
        <row r="77">
          <cell r="B77">
            <v>3460330580499</v>
          </cell>
          <cell r="C77">
            <v>71</v>
          </cell>
          <cell r="D77" t="str">
            <v>Rehan Habib</v>
          </cell>
          <cell r="E77" t="str">
            <v>Research Assistant</v>
          </cell>
          <cell r="F77">
            <v>46023</v>
          </cell>
          <cell r="H77" t="str">
            <v>Head Office</v>
          </cell>
          <cell r="I77" t="str">
            <v>02880010155812230010</v>
          </cell>
        </row>
        <row r="78">
          <cell r="B78">
            <v>3110473829021</v>
          </cell>
          <cell r="C78">
            <v>72</v>
          </cell>
          <cell r="D78" t="str">
            <v>Sada Hussain</v>
          </cell>
          <cell r="E78" t="str">
            <v>Sub Engineer (Civil)</v>
          </cell>
          <cell r="F78">
            <v>46023</v>
          </cell>
          <cell r="H78" t="str">
            <v>Head Office</v>
          </cell>
          <cell r="I78" t="str">
            <v>53200020159385300010</v>
          </cell>
        </row>
        <row r="79">
          <cell r="B79">
            <v>3120228435783</v>
          </cell>
          <cell r="C79">
            <v>73</v>
          </cell>
          <cell r="D79" t="str">
            <v>Muhammad Bilal Hussain</v>
          </cell>
          <cell r="E79" t="str">
            <v>Sub Engineer (Maintenance)</v>
          </cell>
          <cell r="F79">
            <v>46023</v>
          </cell>
          <cell r="H79" t="str">
            <v>Head Office</v>
          </cell>
          <cell r="I79" t="str">
            <v>51010020159329310019</v>
          </cell>
        </row>
        <row r="80">
          <cell r="B80">
            <v>3810178663415</v>
          </cell>
          <cell r="C80">
            <v>74</v>
          </cell>
          <cell r="D80" t="str">
            <v>Hassan Askari</v>
          </cell>
          <cell r="E80" t="str">
            <v>Sub Engineer (Maintenance)</v>
          </cell>
          <cell r="F80">
            <v>46023</v>
          </cell>
          <cell r="H80" t="str">
            <v>Head Office</v>
          </cell>
          <cell r="I80" t="str">
            <v>06370010159425980010</v>
          </cell>
        </row>
        <row r="81">
          <cell r="B81">
            <v>3320339365107</v>
          </cell>
          <cell r="C81">
            <v>75</v>
          </cell>
          <cell r="D81" t="str">
            <v>Shahbaz Hussain</v>
          </cell>
          <cell r="E81" t="str">
            <v>Research Assistant</v>
          </cell>
          <cell r="F81">
            <v>46023</v>
          </cell>
          <cell r="H81" t="str">
            <v>Head Office</v>
          </cell>
          <cell r="I81" t="str">
            <v>02880010159674260010</v>
          </cell>
        </row>
        <row r="82">
          <cell r="B82">
            <v>3520296243381</v>
          </cell>
          <cell r="C82">
            <v>76</v>
          </cell>
          <cell r="D82" t="str">
            <v>Abdul Qadeer Jan</v>
          </cell>
          <cell r="E82" t="str">
            <v>Office Supervisor</v>
          </cell>
          <cell r="F82">
            <v>46023</v>
          </cell>
          <cell r="H82" t="str">
            <v>Head Office</v>
          </cell>
          <cell r="I82" t="str">
            <v>02880010155114090018</v>
          </cell>
        </row>
        <row r="83">
          <cell r="B83">
            <v>3520250190125</v>
          </cell>
          <cell r="C83">
            <v>77</v>
          </cell>
          <cell r="D83" t="str">
            <v>Ahmad Hussain</v>
          </cell>
          <cell r="E83" t="str">
            <v>Office Supervisor</v>
          </cell>
          <cell r="F83">
            <v>46023</v>
          </cell>
          <cell r="H83" t="str">
            <v>Head Office</v>
          </cell>
          <cell r="I83" t="str">
            <v>02880010159311930019</v>
          </cell>
        </row>
        <row r="84">
          <cell r="B84">
            <v>3330333203693</v>
          </cell>
          <cell r="C84">
            <v>78</v>
          </cell>
          <cell r="D84" t="str">
            <v>Husnain Ali</v>
          </cell>
          <cell r="E84" t="str">
            <v>Office Supervisor</v>
          </cell>
          <cell r="F84">
            <v>46023</v>
          </cell>
          <cell r="H84" t="str">
            <v>Head Office</v>
          </cell>
          <cell r="I84" t="str">
            <v>04810010105604950010</v>
          </cell>
        </row>
        <row r="85">
          <cell r="B85">
            <v>3630278225831</v>
          </cell>
          <cell r="C85">
            <v>79</v>
          </cell>
          <cell r="D85" t="str">
            <v>Muhammad Huzaifa Qasim Shah</v>
          </cell>
          <cell r="E85" t="str">
            <v>Office Supervisor</v>
          </cell>
          <cell r="F85">
            <v>46023</v>
          </cell>
          <cell r="H85" t="str">
            <v>Head Office</v>
          </cell>
          <cell r="I85" t="str">
            <v>51010020095373750010</v>
          </cell>
        </row>
        <row r="86">
          <cell r="B86">
            <v>3230171907704</v>
          </cell>
          <cell r="C86">
            <v>80</v>
          </cell>
          <cell r="D86" t="str">
            <v>Nazia Abid</v>
          </cell>
          <cell r="E86" t="str">
            <v>Office Supervisor</v>
          </cell>
          <cell r="F86">
            <v>46041</v>
          </cell>
          <cell r="H86" t="str">
            <v>Head Office</v>
          </cell>
          <cell r="I86" t="str">
            <v>02880010159032160015</v>
          </cell>
        </row>
        <row r="87">
          <cell r="B87">
            <v>3520268640274</v>
          </cell>
          <cell r="C87">
            <v>81</v>
          </cell>
          <cell r="D87" t="str">
            <v>Humaira</v>
          </cell>
          <cell r="E87" t="str">
            <v>Record Keeper</v>
          </cell>
          <cell r="F87">
            <v>46038</v>
          </cell>
          <cell r="H87" t="str">
            <v>Head Office</v>
          </cell>
          <cell r="I87" t="str">
            <v>02880010159010590018</v>
          </cell>
        </row>
        <row r="88">
          <cell r="B88">
            <v>3520268011581</v>
          </cell>
          <cell r="C88">
            <v>82</v>
          </cell>
          <cell r="D88" t="str">
            <v>Usman Rafique</v>
          </cell>
          <cell r="E88" t="str">
            <v>Record Keeper</v>
          </cell>
          <cell r="F88">
            <v>46042</v>
          </cell>
          <cell r="H88" t="str">
            <v>Head Office</v>
          </cell>
          <cell r="I88" t="str">
            <v>06850010107880260015</v>
          </cell>
        </row>
        <row r="89">
          <cell r="B89">
            <v>3520130217373</v>
          </cell>
          <cell r="C89">
            <v>83</v>
          </cell>
          <cell r="D89" t="str">
            <v>Sabir Masih</v>
          </cell>
          <cell r="E89" t="str">
            <v>Sanitation Attendant</v>
          </cell>
          <cell r="F89">
            <v>46024</v>
          </cell>
          <cell r="H89" t="str">
            <v>Head Office</v>
          </cell>
          <cell r="I89" t="str">
            <v>02880010158918550014</v>
          </cell>
        </row>
        <row r="90">
          <cell r="B90">
            <v>3110182492814</v>
          </cell>
          <cell r="C90">
            <v>84</v>
          </cell>
          <cell r="D90" t="str">
            <v>Reeva Nadeem</v>
          </cell>
          <cell r="E90" t="str">
            <v>Office Supervisor</v>
          </cell>
          <cell r="F90">
            <v>46023</v>
          </cell>
          <cell r="H90" t="str">
            <v>Head Office</v>
          </cell>
          <cell r="I90" t="str">
            <v>02880010065323850044</v>
          </cell>
        </row>
        <row r="91">
          <cell r="B91">
            <v>3520199098784</v>
          </cell>
          <cell r="C91">
            <v>85</v>
          </cell>
          <cell r="D91" t="str">
            <v>Sana Rehmat Ali</v>
          </cell>
          <cell r="E91" t="str">
            <v>Office Supervisor</v>
          </cell>
          <cell r="F91">
            <v>46027</v>
          </cell>
          <cell r="H91" t="str">
            <v>Head Office</v>
          </cell>
          <cell r="I91" t="str">
            <v>02880010158551750010</v>
          </cell>
        </row>
        <row r="92">
          <cell r="B92">
            <v>3540435797517</v>
          </cell>
          <cell r="C92">
            <v>86</v>
          </cell>
          <cell r="D92" t="str">
            <v>Syed Muhammad Tahir</v>
          </cell>
          <cell r="E92" t="str">
            <v>Office Supervisor</v>
          </cell>
          <cell r="F92">
            <v>46023</v>
          </cell>
          <cell r="H92" t="str">
            <v>Head Office</v>
          </cell>
          <cell r="I92" t="str">
            <v>02880010160408140012</v>
          </cell>
        </row>
        <row r="93">
          <cell r="B93">
            <v>3530217808087</v>
          </cell>
          <cell r="C93">
            <v>87</v>
          </cell>
          <cell r="D93" t="str">
            <v>Ali Hussnain</v>
          </cell>
          <cell r="E93" t="str">
            <v>Record Keeper</v>
          </cell>
          <cell r="F93">
            <v>46028</v>
          </cell>
          <cell r="H93" t="str">
            <v>Head Office</v>
          </cell>
          <cell r="I93" t="str">
            <v>02880010158460180015</v>
          </cell>
        </row>
        <row r="94">
          <cell r="B94">
            <v>3520225557457</v>
          </cell>
          <cell r="C94">
            <v>88</v>
          </cell>
          <cell r="D94" t="str">
            <v>Muhammad Ali</v>
          </cell>
          <cell r="E94" t="str">
            <v>Sahulat Bazaar Supervisor</v>
          </cell>
          <cell r="F94">
            <v>46062</v>
          </cell>
          <cell r="H94" t="str">
            <v>Head Office</v>
          </cell>
          <cell r="I94" t="str">
            <v>02880010160741280012</v>
          </cell>
        </row>
        <row r="95">
          <cell r="B95">
            <v>3840176605499</v>
          </cell>
          <cell r="C95">
            <v>89</v>
          </cell>
          <cell r="D95" t="str">
            <v>Shabbir Hussain Shah</v>
          </cell>
          <cell r="E95" t="str">
            <v>Sub Engineer (Civil)</v>
          </cell>
          <cell r="F95">
            <v>46065</v>
          </cell>
          <cell r="H95" t="str">
            <v>Head Office</v>
          </cell>
          <cell r="I95" t="str">
            <v>06070010087051020010</v>
          </cell>
        </row>
        <row r="96">
          <cell r="B96">
            <v>3330294012083</v>
          </cell>
          <cell r="C96">
            <v>90</v>
          </cell>
          <cell r="D96" t="str">
            <v>Muhammad Qamar Zaman</v>
          </cell>
          <cell r="E96" t="str">
            <v>Sahulat Bazaar Supervisor</v>
          </cell>
          <cell r="F96">
            <v>46091</v>
          </cell>
          <cell r="H96" t="str">
            <v>Head office</v>
          </cell>
          <cell r="I96" t="str">
            <v>02880010161043150015</v>
          </cell>
        </row>
        <row r="97">
          <cell r="B97">
            <v>3520216752643</v>
          </cell>
          <cell r="C97">
            <v>91</v>
          </cell>
          <cell r="D97" t="str">
            <v>Khizer Hayat</v>
          </cell>
          <cell r="E97" t="str">
            <v>Research Assistant</v>
          </cell>
          <cell r="F97">
            <v>46113</v>
          </cell>
          <cell r="H97" t="str">
            <v>Head office</v>
          </cell>
          <cell r="I97" t="str">
            <v>02880010162988830015</v>
          </cell>
        </row>
        <row r="98">
          <cell r="B98">
            <v>3610398315875</v>
          </cell>
          <cell r="C98">
            <v>92</v>
          </cell>
          <cell r="D98" t="str">
            <v>Muhammad Talha Khalid</v>
          </cell>
          <cell r="E98" t="str">
            <v>Research Assistant</v>
          </cell>
          <cell r="F98">
            <v>46154</v>
          </cell>
          <cell r="H98" t="str">
            <v>Head Office</v>
          </cell>
          <cell r="I98" t="str">
            <v>02880010164405730010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l"/>
    </sheetNames>
    <sheetDataSet>
      <sheetData sheetId="0">
        <row r="2">
          <cell r="J2">
            <v>3520209405169</v>
          </cell>
          <cell r="K2">
            <v>44540</v>
          </cell>
          <cell r="L2">
            <v>48192</v>
          </cell>
          <cell r="M2">
            <v>32060</v>
          </cell>
          <cell r="O2">
            <v>1901171</v>
          </cell>
          <cell r="P2" t="str">
            <v>Naveed Rafaqat Ahmad</v>
          </cell>
          <cell r="Q2" t="str">
            <v>House No. 354, Kashmir Block, Allama Iqbal Town, Lahore</v>
          </cell>
          <cell r="R2" t="str">
            <v>Plot 41-B, Civic Center, M.A Johar Town, Lahore</v>
          </cell>
          <cell r="S2" t="str">
            <v>0333-0497149</v>
          </cell>
          <cell r="T2" t="str">
            <v>nrahmad@live.com</v>
          </cell>
        </row>
        <row r="3">
          <cell r="J3">
            <v>3520294410711</v>
          </cell>
          <cell r="K3">
            <v>43868</v>
          </cell>
          <cell r="L3">
            <v>47521</v>
          </cell>
          <cell r="M3">
            <v>32069</v>
          </cell>
          <cell r="O3">
            <v>1500000</v>
          </cell>
          <cell r="P3" t="str">
            <v>Farhan Dilawar Sheikh</v>
          </cell>
          <cell r="Q3" t="str">
            <v>House no. 178, Block B, Mohalla Nespak  Phase II, Lahore</v>
          </cell>
          <cell r="R3" t="str">
            <v>Plot 41-B, Civic Center, M.A Johar Town, Lahore</v>
          </cell>
          <cell r="S3" t="str">
            <v>0321-8888326</v>
          </cell>
          <cell r="T3" t="str">
            <v>fdsheikh@yahoo.com</v>
          </cell>
        </row>
        <row r="4">
          <cell r="J4">
            <v>3520086525621</v>
          </cell>
          <cell r="K4">
            <v>43055</v>
          </cell>
          <cell r="L4">
            <v>46707</v>
          </cell>
          <cell r="M4">
            <v>34294</v>
          </cell>
          <cell r="O4">
            <v>1500000</v>
          </cell>
          <cell r="P4" t="str">
            <v>Roshan Zameer</v>
          </cell>
          <cell r="Q4" t="str">
            <v>House No. 67-L1, Valencia Town Lahore</v>
          </cell>
          <cell r="R4" t="str">
            <v>Plot 41-B, Civic Center, M.A Johar Town, Lahore</v>
          </cell>
          <cell r="S4" t="str">
            <v>0306-4646558</v>
          </cell>
          <cell r="T4" t="str">
            <v>roshanzameer19@hotmail.com</v>
          </cell>
        </row>
        <row r="5">
          <cell r="J5">
            <v>3520258457507</v>
          </cell>
          <cell r="K5">
            <v>44382</v>
          </cell>
          <cell r="L5">
            <v>48034</v>
          </cell>
          <cell r="M5">
            <v>33394</v>
          </cell>
          <cell r="O5">
            <v>1500000</v>
          </cell>
          <cell r="P5" t="str">
            <v>Sadam Hussain</v>
          </cell>
          <cell r="Q5" t="str">
            <v>Manowal P/O Chaung, Lahoe, Lahore City, District Lahore Pakistan</v>
          </cell>
          <cell r="R5" t="str">
            <v>Plot 41-B, Civic Center, M.A Johar Town, Lahore</v>
          </cell>
          <cell r="S5" t="str">
            <v>0321-7777927</v>
          </cell>
          <cell r="T5" t="str">
            <v xml:space="preserve">sadamkhokhar240@gmail.com </v>
          </cell>
        </row>
        <row r="6">
          <cell r="J6">
            <v>3230313997409</v>
          </cell>
          <cell r="K6">
            <v>42674</v>
          </cell>
          <cell r="L6">
            <v>46326</v>
          </cell>
          <cell r="M6">
            <v>29983</v>
          </cell>
          <cell r="O6">
            <v>989224</v>
          </cell>
          <cell r="P6" t="str">
            <v>Muhammad Asad Abbas</v>
          </cell>
          <cell r="Q6" t="str">
            <v>Panwar Shumali, P/O Mahmood Kot City, Tehsil Kot Addu, District Muzaffargarh</v>
          </cell>
          <cell r="R6" t="str">
            <v>Plot 41-B, Civic Center, M.A Johar Town, Lahore</v>
          </cell>
          <cell r="S6" t="str">
            <v>0346-7031971</v>
          </cell>
          <cell r="T6" t="str">
            <v>civilengineer.pmbmc@gmail.com</v>
          </cell>
        </row>
        <row r="7">
          <cell r="J7">
            <v>3520279405754</v>
          </cell>
          <cell r="K7">
            <v>45673</v>
          </cell>
          <cell r="L7">
            <v>49325</v>
          </cell>
          <cell r="M7">
            <v>33398</v>
          </cell>
          <cell r="O7">
            <v>799999.99999999988</v>
          </cell>
          <cell r="P7" t="str">
            <v>Mariya Iqbal</v>
          </cell>
          <cell r="Q7" t="str">
            <v>House No. 11, Street No. 21, Mohalla Shamsabad Misri Shah, Lahore</v>
          </cell>
          <cell r="R7" t="str">
            <v>Plot 41-B, Civic Center, M.A Johar Town, Lahore</v>
          </cell>
          <cell r="S7" t="str">
            <v>0323-4442033</v>
          </cell>
          <cell r="T7" t="str">
            <v>mariya_iqbal@hotmail.com</v>
          </cell>
        </row>
        <row r="8">
          <cell r="J8">
            <v>3410141448295</v>
          </cell>
          <cell r="K8">
            <v>44231</v>
          </cell>
          <cell r="L8">
            <v>47883</v>
          </cell>
          <cell r="M8">
            <v>32306</v>
          </cell>
          <cell r="O8">
            <v>600000</v>
          </cell>
          <cell r="P8" t="str">
            <v>Muhammad Iqbal</v>
          </cell>
          <cell r="Q8" t="str">
            <v>Post Office Talwandi Mosa Khan, Gujranwala</v>
          </cell>
          <cell r="R8" t="str">
            <v>Plot 41-B, Civic Center, M.A Johar Town, Lahore</v>
          </cell>
          <cell r="S8" t="str">
            <v>0333-3089300</v>
          </cell>
          <cell r="T8" t="str">
            <v>iqbalsalamat@gamil.com</v>
          </cell>
        </row>
        <row r="9">
          <cell r="J9">
            <v>3520230926617</v>
          </cell>
          <cell r="K9">
            <v>44089</v>
          </cell>
          <cell r="L9">
            <v>47741</v>
          </cell>
          <cell r="M9">
            <v>33005</v>
          </cell>
          <cell r="O9">
            <v>425000</v>
          </cell>
          <cell r="P9" t="str">
            <v>Kashif Rasheed</v>
          </cell>
          <cell r="Q9" t="str">
            <v>Muhalla Tariqabad, Manga Mandi, Distt. Lahore</v>
          </cell>
          <cell r="R9" t="str">
            <v>Plot 41-B, Civic Center, M.A Johar Town, Lahore</v>
          </cell>
          <cell r="S9" t="str">
            <v>0332-4266914</v>
          </cell>
          <cell r="T9" t="str">
            <v>kashif.6914@gmail.com</v>
          </cell>
        </row>
        <row r="10">
          <cell r="J10">
            <v>3520278022145</v>
          </cell>
          <cell r="K10">
            <v>44533</v>
          </cell>
          <cell r="L10">
            <v>48185</v>
          </cell>
          <cell r="M10">
            <v>33263</v>
          </cell>
          <cell r="O10">
            <v>525000</v>
          </cell>
          <cell r="P10" t="str">
            <v>Muhammad Moeen Chishti</v>
          </cell>
          <cell r="Q10" t="str">
            <v>House no. 764, Nashiman e Iqbal Housing Society, Khayaban e Jinnah Road, Lahore</v>
          </cell>
          <cell r="R10" t="str">
            <v>Plot 41-B, Civic Center, M.A Johar Town, Lahore</v>
          </cell>
          <cell r="S10" t="str">
            <v>0333-3311127</v>
          </cell>
          <cell r="T10" t="str">
            <v>mmmoeen_525@gmail.com</v>
          </cell>
        </row>
        <row r="11">
          <cell r="J11">
            <v>3520273705001</v>
          </cell>
          <cell r="K11">
            <v>44205</v>
          </cell>
          <cell r="L11">
            <v>47857</v>
          </cell>
          <cell r="M11">
            <v>33665</v>
          </cell>
          <cell r="O11">
            <v>475000</v>
          </cell>
          <cell r="P11" t="str">
            <v>Muhammad Ahmed</v>
          </cell>
          <cell r="Q11" t="str">
            <v>House no. 65 A, Muhalla Allam Iqbal Road, Railway Colony, Lahore</v>
          </cell>
          <cell r="R11" t="str">
            <v>Plot 41-B, Civic Center, M.A Johar Town, Lahore</v>
          </cell>
          <cell r="S11" t="str">
            <v>0331-4272946</v>
          </cell>
          <cell r="T11" t="str">
            <v>m.ahmad_555@yahoo.com</v>
          </cell>
        </row>
        <row r="12">
          <cell r="J12">
            <v>3110125338133</v>
          </cell>
          <cell r="K12">
            <v>44522</v>
          </cell>
          <cell r="L12">
            <v>48174</v>
          </cell>
          <cell r="M12">
            <v>33307</v>
          </cell>
          <cell r="O12">
            <v>400000</v>
          </cell>
          <cell r="P12" t="str">
            <v>Syed Rizwan Haider</v>
          </cell>
          <cell r="Q12" t="str">
            <v>Syedan Wali, Post Office Gulab Ali, Ratti Ram Pura, Distt. Bahawalnagar</v>
          </cell>
          <cell r="R12" t="str">
            <v>Plot 41-B, Civic Center, M.A Johar Town, Lahore</v>
          </cell>
          <cell r="S12" t="str">
            <v>0333-9919495</v>
          </cell>
          <cell r="T12" t="str">
            <v>rizwanshah9919@gmail.com</v>
          </cell>
        </row>
        <row r="13">
          <cell r="J13">
            <v>3520163912981</v>
          </cell>
          <cell r="K13">
            <v>45973</v>
          </cell>
          <cell r="L13">
            <v>49625</v>
          </cell>
          <cell r="M13">
            <v>33359</v>
          </cell>
          <cell r="O13">
            <v>400000</v>
          </cell>
          <cell r="P13" t="str">
            <v>Usman Badar</v>
          </cell>
          <cell r="Q13" t="str">
            <v>House no. 201, Muhalla Block no 2, sector D-1, Township Lahore</v>
          </cell>
          <cell r="R13" t="str">
            <v>Plot 41-B, Civic Center, M.A Johar Town, Lahore</v>
          </cell>
          <cell r="S13" t="str">
            <v>0322-4556033</v>
          </cell>
          <cell r="T13" t="str">
            <v xml:space="preserve">engrusmanbadar@gmail.com </v>
          </cell>
        </row>
        <row r="14">
          <cell r="J14">
            <v>3210298220329</v>
          </cell>
          <cell r="K14">
            <v>46167</v>
          </cell>
          <cell r="L14">
            <v>49820</v>
          </cell>
          <cell r="M14">
            <v>33734</v>
          </cell>
          <cell r="O14">
            <v>400000</v>
          </cell>
          <cell r="P14" t="str">
            <v>Barkat Ali</v>
          </cell>
          <cell r="Q14" t="str">
            <v>Post Office Fort Manroo, Gagan Thal, Tehsil Koh Suleman, Dera Ghazi Khan</v>
          </cell>
          <cell r="R14" t="str">
            <v>Plot 41-B, Civic Center, M.A Johar Town, Lahore</v>
          </cell>
          <cell r="S14" t="str">
            <v>0333-8559919</v>
          </cell>
          <cell r="T14" t="str">
            <v>engr.barkatbalouch@gmail.com</v>
          </cell>
        </row>
        <row r="15">
          <cell r="J15">
            <v>3520265331633</v>
          </cell>
          <cell r="K15">
            <v>43316</v>
          </cell>
          <cell r="L15">
            <v>46969</v>
          </cell>
          <cell r="M15">
            <v>28401</v>
          </cell>
          <cell r="O15">
            <v>300000</v>
          </cell>
          <cell r="P15" t="str">
            <v>Muhammad Ali</v>
          </cell>
          <cell r="Q15" t="str">
            <v>Khalid bin Waleed street House no 26/6, satreet no 42-B, muhallah Allama Iqbal Town, Lhaore.</v>
          </cell>
          <cell r="R15" t="str">
            <v>Plot 41-B, Civic Center, M.A Johar Town, Lahore</v>
          </cell>
          <cell r="S15" t="str">
            <v>0323-4543772</v>
          </cell>
          <cell r="T15" t="str">
            <v>muhammadalisami@gmail.com</v>
          </cell>
        </row>
        <row r="16">
          <cell r="J16">
            <v>3830242683949</v>
          </cell>
          <cell r="K16">
            <v>43855</v>
          </cell>
          <cell r="L16">
            <v>47508</v>
          </cell>
          <cell r="M16">
            <v>32823</v>
          </cell>
          <cell r="O16">
            <v>400000</v>
          </cell>
          <cell r="P16" t="str">
            <v>Muhammad Aamir</v>
          </cell>
          <cell r="Q16" t="str">
            <v>H # 51-J, Mohalla Kosarabad, Mianwali</v>
          </cell>
          <cell r="R16" t="str">
            <v>Plot 41-B, Civic Center, M.A Johar Town, Lahore</v>
          </cell>
          <cell r="S16" t="str">
            <v>0300-0240560</v>
          </cell>
          <cell r="T16" t="str">
            <v>aamirpak5@gmail.com</v>
          </cell>
        </row>
        <row r="17">
          <cell r="J17">
            <v>3540425519833</v>
          </cell>
          <cell r="K17">
            <v>45780</v>
          </cell>
          <cell r="L17">
            <v>49481</v>
          </cell>
          <cell r="M17">
            <v>34195</v>
          </cell>
          <cell r="O17">
            <v>425000</v>
          </cell>
          <cell r="P17" t="str">
            <v>Muhammad Ali Hassan</v>
          </cell>
          <cell r="Q17" t="str">
            <v>House No. 97, Block Ghaznawai Extension Sector F, Bahria Town Lahore</v>
          </cell>
          <cell r="R17" t="str">
            <v>Plot 41-B, Civic Center, M.A Johar Town, Lahore</v>
          </cell>
          <cell r="S17" t="str">
            <v>0345-6344055</v>
          </cell>
          <cell r="T17" t="str">
            <v>mhassab204@gmail.com</v>
          </cell>
        </row>
        <row r="18">
          <cell r="J18">
            <v>3520241082553</v>
          </cell>
          <cell r="K18">
            <v>44994</v>
          </cell>
          <cell r="L18">
            <v>48647</v>
          </cell>
          <cell r="M18">
            <v>30082</v>
          </cell>
          <cell r="O18">
            <v>275000</v>
          </cell>
          <cell r="P18" t="str">
            <v>Rab Nawaz Baloch</v>
          </cell>
          <cell r="Q18" t="str">
            <v>House no 218-B, Mohalla Muhammad Ali Johar Town Lahore</v>
          </cell>
          <cell r="R18" t="str">
            <v>Plot 41-B, Civic Center, M.A Johar Town, Lahore</v>
          </cell>
          <cell r="S18" t="str">
            <v>0321-4364444</v>
          </cell>
          <cell r="T18" t="str">
            <v>baloch.rabnawaz@gmail.com</v>
          </cell>
        </row>
        <row r="19">
          <cell r="J19">
            <v>3540146081723</v>
          </cell>
          <cell r="K19">
            <v>42660</v>
          </cell>
          <cell r="L19">
            <v>46312</v>
          </cell>
          <cell r="M19">
            <v>30936</v>
          </cell>
          <cell r="O19">
            <v>200000</v>
          </cell>
          <cell r="P19" t="str">
            <v>Asim Shahbaz</v>
          </cell>
          <cell r="Q19" t="str">
            <v>Nazar Labana, Tehsil Sharqpur, District Sheikhupura</v>
          </cell>
          <cell r="R19" t="str">
            <v>Plot 41-B, Civic Center, M.A Johar Town, Lahore</v>
          </cell>
          <cell r="S19" t="str">
            <v>0321-1278628</v>
          </cell>
          <cell r="T19" t="str">
            <v xml:space="preserve">asim.shahbaz323@gmail.com </v>
          </cell>
        </row>
        <row r="20">
          <cell r="J20">
            <v>3330259267193</v>
          </cell>
          <cell r="K20">
            <v>43712</v>
          </cell>
          <cell r="L20" t="str">
            <v>Lifetime</v>
          </cell>
          <cell r="M20">
            <v>32732</v>
          </cell>
          <cell r="O20">
            <v>250000.05</v>
          </cell>
          <cell r="P20" t="str">
            <v>Wasim Akram</v>
          </cell>
          <cell r="Q20" t="str">
            <v>Chak No. 735GB, Tehsil Kamalia Distt. Toba Tek Singh</v>
          </cell>
          <cell r="R20" t="str">
            <v>Plot 41-B, Civic Center, M.A Johar Town, Lahore</v>
          </cell>
          <cell r="S20" t="str">
            <v>0333-4395774</v>
          </cell>
          <cell r="T20" t="str">
            <v xml:space="preserve">wasim.pmbmc@gmail.com </v>
          </cell>
        </row>
        <row r="21">
          <cell r="J21">
            <v>3460235786589</v>
          </cell>
          <cell r="K21">
            <v>44700</v>
          </cell>
          <cell r="L21">
            <v>48353</v>
          </cell>
          <cell r="M21">
            <v>29619</v>
          </cell>
          <cell r="O21">
            <v>350000</v>
          </cell>
          <cell r="P21" t="str">
            <v>Qamar Shahzad</v>
          </cell>
          <cell r="Q21" t="str">
            <v>Baqapur, Dak Khana Pasroor, Pasroor District Sialkot</v>
          </cell>
          <cell r="R21" t="str">
            <v>Plot 41-B, Civic Center, M.A Johar Town, Lahore</v>
          </cell>
          <cell r="S21" t="str">
            <v>0302-4041664</v>
          </cell>
          <cell r="T21" t="str">
            <v xml:space="preserve">qshahzad95@gmail.com </v>
          </cell>
        </row>
        <row r="22">
          <cell r="J22">
            <v>3410204728161</v>
          </cell>
          <cell r="K22">
            <v>42569</v>
          </cell>
          <cell r="L22">
            <v>46221</v>
          </cell>
          <cell r="M22">
            <v>28925</v>
          </cell>
          <cell r="O22">
            <v>425000</v>
          </cell>
          <cell r="P22" t="str">
            <v>Salman Elahi</v>
          </cell>
          <cell r="Q22" t="str">
            <v>House No. 829/D, Street Habib Ullah Wali, Mohalla Islamabad Kamoki, Gujranwala</v>
          </cell>
          <cell r="R22" t="str">
            <v>Plot 41-B, Civic Center, M.A Johar Town, Lahore</v>
          </cell>
          <cell r="S22" t="str">
            <v>0334-9766114</v>
          </cell>
          <cell r="T22" t="str">
            <v xml:space="preserve">salman.pmbmc@gmail.com </v>
          </cell>
        </row>
        <row r="23">
          <cell r="J23">
            <v>3110468804103</v>
          </cell>
          <cell r="K23">
            <v>45226</v>
          </cell>
          <cell r="L23">
            <v>48879</v>
          </cell>
          <cell r="M23">
            <v>30839</v>
          </cell>
          <cell r="O23">
            <v>425000</v>
          </cell>
          <cell r="P23" t="str">
            <v>Muhammad Imran Saeed</v>
          </cell>
          <cell r="Q23" t="str">
            <v>Chak No. 47/3R,Tehsil Haroonabad Distt. Bahwalnagar</v>
          </cell>
          <cell r="R23" t="str">
            <v>Plot 41-B, Civic Center, M.A Johar Town, Lahore</v>
          </cell>
          <cell r="S23" t="str">
            <v>0333-6336457</v>
          </cell>
          <cell r="T23" t="str">
            <v>imrankafeel47@gmail.com</v>
          </cell>
        </row>
        <row r="24">
          <cell r="J24">
            <v>3520191937379</v>
          </cell>
          <cell r="K24">
            <v>42586</v>
          </cell>
          <cell r="L24">
            <v>46238</v>
          </cell>
          <cell r="M24">
            <v>31451</v>
          </cell>
          <cell r="O24">
            <v>400000</v>
          </cell>
          <cell r="P24" t="str">
            <v>Ali Zia</v>
          </cell>
          <cell r="Q24" t="str">
            <v>House no. 1/2, street no 2, Durs road Baghbanpura, Lahore</v>
          </cell>
          <cell r="R24" t="str">
            <v>Plot 41-B, Civic Center, M.A Johar Town, Lahore</v>
          </cell>
          <cell r="S24" t="str">
            <v>0333-4430636</v>
          </cell>
          <cell r="T24" t="str">
            <v>ali.pmbmc@gmail.com</v>
          </cell>
        </row>
        <row r="25">
          <cell r="J25">
            <v>3520254903929</v>
          </cell>
          <cell r="K25">
            <v>44044</v>
          </cell>
          <cell r="L25">
            <v>47696</v>
          </cell>
          <cell r="M25">
            <v>32812</v>
          </cell>
          <cell r="O25">
            <v>325000</v>
          </cell>
          <cell r="P25" t="str">
            <v>Umair Iqbal</v>
          </cell>
          <cell r="Q25" t="str">
            <v>House No. 11, Street No 21, Mohalla Shamsabad, Misri Shah, Lahore</v>
          </cell>
          <cell r="R25" t="str">
            <v>Plot 41-B, Civic Center, M.A Johar Town, Lahore</v>
          </cell>
          <cell r="S25" t="str">
            <v>0323-8445344</v>
          </cell>
          <cell r="T25" t="str">
            <v>umair_iqbal121@hotmail.com</v>
          </cell>
        </row>
        <row r="26">
          <cell r="J26">
            <v>3520011249097</v>
          </cell>
          <cell r="K26">
            <v>45085</v>
          </cell>
          <cell r="L26">
            <v>48738</v>
          </cell>
          <cell r="M26">
            <v>34770</v>
          </cell>
          <cell r="O26">
            <v>225000</v>
          </cell>
          <cell r="P26" t="str">
            <v>Hashir Kaleem</v>
          </cell>
          <cell r="Q26" t="str">
            <v>House No. 143 Chuburju Park, Multan Road, Lahore</v>
          </cell>
          <cell r="R26" t="str">
            <v>Plot 41-B, Civic Center, M.A Johar Town, Lahore</v>
          </cell>
          <cell r="S26" t="str">
            <v>0336-4338810</v>
          </cell>
          <cell r="T26" t="str">
            <v>hashirkaleem1@gmail.com</v>
          </cell>
        </row>
        <row r="27">
          <cell r="J27">
            <v>3520261508085</v>
          </cell>
          <cell r="K27">
            <v>44617</v>
          </cell>
          <cell r="L27">
            <v>413511</v>
          </cell>
          <cell r="M27">
            <v>34018</v>
          </cell>
          <cell r="O27">
            <v>175000</v>
          </cell>
          <cell r="P27" t="str">
            <v>Muhammad Faisal Tariq</v>
          </cell>
          <cell r="Q27" t="str">
            <v>House no. 879-B, Mohallah Maidan Bhaiyan, Andron Mori Gate Lahore</v>
          </cell>
          <cell r="R27" t="str">
            <v>Plot 41-B, Civic Center, M.A Johar Town, Lahore</v>
          </cell>
          <cell r="S27" t="str">
            <v>0343-4871483</v>
          </cell>
          <cell r="T27" t="str">
            <v xml:space="preserve">faisaltariqjournalist@gmail.com </v>
          </cell>
        </row>
        <row r="28">
          <cell r="J28">
            <v>3450173922885</v>
          </cell>
          <cell r="K28">
            <v>44979</v>
          </cell>
          <cell r="L28">
            <v>48632</v>
          </cell>
          <cell r="M28">
            <v>32856</v>
          </cell>
          <cell r="O28">
            <v>275000</v>
          </cell>
          <cell r="P28" t="str">
            <v xml:space="preserve">Tahir Majeed </v>
          </cell>
          <cell r="Q28" t="str">
            <v>Nazeer Street Muhalla Islampura Tehsil &amp; District Narowal</v>
          </cell>
          <cell r="R28" t="str">
            <v>Plot 41-B, Civic Center, M.A Johar Town, Lahore</v>
          </cell>
          <cell r="S28" t="str">
            <v>0337-7779500</v>
          </cell>
          <cell r="T28" t="str">
            <v>tahirmajeed471@gmail.com</v>
          </cell>
        </row>
        <row r="29">
          <cell r="J29">
            <v>3840478286727</v>
          </cell>
          <cell r="K29">
            <v>43749</v>
          </cell>
          <cell r="L29">
            <v>47402</v>
          </cell>
          <cell r="M29">
            <v>30678</v>
          </cell>
          <cell r="O29">
            <v>120000</v>
          </cell>
          <cell r="P29" t="str">
            <v>Zeeshan Haider Awan</v>
          </cell>
          <cell r="Q29" t="str">
            <v>H # 12/35 Muhallah Hattara wala, Bhera, District Sargodha</v>
          </cell>
          <cell r="R29" t="str">
            <v>Plot 41-B, Civic Center, M.A Johar Town, Lahore</v>
          </cell>
          <cell r="S29" t="str">
            <v>0300-5214255</v>
          </cell>
          <cell r="T29" t="str">
            <v>zeshanawan5214@gmail.com</v>
          </cell>
        </row>
        <row r="30">
          <cell r="J30">
            <v>3520285698727</v>
          </cell>
          <cell r="K30">
            <v>43054</v>
          </cell>
          <cell r="L30">
            <v>46706</v>
          </cell>
          <cell r="M30">
            <v>34770</v>
          </cell>
          <cell r="O30">
            <v>150000</v>
          </cell>
          <cell r="P30" t="str">
            <v>Nabeel Jamil</v>
          </cell>
          <cell r="Q30" t="str">
            <v>House no. 325, street no. 42, Muhalla Kareem Park Chah Meeran, Lahore</v>
          </cell>
          <cell r="R30" t="str">
            <v>Plot 41-B, Civic Center, M.A Johar Town, Lahore</v>
          </cell>
          <cell r="S30" t="str">
            <v>0304-0426764</v>
          </cell>
          <cell r="T30" t="str">
            <v>Moonjutt307@gmail.com</v>
          </cell>
        </row>
        <row r="31">
          <cell r="J31">
            <v>3230332099783</v>
          </cell>
          <cell r="K31">
            <v>44423</v>
          </cell>
          <cell r="L31">
            <v>48075</v>
          </cell>
          <cell r="M31">
            <v>33464</v>
          </cell>
          <cell r="O31">
            <v>175000</v>
          </cell>
          <cell r="P31" t="str">
            <v>Zee Waqar Mehdi</v>
          </cell>
          <cell r="Q31" t="str">
            <v>Mehmood Kot, Panwar Shumali, Tehsil Kot Adu, District Muzaffargarh</v>
          </cell>
          <cell r="R31" t="str">
            <v>Plot 41-B, Civic Center, M.A Johar Town, Lahore</v>
          </cell>
          <cell r="S31" t="str">
            <v>0304-7646069</v>
          </cell>
          <cell r="T31" t="str">
            <v>zeewaqar1992pmbmc@gmail.com</v>
          </cell>
        </row>
        <row r="32">
          <cell r="J32">
            <v>3530264533005</v>
          </cell>
          <cell r="K32">
            <v>43458</v>
          </cell>
          <cell r="L32">
            <v>47111</v>
          </cell>
          <cell r="M32">
            <v>36434</v>
          </cell>
          <cell r="O32">
            <v>120000</v>
          </cell>
          <cell r="P32" t="str">
            <v>Muhammad Husnain</v>
          </cell>
          <cell r="Q32" t="str">
            <v>House # 2, Street # 1, Muhalla Ahamadabad, Samadpura Road, Okara.</v>
          </cell>
          <cell r="R32" t="str">
            <v>Plot 41-B, Civic Center, M.A Johar Town, Lahore</v>
          </cell>
          <cell r="S32" t="str">
            <v>0301-7326050</v>
          </cell>
          <cell r="T32" t="str">
            <v>husnain.malik5455@gmail.com</v>
          </cell>
        </row>
        <row r="33">
          <cell r="J33">
            <v>3520261954861</v>
          </cell>
          <cell r="K33">
            <v>43549</v>
          </cell>
          <cell r="L33">
            <v>47202</v>
          </cell>
          <cell r="M33">
            <v>36766</v>
          </cell>
          <cell r="O33">
            <v>150000</v>
          </cell>
          <cell r="P33" t="str">
            <v>Rizwan Shoukat</v>
          </cell>
          <cell r="Q33" t="str">
            <v>House No. 114/A, Block K, Mohallah Model Town, Ghausia Colony, Lahore</v>
          </cell>
          <cell r="R33" t="str">
            <v>Plot 41-B, Civic Center, M.A Johar Town, Lahore</v>
          </cell>
          <cell r="S33" t="str">
            <v>0309-7747813</v>
          </cell>
          <cell r="T33" t="str">
            <v>rizwanrajpoot2550@gmail.com</v>
          </cell>
        </row>
        <row r="34">
          <cell r="J34">
            <v>3520245744217</v>
          </cell>
          <cell r="K34">
            <v>44447</v>
          </cell>
          <cell r="L34">
            <v>48099</v>
          </cell>
          <cell r="M34">
            <v>37567</v>
          </cell>
          <cell r="O34">
            <v>150000</v>
          </cell>
          <cell r="P34" t="str">
            <v>Zain ul Abideen</v>
          </cell>
          <cell r="Q34" t="str">
            <v>Muhalla Shadiwal Majha, Township Lahore</v>
          </cell>
          <cell r="R34" t="str">
            <v>Plot 41-B, Civic Center, M.A Johar Town, Lahore</v>
          </cell>
          <cell r="S34" t="str">
            <v>0312-6887862</v>
          </cell>
          <cell r="T34" t="str">
            <v>khokharzain139@gmail.com</v>
          </cell>
        </row>
        <row r="35">
          <cell r="J35">
            <v>3520173617314</v>
          </cell>
          <cell r="K35">
            <v>44861</v>
          </cell>
          <cell r="L35">
            <v>48514</v>
          </cell>
          <cell r="M35">
            <v>33798</v>
          </cell>
          <cell r="O35">
            <v>149999.99999999997</v>
          </cell>
          <cell r="P35" t="str">
            <v>Sehar Fatima</v>
          </cell>
          <cell r="Q35" t="str">
            <v>House no. 11, Mohalla Munuwar Aziz Park, New Wassanpura, Lahore</v>
          </cell>
          <cell r="R35" t="str">
            <v>Plot 41-B, Civic Center, M.A Johar Town, Lahore</v>
          </cell>
          <cell r="S35" t="str">
            <v>0331-4030651</v>
          </cell>
          <cell r="T35" t="str">
            <v>fatimanaqvi2017@gmail.com</v>
          </cell>
        </row>
        <row r="36">
          <cell r="J36">
            <v>3520209670236</v>
          </cell>
          <cell r="K36">
            <v>43838</v>
          </cell>
          <cell r="L36">
            <v>47491</v>
          </cell>
          <cell r="M36">
            <v>32363</v>
          </cell>
          <cell r="O36">
            <v>175000</v>
          </cell>
          <cell r="P36" t="str">
            <v>Saba Aftab</v>
          </cell>
          <cell r="Q36" t="str">
            <v>House # 81, Street # 2, Mohalla Maqam Hayat Near Masjid Ahle Hadees, Sargodha</v>
          </cell>
          <cell r="R36" t="str">
            <v>Plot 41-B, Civic Center, M.A Johar Town, Lahore</v>
          </cell>
          <cell r="S36" t="str">
            <v>0333-4155753</v>
          </cell>
          <cell r="T36" t="str">
            <v>saba1.pmbmc@gmail.com</v>
          </cell>
        </row>
        <row r="37">
          <cell r="J37">
            <v>3650249841357</v>
          </cell>
          <cell r="K37">
            <v>42940</v>
          </cell>
          <cell r="L37">
            <v>46592</v>
          </cell>
          <cell r="M37">
            <v>33512</v>
          </cell>
          <cell r="O37">
            <v>175000</v>
          </cell>
          <cell r="P37" t="str">
            <v>Zain Ahmed</v>
          </cell>
          <cell r="Q37" t="str">
            <v>Chak # 190/9 AL, P.O Khas,Tehsil &amp; District Sahiwal</v>
          </cell>
          <cell r="R37" t="str">
            <v>Plot 41-B, Civic Center, M.A Johar Town, Lahore</v>
          </cell>
          <cell r="S37" t="str">
            <v>0308-7287090</v>
          </cell>
          <cell r="T37" t="str">
            <v>z.a.warraich190@gmail.com</v>
          </cell>
        </row>
        <row r="38">
          <cell r="J38">
            <v>3520202337837</v>
          </cell>
          <cell r="K38">
            <v>42957</v>
          </cell>
          <cell r="L38">
            <v>46609</v>
          </cell>
          <cell r="M38">
            <v>36361</v>
          </cell>
          <cell r="O38">
            <v>200000</v>
          </cell>
          <cell r="P38" t="str">
            <v>Hassan Ali Shah Shami</v>
          </cell>
          <cell r="Q38" t="str">
            <v>House no 1, Mohalla Thapar, Street Shamnagar, Chuburji Lahore</v>
          </cell>
          <cell r="R38" t="str">
            <v>Plot 41-B, Civic Center, M.A Johar Town, Lahore</v>
          </cell>
          <cell r="S38" t="str">
            <v>0309-9822914</v>
          </cell>
          <cell r="T38" t="str">
            <v>hassanshami0301@gmail.com</v>
          </cell>
        </row>
        <row r="39">
          <cell r="J39">
            <v>3520234304283</v>
          </cell>
          <cell r="K39">
            <v>44672</v>
          </cell>
          <cell r="L39">
            <v>48325</v>
          </cell>
          <cell r="M39">
            <v>33443</v>
          </cell>
          <cell r="O39">
            <v>150000</v>
          </cell>
          <cell r="P39" t="str">
            <v>Abdul Hafeez</v>
          </cell>
          <cell r="Q39" t="str">
            <v>House no. 15, Muhalla Block 11, sector B-1, Township, Lahore</v>
          </cell>
          <cell r="R39" t="str">
            <v>Plot 41-B, Civic Center, M.A Johar Town, Lahore</v>
          </cell>
          <cell r="S39" t="str">
            <v>0320-5515815</v>
          </cell>
          <cell r="T39" t="str">
            <v>abdulhafeez.pmbmc@gmail.com</v>
          </cell>
        </row>
        <row r="40">
          <cell r="J40">
            <v>3110443214567</v>
          </cell>
          <cell r="K40">
            <v>45019</v>
          </cell>
          <cell r="L40">
            <v>48672</v>
          </cell>
          <cell r="M40">
            <v>30317</v>
          </cell>
          <cell r="O40">
            <v>100000</v>
          </cell>
          <cell r="P40" t="str">
            <v>Kafeel Ahmad</v>
          </cell>
          <cell r="Q40" t="str">
            <v>Chak No.47/3-R, Tehsil Haroon Abad, District Bahawalpnagar</v>
          </cell>
          <cell r="R40" t="str">
            <v>Plot 41-B, Civic Center, M.A Johar Town, Lahore</v>
          </cell>
          <cell r="S40" t="str">
            <v>0302-9392989</v>
          </cell>
          <cell r="T40" t="str">
            <v>kafeelahmad986@gmail.com</v>
          </cell>
        </row>
        <row r="41">
          <cell r="J41">
            <v>3520260848819</v>
          </cell>
          <cell r="K41">
            <v>43283</v>
          </cell>
          <cell r="L41">
            <v>46936</v>
          </cell>
          <cell r="M41">
            <v>32561</v>
          </cell>
          <cell r="O41">
            <v>90000</v>
          </cell>
          <cell r="P41" t="str">
            <v>Muhammad Irfan</v>
          </cell>
          <cell r="Q41" t="str">
            <v>House No. 25-A, Muhalla PCSIR, Staff Colony, College Road Township, Lahore</v>
          </cell>
          <cell r="R41" t="str">
            <v>Plot 41-B, Civic Center, M.A Johar Town, Lahore</v>
          </cell>
          <cell r="S41" t="str">
            <v>0323-4025770</v>
          </cell>
          <cell r="T41" t="str">
            <v>m.irfan1015@gmail.com</v>
          </cell>
        </row>
        <row r="42">
          <cell r="J42">
            <v>3810182165087</v>
          </cell>
          <cell r="K42">
            <v>43914</v>
          </cell>
          <cell r="L42">
            <v>47566</v>
          </cell>
          <cell r="M42">
            <v>34922</v>
          </cell>
          <cell r="O42">
            <v>100000</v>
          </cell>
          <cell r="P42" t="str">
            <v>Muhammad Nabeel Gulzar</v>
          </cell>
          <cell r="Q42" t="str">
            <v>House No. 467/56, Mohalla Chah Chamni, Street Fida Hussain Thekdar, College Road, Bhakkar</v>
          </cell>
          <cell r="R42" t="str">
            <v>Plot 41-B, Civic Center, M.A Johar Town, Lahore</v>
          </cell>
          <cell r="S42" t="str">
            <v>0334-4434024</v>
          </cell>
          <cell r="T42" t="str">
            <v>gulzar.nabeel.740@gmail.com</v>
          </cell>
        </row>
        <row r="43">
          <cell r="J43">
            <v>3310244062313</v>
          </cell>
          <cell r="K43">
            <v>43734</v>
          </cell>
          <cell r="L43">
            <v>47387</v>
          </cell>
          <cell r="M43">
            <v>36763</v>
          </cell>
          <cell r="O43">
            <v>110000</v>
          </cell>
          <cell r="P43" t="str">
            <v>Gull e Madni</v>
          </cell>
          <cell r="Q43" t="str">
            <v>House No. 371/4-P, Street No 8 Tayyba Street, Mohalla Naseerabad Nishatabad, Faisalabad</v>
          </cell>
          <cell r="R43" t="str">
            <v>Plot 41-B, Civic Center, M.A Johar Town, Lahore</v>
          </cell>
          <cell r="S43" t="str">
            <v>0303-4222773</v>
          </cell>
          <cell r="T43" t="str">
            <v>gulemadni.md.pmbmc@gmail.com</v>
          </cell>
        </row>
        <row r="44">
          <cell r="J44">
            <v>3520015123991</v>
          </cell>
          <cell r="K44">
            <v>44620</v>
          </cell>
          <cell r="L44">
            <v>48272</v>
          </cell>
          <cell r="M44">
            <v>30196</v>
          </cell>
          <cell r="O44">
            <v>110000</v>
          </cell>
          <cell r="P44" t="str">
            <v>Asad Ullah Khan</v>
          </cell>
          <cell r="Q44" t="str">
            <v>House No. 24-C, Mohalla Wahdat Road, Ghaosia Colony, Lahore</v>
          </cell>
          <cell r="R44" t="str">
            <v>Plot 41-B, Civic Center, M.A Johar Town, Lahore</v>
          </cell>
          <cell r="S44" t="str">
            <v>0300-4343125 &amp; 0323-4162472</v>
          </cell>
          <cell r="T44" t="str">
            <v>asadullah.md.pmbmc@gmail.com</v>
          </cell>
        </row>
        <row r="45">
          <cell r="J45">
            <v>3520283162071</v>
          </cell>
          <cell r="K45">
            <v>45348</v>
          </cell>
          <cell r="L45">
            <v>49001</v>
          </cell>
          <cell r="M45">
            <v>35377</v>
          </cell>
          <cell r="O45">
            <v>110000</v>
          </cell>
          <cell r="P45" t="str">
            <v>Rashid Mahmood</v>
          </cell>
          <cell r="Q45" t="str">
            <v>Muhalla Tariqabad Managa Mandi Lahore</v>
          </cell>
          <cell r="R45" t="str">
            <v>Plot 41-B, Civic Center, M.A Johar Town, Lahore</v>
          </cell>
          <cell r="S45" t="str">
            <v>0307-2034338</v>
          </cell>
          <cell r="T45" t="str">
            <v>rashid.pmbmc@gmail.com</v>
          </cell>
        </row>
        <row r="46">
          <cell r="J46">
            <v>3520241663183</v>
          </cell>
          <cell r="K46">
            <v>43717</v>
          </cell>
          <cell r="L46">
            <v>47370</v>
          </cell>
          <cell r="M46">
            <v>31860</v>
          </cell>
          <cell r="O46">
            <v>115000</v>
          </cell>
          <cell r="P46" t="str">
            <v>Abdul Hameed Nasir</v>
          </cell>
          <cell r="Q46" t="str">
            <v>Jhok Nawaz Chak No 231 EB, Dak Khana Khas Tehsil Burewala Distt. Vehari</v>
          </cell>
          <cell r="R46" t="str">
            <v>Plot 41-B, Civic Center, M.A Johar Town, Lahore</v>
          </cell>
          <cell r="S46" t="str">
            <v>0306-2689852</v>
          </cell>
          <cell r="T46" t="str">
            <v>abdulhameednasir88@gmail.com</v>
          </cell>
        </row>
        <row r="47">
          <cell r="J47">
            <v>3520274261144</v>
          </cell>
          <cell r="K47">
            <v>43368</v>
          </cell>
          <cell r="L47">
            <v>47021</v>
          </cell>
          <cell r="M47">
            <v>35534</v>
          </cell>
          <cell r="O47">
            <v>80000</v>
          </cell>
          <cell r="P47" t="str">
            <v>Rafia Shabbir</v>
          </cell>
          <cell r="Q47" t="str">
            <v>Koot Bhai Khan Tehsil Shahpur Distt. Sargodha</v>
          </cell>
          <cell r="R47" t="str">
            <v>Plot 41-B, Civic Center, M.A Johar Town, Lahore</v>
          </cell>
          <cell r="S47" t="str">
            <v>0317-4557138</v>
          </cell>
          <cell r="T47" t="str">
            <v>rafiashabbir053@gmail.com</v>
          </cell>
        </row>
        <row r="48">
          <cell r="J48">
            <v>3520265263409</v>
          </cell>
          <cell r="K48">
            <v>44615</v>
          </cell>
          <cell r="L48">
            <v>48267</v>
          </cell>
          <cell r="M48">
            <v>32933</v>
          </cell>
          <cell r="O48">
            <v>120000</v>
          </cell>
          <cell r="P48" t="str">
            <v>Hafiz Muhammad Saleem</v>
          </cell>
          <cell r="Q48" t="str">
            <v>Mohallah Samsani khoi, New Campus, Johar Town Lahore</v>
          </cell>
          <cell r="R48" t="str">
            <v>Plot 41-B, Civic Center, M.A Johar Town, Lahore</v>
          </cell>
          <cell r="S48" t="str">
            <v>0321-4146642</v>
          </cell>
          <cell r="T48" t="str">
            <v>hafizmuhammadsaleem586@gmail.com</v>
          </cell>
        </row>
        <row r="49">
          <cell r="J49">
            <v>3520282195837</v>
          </cell>
          <cell r="K49">
            <v>44745</v>
          </cell>
          <cell r="L49">
            <v>48398</v>
          </cell>
          <cell r="M49">
            <v>34543</v>
          </cell>
          <cell r="O49">
            <v>115000</v>
          </cell>
          <cell r="P49" t="str">
            <v>Abid Munir</v>
          </cell>
          <cell r="Q49" t="str">
            <v>Mohalla Shadiwal, Awan Town, Multan Road, Lahore</v>
          </cell>
          <cell r="R49" t="str">
            <v>Plot 41-B, Civic Center, M.A Johar Town, Lahore</v>
          </cell>
          <cell r="S49" t="str">
            <v>0321-3222219</v>
          </cell>
          <cell r="T49" t="str">
            <v>abidmunir910@gmail.com</v>
          </cell>
        </row>
        <row r="50">
          <cell r="J50">
            <v>3520229673639</v>
          </cell>
          <cell r="K50">
            <v>44977</v>
          </cell>
          <cell r="L50">
            <v>48630</v>
          </cell>
          <cell r="M50">
            <v>32392</v>
          </cell>
          <cell r="O50">
            <v>110000</v>
          </cell>
          <cell r="P50" t="str">
            <v>Imran Ramzan</v>
          </cell>
          <cell r="Q50" t="str">
            <v>House 611 C farooq Street Chohan Park Band Road Lahore</v>
          </cell>
          <cell r="R50" t="str">
            <v>Plot 41-B, Civic Center, M.A Johar Town, Lahore</v>
          </cell>
          <cell r="S50" t="str">
            <v>0321-4307326</v>
          </cell>
          <cell r="T50" t="str">
            <v>ramzanimran27@gmail.com</v>
          </cell>
        </row>
        <row r="51">
          <cell r="J51">
            <v>3520254344711</v>
          </cell>
          <cell r="K51">
            <v>45573</v>
          </cell>
          <cell r="L51">
            <v>49225</v>
          </cell>
          <cell r="M51">
            <v>33631</v>
          </cell>
          <cell r="O51">
            <v>110000</v>
          </cell>
          <cell r="P51" t="str">
            <v>Adnan Javed</v>
          </cell>
          <cell r="Q51" t="str">
            <v>House#1 Sardar Street Quaid E Azam Park Kot Lakhpat Lahore</v>
          </cell>
          <cell r="R51" t="str">
            <v>Plot 41-B, Civic Center, M.A Johar Town, Lahore</v>
          </cell>
          <cell r="S51" t="str">
            <v>0322-4728685</v>
          </cell>
          <cell r="T51" t="str">
            <v>adnan.mb.pmbmc@gmail.com</v>
          </cell>
        </row>
        <row r="52">
          <cell r="J52">
            <v>3520251200651</v>
          </cell>
          <cell r="K52">
            <v>45104</v>
          </cell>
          <cell r="L52">
            <v>48757</v>
          </cell>
          <cell r="M52">
            <v>31531</v>
          </cell>
          <cell r="O52">
            <v>110000</v>
          </cell>
          <cell r="P52" t="str">
            <v>Muhammad Nauman Baig</v>
          </cell>
          <cell r="Q52" t="str">
            <v>House No 182 Block 13 Sector B1 Township Lahore</v>
          </cell>
          <cell r="R52" t="str">
            <v>Plot 41-B, Civic Center, M.A Johar Town, Lahore</v>
          </cell>
          <cell r="S52" t="str">
            <v>0302-4128268</v>
          </cell>
          <cell r="T52" t="str">
            <v>naumannauman111@gmail.com</v>
          </cell>
        </row>
        <row r="53">
          <cell r="J53">
            <v>3110438232361</v>
          </cell>
          <cell r="K53">
            <v>43288</v>
          </cell>
          <cell r="L53">
            <v>46941</v>
          </cell>
          <cell r="M53">
            <v>31017</v>
          </cell>
          <cell r="O53">
            <v>100000</v>
          </cell>
          <cell r="P53" t="str">
            <v>Shabbir Hussain</v>
          </cell>
          <cell r="Q53" t="str">
            <v>House no. 314, Katchi Abadi, people colony, Haroonabad Distt. Bahawalnagar</v>
          </cell>
          <cell r="R53" t="str">
            <v>Plot 41-B, Civic Center, M.A Johar Town, Lahore</v>
          </cell>
          <cell r="S53" t="str">
            <v>0333-6306331</v>
          </cell>
          <cell r="T53" t="str">
            <v>Shabir.hussain0@gmail.com</v>
          </cell>
        </row>
        <row r="54">
          <cell r="J54">
            <v>3520140793937</v>
          </cell>
          <cell r="K54">
            <v>45921</v>
          </cell>
          <cell r="L54">
            <v>49573</v>
          </cell>
          <cell r="M54">
            <v>31136</v>
          </cell>
          <cell r="O54">
            <v>110000</v>
          </cell>
          <cell r="P54" t="str">
            <v>Farhan khan</v>
          </cell>
          <cell r="Q54" t="str">
            <v xml:space="preserve">House No 700 Block C 2 Gujjar Pura China Schme Lahore </v>
          </cell>
          <cell r="R54" t="str">
            <v>Plot 41-B, Civic Center, M.A Johar Town, Lahore</v>
          </cell>
          <cell r="S54" t="str">
            <v>0311-5056725</v>
          </cell>
          <cell r="T54" t="str">
            <v>farhan.md.pmbmc@gmail.com</v>
          </cell>
        </row>
        <row r="55">
          <cell r="J55">
            <v>3520274546221</v>
          </cell>
          <cell r="K55">
            <v>43754</v>
          </cell>
          <cell r="L55">
            <v>47407</v>
          </cell>
          <cell r="M55">
            <v>34110</v>
          </cell>
          <cell r="O55">
            <v>60000</v>
          </cell>
          <cell r="P55" t="str">
            <v>Ali Raza Liaquat</v>
          </cell>
          <cell r="Q55" t="str">
            <v>Bhekewal Wahdat Road, Near Nizam Block Lahore</v>
          </cell>
          <cell r="R55" t="str">
            <v>Plot 41-B, Civic Center, M.A Johar Town, Lahore</v>
          </cell>
          <cell r="S55" t="str">
            <v>0306-6827311</v>
          </cell>
        </row>
        <row r="56">
          <cell r="J56">
            <v>3520235383471</v>
          </cell>
          <cell r="K56">
            <v>45870</v>
          </cell>
          <cell r="L56">
            <v>49522</v>
          </cell>
          <cell r="M56">
            <v>30965</v>
          </cell>
          <cell r="O56">
            <v>90000</v>
          </cell>
          <cell r="P56" t="str">
            <v>Shamail Manzoor</v>
          </cell>
          <cell r="Q56" t="str">
            <v>House no. 15, Block no 5, Sector D-1, Green Town Lahore</v>
          </cell>
          <cell r="R56" t="str">
            <v>Plot 41-B, Civic Center, M.A Johar Town, Lahore</v>
          </cell>
          <cell r="S56" t="str">
            <v>0321-4589848</v>
          </cell>
          <cell r="T56" t="str">
            <v>shumailmanzoor@gmail.com</v>
          </cell>
        </row>
        <row r="57">
          <cell r="J57">
            <v>3520106756681</v>
          </cell>
          <cell r="K57">
            <v>42810</v>
          </cell>
          <cell r="L57">
            <v>46462</v>
          </cell>
          <cell r="M57">
            <v>36218</v>
          </cell>
          <cell r="O57">
            <v>150000</v>
          </cell>
          <cell r="P57" t="str">
            <v>Zain Arshad</v>
          </cell>
          <cell r="Q57" t="str">
            <v>House No. 123-a, Street No. 51, Mohalla Mujahidabad Mughalpura Lahore</v>
          </cell>
          <cell r="R57" t="str">
            <v>Plot 41-B, Civic Center, M.A Johar Town, Lahore</v>
          </cell>
          <cell r="S57" t="str">
            <v>0317-4326730</v>
          </cell>
          <cell r="T57" t="str">
            <v>zainarshad13570@gmail.com</v>
          </cell>
        </row>
        <row r="58">
          <cell r="J58">
            <v>3520228846985</v>
          </cell>
          <cell r="K58">
            <v>44243</v>
          </cell>
          <cell r="L58" t="str">
            <v>Lifetime</v>
          </cell>
          <cell r="M58">
            <v>35449</v>
          </cell>
          <cell r="O58">
            <v>75000</v>
          </cell>
          <cell r="P58" t="str">
            <v>Muhammad Haider Hassan</v>
          </cell>
          <cell r="Q58" t="str">
            <v>Govt Employees Cooperative House Society, House No. 374, Block 2, Mohalla Township Sector C2, Lahore</v>
          </cell>
          <cell r="R58" t="str">
            <v>Plot 41-B, Civic Center, M.A Johar Town, Lahore</v>
          </cell>
          <cell r="S58" t="str">
            <v>0321-8494684
0334-9666952</v>
          </cell>
          <cell r="T58" t="str">
            <v>haiderhassan807@gmail.com</v>
          </cell>
        </row>
        <row r="59">
          <cell r="J59">
            <v>3520243943553</v>
          </cell>
          <cell r="K59">
            <v>44219</v>
          </cell>
          <cell r="L59">
            <v>47871</v>
          </cell>
          <cell r="M59">
            <v>34450</v>
          </cell>
          <cell r="O59">
            <v>115000</v>
          </cell>
          <cell r="P59" t="str">
            <v>Muhammad Ahtesham</v>
          </cell>
          <cell r="Q59" t="str">
            <v>Street no 55, house no 35, tauheedabad ravi road lahore</v>
          </cell>
          <cell r="R59" t="str">
            <v>Plot 41-B, Civic Center, M.A Johar Town, Lahore</v>
          </cell>
          <cell r="S59" t="str">
            <v>0322-7900803</v>
          </cell>
          <cell r="T59" t="str">
            <v>akhti566@gmail.com</v>
          </cell>
        </row>
        <row r="60">
          <cell r="J60">
            <v>3520288383053</v>
          </cell>
          <cell r="K60">
            <v>43324</v>
          </cell>
          <cell r="L60">
            <v>46977</v>
          </cell>
          <cell r="M60">
            <v>36369</v>
          </cell>
          <cell r="O60">
            <v>115000</v>
          </cell>
          <cell r="P60" t="str">
            <v>Muhammad Zeeshan Mansha</v>
          </cell>
          <cell r="Q60" t="str">
            <v>Talab Saraye, Dak Khana Raiwind, Lahore</v>
          </cell>
          <cell r="R60" t="str">
            <v>Plot 41-B, Civic Center, M.A Johar Town, Lahore</v>
          </cell>
          <cell r="S60" t="str">
            <v>0306-4145084</v>
          </cell>
          <cell r="T60" t="str">
            <v>zeeshanmansha647@gmail.com</v>
          </cell>
        </row>
        <row r="61">
          <cell r="J61">
            <v>3520403478489</v>
          </cell>
          <cell r="K61">
            <v>43552</v>
          </cell>
          <cell r="L61">
            <v>47205</v>
          </cell>
          <cell r="M61">
            <v>36962</v>
          </cell>
          <cell r="O61">
            <v>65000</v>
          </cell>
          <cell r="P61" t="str">
            <v>Ghulam Mustafa</v>
          </cell>
          <cell r="Q61" t="str">
            <v>Jamal Pura, Dak Khana Khas, Judhu Dheer, Tehsil Raiwind, District Lahore</v>
          </cell>
          <cell r="R61" t="str">
            <v>Plot 41-B, Civic Center, M.A Johar Town, Lahore</v>
          </cell>
          <cell r="S61" t="str">
            <v>0334-8237627</v>
          </cell>
          <cell r="T61" t="str">
            <v>gmustafa.psba@gmail.com</v>
          </cell>
        </row>
        <row r="62">
          <cell r="J62">
            <v>3520182599334</v>
          </cell>
          <cell r="K62">
            <v>45917</v>
          </cell>
          <cell r="L62">
            <v>48392</v>
          </cell>
          <cell r="M62">
            <v>32814</v>
          </cell>
          <cell r="O62">
            <v>75000</v>
          </cell>
          <cell r="P62" t="str">
            <v>Maryam Aslam Khan</v>
          </cell>
          <cell r="Q62" t="str">
            <v>House No. 17, Street No. 1, Mohalla Shahjahan Park, Baghbanpura Lahore Cantt</v>
          </cell>
          <cell r="R62" t="str">
            <v>Plot 41-B, Civic Center, M.A Johar Town, Lahore</v>
          </cell>
          <cell r="S62" t="str">
            <v>0321-4827010</v>
          </cell>
          <cell r="T62" t="str">
            <v>maryamaslam.pmbmc@gmail.com</v>
          </cell>
        </row>
        <row r="63">
          <cell r="J63">
            <v>3520274856315</v>
          </cell>
          <cell r="K63">
            <v>43860</v>
          </cell>
          <cell r="L63">
            <v>47513</v>
          </cell>
          <cell r="M63">
            <v>37204</v>
          </cell>
          <cell r="O63">
            <v>65000</v>
          </cell>
          <cell r="P63" t="str">
            <v>Muhammad Usama Mubarik</v>
          </cell>
          <cell r="Q63" t="str">
            <v>House No. 284-G, Bheekay Wala Moor Allama Iqbal Town, Lahore</v>
          </cell>
          <cell r="R63" t="str">
            <v>Plot 41-B, Civic Center, M.A Johar Town, Lahore</v>
          </cell>
          <cell r="S63" t="str">
            <v>0310-4198509</v>
          </cell>
          <cell r="T63" t="str">
            <v>usama34190@gmail.com</v>
          </cell>
        </row>
        <row r="64">
          <cell r="J64">
            <v>3840393284969</v>
          </cell>
          <cell r="K64">
            <v>43548</v>
          </cell>
          <cell r="L64">
            <v>47201</v>
          </cell>
          <cell r="M64">
            <v>32932</v>
          </cell>
          <cell r="O64">
            <v>175000</v>
          </cell>
          <cell r="P64" t="str">
            <v>Muhammad Zeeshan</v>
          </cell>
          <cell r="Q64" t="str">
            <v>House no. 254-P, Street no. 7, Block 29, Muhalla Arban Area, Sargodha</v>
          </cell>
          <cell r="R64" t="str">
            <v>Plot 41-B, Civic Center, M.A Johar Town, Lahore</v>
          </cell>
          <cell r="S64" t="str">
            <v>0300-9428541</v>
          </cell>
          <cell r="T64" t="str">
            <v>zeeshan.pmbmc@outlook.com</v>
          </cell>
        </row>
        <row r="65">
          <cell r="J65">
            <v>3520272743683</v>
          </cell>
          <cell r="K65">
            <v>44075</v>
          </cell>
          <cell r="L65">
            <v>47727</v>
          </cell>
          <cell r="M65">
            <v>37271</v>
          </cell>
          <cell r="O65">
            <v>150000</v>
          </cell>
          <cell r="P65" t="str">
            <v>Abdul Moiz Shoaib</v>
          </cell>
          <cell r="Q65" t="str">
            <v>House No. 131 D, Mohalla Gulberg II, Lahore</v>
          </cell>
          <cell r="R65" t="str">
            <v>Plot 41-B, Civic Center, M.A Johar Town, Lahore</v>
          </cell>
          <cell r="S65" t="str">
            <v>0308-2908288</v>
          </cell>
          <cell r="T65" t="str">
            <v>moizshoaib@gmail.com</v>
          </cell>
        </row>
        <row r="66">
          <cell r="J66">
            <v>3520271964359</v>
          </cell>
          <cell r="K66">
            <v>43512</v>
          </cell>
          <cell r="L66">
            <v>47165</v>
          </cell>
          <cell r="M66">
            <v>34551</v>
          </cell>
          <cell r="O66">
            <v>115000</v>
          </cell>
          <cell r="P66" t="str">
            <v>Umer Farooq</v>
          </cell>
          <cell r="Q66" t="str">
            <v>Colony 2, Mohalla Darbar e Alia Chishtia Nizamia, Khanewal</v>
          </cell>
          <cell r="R66" t="str">
            <v>Plot 41-B, Civic Center, M.A Johar Town, Lahore</v>
          </cell>
          <cell r="S66" t="str">
            <v>0321-4499886</v>
          </cell>
          <cell r="T66" t="str">
            <v>umerkhan4500.uk@gmail.com</v>
          </cell>
        </row>
        <row r="67">
          <cell r="J67">
            <v>3520159024231</v>
          </cell>
          <cell r="K67">
            <v>44987</v>
          </cell>
          <cell r="L67">
            <v>48640</v>
          </cell>
          <cell r="M67">
            <v>35315</v>
          </cell>
          <cell r="O67">
            <v>95000</v>
          </cell>
          <cell r="P67" t="str">
            <v>Muhammad Anas</v>
          </cell>
          <cell r="Q67" t="str">
            <v>House no 12, Street no 50, Muhalla Hussain Pura Ghaziabad Mughalpura, Lahore Cantt. Distt. Lahore</v>
          </cell>
          <cell r="R67" t="str">
            <v>Plot 41-B, Civic Center, M.A Johar Town, Lahore</v>
          </cell>
          <cell r="S67" t="str">
            <v>0322-4531113</v>
          </cell>
          <cell r="T67" t="str">
            <v>anashadi1122@gmail.com</v>
          </cell>
        </row>
        <row r="68">
          <cell r="J68">
            <v>3520228042483</v>
          </cell>
          <cell r="K68">
            <v>44946</v>
          </cell>
          <cell r="L68">
            <v>48599</v>
          </cell>
          <cell r="M68">
            <v>33255</v>
          </cell>
          <cell r="O68">
            <v>125000</v>
          </cell>
          <cell r="P68" t="str">
            <v>Muhammad Bilal Ashraf</v>
          </cell>
          <cell r="Q68" t="str">
            <v>H # 18, Mohalla Dilkasha Gardens, S Block Model Town EXT, Lahore</v>
          </cell>
          <cell r="R68" t="str">
            <v>Plot 41-B, Civic Center, M.A Johar Town, Lahore</v>
          </cell>
          <cell r="S68" t="str">
            <v>0306-0651590</v>
          </cell>
          <cell r="T68" t="str">
            <v>friend.click50@gmail.com</v>
          </cell>
        </row>
        <row r="69">
          <cell r="J69">
            <v>3530187459235</v>
          </cell>
          <cell r="K69">
            <v>42984</v>
          </cell>
          <cell r="L69">
            <v>46636</v>
          </cell>
          <cell r="M69">
            <v>36344</v>
          </cell>
          <cell r="O69">
            <v>100000</v>
          </cell>
          <cell r="P69" t="str">
            <v>Mumtaz Ali</v>
          </cell>
          <cell r="Q69" t="str">
            <v>P/O Hujra, Jundran Khurd, Tehsil Depalpur,District Okara</v>
          </cell>
          <cell r="R69" t="str">
            <v>Plot 41-B, Civic Center, M.A Johar Town, Lahore</v>
          </cell>
          <cell r="S69" t="str">
            <v>0305-5997599</v>
          </cell>
          <cell r="T69" t="str">
            <v>ma9657224@gmail.com</v>
          </cell>
        </row>
        <row r="70">
          <cell r="J70">
            <v>3520256072309</v>
          </cell>
          <cell r="K70">
            <v>43659</v>
          </cell>
          <cell r="L70">
            <v>47312</v>
          </cell>
          <cell r="M70">
            <v>36853</v>
          </cell>
          <cell r="O70">
            <v>70000</v>
          </cell>
          <cell r="P70" t="str">
            <v>Tajamul Hussain</v>
          </cell>
          <cell r="Q70" t="str">
            <v>House no 6/1, Street no 13-A, Mohalla Mushtaq Town, Dholanwal Band Road,  Lahore</v>
          </cell>
          <cell r="R70" t="str">
            <v>Plot 41-B, Civic Center, M.A Johar Town, Lahore</v>
          </cell>
          <cell r="S70" t="str">
            <v>0313-6598788</v>
          </cell>
          <cell r="T70" t="str">
            <v>tajamulchaudhary228@gmail.com</v>
          </cell>
        </row>
        <row r="71">
          <cell r="J71">
            <v>3220320690559</v>
          </cell>
          <cell r="K71">
            <v>45718</v>
          </cell>
          <cell r="L71">
            <v>48613</v>
          </cell>
          <cell r="M71">
            <v>37430</v>
          </cell>
          <cell r="O71">
            <v>70000</v>
          </cell>
          <cell r="P71" t="str">
            <v>Salamat Mobarik</v>
          </cell>
          <cell r="Q71" t="str">
            <v>Ganiyan Wala, Dak Khana Khas, Chak No. 43NB, Tehsil &amp; District Sargodha</v>
          </cell>
          <cell r="R71" t="str">
            <v>Plot 41-B, Civic Center, M.A Johar Town, Lahore</v>
          </cell>
          <cell r="S71" t="str">
            <v>0325-7230280</v>
          </cell>
          <cell r="T71" t="str">
            <v>salamatpmbmc@gmail.com</v>
          </cell>
        </row>
        <row r="72">
          <cell r="J72">
            <v>3520156786955</v>
          </cell>
          <cell r="K72">
            <v>43202</v>
          </cell>
          <cell r="L72">
            <v>46855</v>
          </cell>
          <cell r="M72">
            <v>36603</v>
          </cell>
          <cell r="O72">
            <v>70000</v>
          </cell>
          <cell r="P72" t="str">
            <v>Muhammad Muneeb</v>
          </cell>
          <cell r="Q72" t="str">
            <v>House No. 48, Street No. 20-A, Mohalla Rasheed Pura Kotli Peer Abdul Rehman Lahore Cantt</v>
          </cell>
          <cell r="R72" t="str">
            <v>Plot 41-B, Civic Center, M.A Johar Town, Lahore</v>
          </cell>
          <cell r="S72" t="str">
            <v>0307-8176288</v>
          </cell>
          <cell r="T72" t="str">
            <v>qazimuneeb04@gmail.com</v>
          </cell>
        </row>
        <row r="73">
          <cell r="J73">
            <v>3540167536479</v>
          </cell>
          <cell r="K73">
            <v>42604</v>
          </cell>
          <cell r="L73">
            <v>46256</v>
          </cell>
          <cell r="M73">
            <v>35735</v>
          </cell>
          <cell r="O73">
            <v>115000</v>
          </cell>
          <cell r="P73" t="str">
            <v>Umar Afzal</v>
          </cell>
          <cell r="Q73" t="str">
            <v>House No. 3, Mohalla Phutlan,Sharaqpur, Tehsil Ferozwala, District Sheikhupura</v>
          </cell>
          <cell r="R73" t="str">
            <v>Plot 41-B, Civic Center, M.A Johar Town, Lahore</v>
          </cell>
          <cell r="S73" t="str">
            <v>0315-4403815</v>
          </cell>
          <cell r="T73" t="str">
            <v>umarafzal351@gmail.com</v>
          </cell>
        </row>
        <row r="74">
          <cell r="J74">
            <v>3520258707499</v>
          </cell>
          <cell r="K74">
            <v>43514</v>
          </cell>
          <cell r="L74">
            <v>47167</v>
          </cell>
          <cell r="M74">
            <v>31883</v>
          </cell>
          <cell r="O74">
            <v>75000</v>
          </cell>
          <cell r="P74" t="str">
            <v>Muhammad Shahzad</v>
          </cell>
          <cell r="Q74" t="str">
            <v>P/O Township, Sattukatla, Tehsil &amp; District Lahore</v>
          </cell>
          <cell r="R74" t="str">
            <v>Plot 41-B, Civic Center, M.A Johar Town, Lahore</v>
          </cell>
          <cell r="S74" t="str">
            <v>0326-5327815</v>
          </cell>
          <cell r="T74" t="str">
            <v>shahzad510@gmail.com</v>
          </cell>
        </row>
        <row r="75">
          <cell r="J75">
            <v>3540436842517</v>
          </cell>
          <cell r="K75">
            <v>46105</v>
          </cell>
          <cell r="L75">
            <v>48802</v>
          </cell>
          <cell r="M75">
            <v>35979</v>
          </cell>
          <cell r="O75">
            <v>120000</v>
          </cell>
          <cell r="P75" t="str">
            <v>Syed Ali Zar</v>
          </cell>
          <cell r="Q75" t="str">
            <v>Dak Khana Khass, Mallian Kalan, Tehsil Sheikhupura Distt. Sheikhupura</v>
          </cell>
          <cell r="R75" t="str">
            <v>Plot 41-B, Civic Center, M.A Johar Town, Lahore</v>
          </cell>
          <cell r="S75" t="str">
            <v>0309-9972372</v>
          </cell>
          <cell r="T75" t="str">
            <v>alizar2513@gmail.com</v>
          </cell>
        </row>
        <row r="76">
          <cell r="J76">
            <v>3520242510771</v>
          </cell>
          <cell r="K76">
            <v>45925</v>
          </cell>
          <cell r="L76">
            <v>49367</v>
          </cell>
          <cell r="M76">
            <v>37106</v>
          </cell>
          <cell r="O76">
            <v>100000</v>
          </cell>
          <cell r="P76" t="str">
            <v>Mudassar Mahmood</v>
          </cell>
          <cell r="Q76" t="str">
            <v>House No. 183, Block-J, Sabzazaar Scheme Lahore</v>
          </cell>
          <cell r="R76" t="str">
            <v>Plot 41-B, Civic Center, M.A Johar Town, Lahore</v>
          </cell>
          <cell r="S76" t="str">
            <v>0306-4138155</v>
          </cell>
          <cell r="T76" t="str">
            <v>mudassirmahmood1614@gmail.com</v>
          </cell>
        </row>
        <row r="77">
          <cell r="J77">
            <v>3520267206256</v>
          </cell>
          <cell r="K77">
            <v>44956</v>
          </cell>
          <cell r="L77">
            <v>48609</v>
          </cell>
          <cell r="M77">
            <v>36188</v>
          </cell>
          <cell r="O77">
            <v>65000</v>
          </cell>
          <cell r="P77" t="str">
            <v>Iqra Amir</v>
          </cell>
          <cell r="Q77" t="str">
            <v>Sheikh Dalook P/O Gujranwala, Shahpur city, Tehsil Shahpur District Sargodha</v>
          </cell>
          <cell r="R77" t="str">
            <v>Plot 41-B, Civic Center, M.A Johar Town, Lahore</v>
          </cell>
          <cell r="S77" t="str">
            <v>0327-1228061</v>
          </cell>
          <cell r="T77" t="str">
            <v>iqraamir3550@gmail.com</v>
          </cell>
        </row>
        <row r="78">
          <cell r="J78">
            <v>3610222457351</v>
          </cell>
          <cell r="K78">
            <v>45729</v>
          </cell>
          <cell r="L78">
            <v>49381</v>
          </cell>
          <cell r="M78">
            <v>35158</v>
          </cell>
          <cell r="O78">
            <v>80000</v>
          </cell>
          <cell r="P78" t="str">
            <v>Haider Ali</v>
          </cell>
          <cell r="Q78" t="str">
            <v>Near Middle School Manwaala, Dak Khana Kabir Wala, District Khan e wal</v>
          </cell>
          <cell r="R78" t="str">
            <v>Plot 41-B, Civic Center, M.A Johar Town, Lahore</v>
          </cell>
          <cell r="S78" t="str">
            <v>0308-2076693
0307-5293331</v>
          </cell>
          <cell r="T78" t="str">
            <v>haideralihaider7868@gmail.com</v>
          </cell>
        </row>
        <row r="79">
          <cell r="J79">
            <v>3520201507099</v>
          </cell>
          <cell r="K79">
            <v>44599</v>
          </cell>
          <cell r="L79">
            <v>48251</v>
          </cell>
          <cell r="M79">
            <v>35455</v>
          </cell>
          <cell r="O79">
            <v>60000</v>
          </cell>
          <cell r="P79" t="str">
            <v>Khalid Mehmood</v>
          </cell>
          <cell r="Q79" t="str">
            <v>Dak Khana Chak No. 509 TDA, Chak No. 507 TDA, Tehsil Kot Addu, District Muzafargarh</v>
          </cell>
          <cell r="R79" t="str">
            <v>Plot 41-B, Civic Center, M.A Johar Town, Lahore</v>
          </cell>
          <cell r="S79" t="str">
            <v>0329-7185010</v>
          </cell>
          <cell r="T79" t="str">
            <v>khalid.mehmood0363@gmail.com</v>
          </cell>
        </row>
        <row r="80">
          <cell r="J80">
            <v>3840253575703</v>
          </cell>
          <cell r="K80">
            <v>45956</v>
          </cell>
          <cell r="L80">
            <v>48763</v>
          </cell>
          <cell r="M80">
            <v>37788</v>
          </cell>
          <cell r="O80">
            <v>70000</v>
          </cell>
          <cell r="P80" t="str">
            <v>Salman Fiaz</v>
          </cell>
          <cell r="Q80" t="str">
            <v>Dak khana Khas, Radhan, Tehsil Sahiwal District Sargodha</v>
          </cell>
          <cell r="R80" t="str">
            <v>Plot 41-B, Civic Center, M.A Johar Town, Lahore</v>
          </cell>
          <cell r="S80" t="str">
            <v>0309-7747818</v>
          </cell>
          <cell r="T80" t="str">
            <v>salman.fiyyaz1@gmail.com</v>
          </cell>
        </row>
        <row r="81">
          <cell r="J81">
            <v>3520287738779</v>
          </cell>
          <cell r="K81">
            <v>44696</v>
          </cell>
          <cell r="L81">
            <v>48349</v>
          </cell>
          <cell r="M81">
            <v>35933</v>
          </cell>
          <cell r="O81">
            <v>75000</v>
          </cell>
          <cell r="P81" t="str">
            <v>Ali Haider</v>
          </cell>
          <cell r="Q81" t="str">
            <v>Samsani Khoi, Post Office New Campus, Lahore</v>
          </cell>
          <cell r="R81" t="str">
            <v>Plot 41-B, Civic Center, M.A Johar Town, Lahore</v>
          </cell>
          <cell r="S81" t="str">
            <v>0321-5095610</v>
          </cell>
        </row>
        <row r="82">
          <cell r="J82">
            <v>3640213232699</v>
          </cell>
          <cell r="K82">
            <v>45496</v>
          </cell>
          <cell r="L82">
            <v>49148</v>
          </cell>
          <cell r="M82">
            <v>38920</v>
          </cell>
          <cell r="O82">
            <v>75000</v>
          </cell>
          <cell r="P82" t="str">
            <v>Usman Ali</v>
          </cell>
          <cell r="Q82" t="str">
            <v>Chah Lakhnan Wala , Dak Khana Pakpattan Jora, Tehsil &amp; District Pakpattan</v>
          </cell>
          <cell r="R82" t="str">
            <v>Plot 41-B, Civic Center, M.A Johar Town, Lahore</v>
          </cell>
          <cell r="S82" t="str">
            <v>0300-0584294</v>
          </cell>
        </row>
        <row r="83">
          <cell r="J83">
            <v>3830383321489</v>
          </cell>
          <cell r="K83">
            <v>44701</v>
          </cell>
          <cell r="L83">
            <v>48354</v>
          </cell>
          <cell r="M83">
            <v>33826</v>
          </cell>
          <cell r="O83">
            <v>125000</v>
          </cell>
          <cell r="P83" t="str">
            <v>Muhammad Mushtaq</v>
          </cell>
          <cell r="Q83" t="str">
            <v>Chak No. 13 ML, Dak Khana Liaqatabad, Tehsil Piplan, Distt. Mianwali</v>
          </cell>
          <cell r="R83" t="str">
            <v>Plot 41-B, Civic Center, M.A Johar Town, Lahore</v>
          </cell>
          <cell r="S83" t="str">
            <v>0302-6085660</v>
          </cell>
          <cell r="T83" t="str">
            <v>mushtaqpmbmc92@gmail.com</v>
          </cell>
        </row>
        <row r="84">
          <cell r="J84">
            <v>3520256700507</v>
          </cell>
          <cell r="K84">
            <v>45182</v>
          </cell>
          <cell r="L84">
            <v>48835</v>
          </cell>
          <cell r="M84">
            <v>32237</v>
          </cell>
          <cell r="O84">
            <v>100000</v>
          </cell>
          <cell r="P84" t="str">
            <v>Babar Ashraf</v>
          </cell>
          <cell r="Q84" t="str">
            <v>Muhala hanjerwal main bazar multan road lahore</v>
          </cell>
          <cell r="R84" t="str">
            <v>Plot 41-B, Civic Center, M.A Johar Town, Lahore</v>
          </cell>
          <cell r="S84" t="str">
            <v>0316-0423172</v>
          </cell>
        </row>
        <row r="85">
          <cell r="J85">
            <v>3520115336235</v>
          </cell>
          <cell r="K85">
            <v>45670</v>
          </cell>
          <cell r="L85">
            <v>49322</v>
          </cell>
          <cell r="M85">
            <v>27498</v>
          </cell>
          <cell r="O85">
            <v>65000</v>
          </cell>
          <cell r="P85" t="str">
            <v>Zaigham Yaseen</v>
          </cell>
          <cell r="Q85" t="str">
            <v>House no. 7-S-XIV, Block A, Mohalla Qadaffi Park, Al-Faisal Town, Cantt, Lahore</v>
          </cell>
          <cell r="R85" t="str">
            <v>Plot 41-B, Civic Center, M.A Johar Town, Lahore</v>
          </cell>
          <cell r="S85" t="str">
            <v>0300-4295809</v>
          </cell>
          <cell r="T85" t="str">
            <v>zaighamyaseen01@gmail.com</v>
          </cell>
        </row>
        <row r="86">
          <cell r="J86">
            <v>3520268022031</v>
          </cell>
          <cell r="K86">
            <v>43591</v>
          </cell>
          <cell r="L86">
            <v>47244</v>
          </cell>
          <cell r="M86">
            <v>36859</v>
          </cell>
          <cell r="O86">
            <v>65000</v>
          </cell>
          <cell r="P86" t="str">
            <v>Ali Raza</v>
          </cell>
          <cell r="Q86" t="str">
            <v>House No. 44, Street No. 5, Mohalla Ramnagar, Hota Singh Road Sanat Nagar, Lahore</v>
          </cell>
          <cell r="R86" t="str">
            <v>Plot 41-B, Civic Center, M.A Johar Town, Lahore</v>
          </cell>
          <cell r="S86" t="str">
            <v>0306-9760536</v>
          </cell>
          <cell r="T86" t="str">
            <v>aliraza.pmbmc@gmail.com</v>
          </cell>
        </row>
        <row r="87">
          <cell r="J87">
            <v>3510239369559</v>
          </cell>
          <cell r="K87">
            <v>45106</v>
          </cell>
          <cell r="L87">
            <v>48759</v>
          </cell>
          <cell r="M87">
            <v>33945</v>
          </cell>
          <cell r="O87">
            <v>90000</v>
          </cell>
          <cell r="P87" t="str">
            <v>Naveed Ahmad</v>
          </cell>
          <cell r="Q87" t="str">
            <v>Jhuggiyan Rai Khurd, Kasur</v>
          </cell>
          <cell r="R87" t="str">
            <v>Plot 41-B, Civic Center, M.A Johar Town, Lahore</v>
          </cell>
          <cell r="S87" t="str">
            <v>0307-4418281</v>
          </cell>
        </row>
        <row r="88">
          <cell r="J88">
            <v>3520287739729</v>
          </cell>
          <cell r="K88">
            <v>44265</v>
          </cell>
          <cell r="L88">
            <v>47917</v>
          </cell>
          <cell r="M88">
            <v>35372</v>
          </cell>
          <cell r="O88">
            <v>110000</v>
          </cell>
          <cell r="P88" t="str">
            <v>Muhammad Usman</v>
          </cell>
          <cell r="Q88" t="str">
            <v>POST OFFICE NEW CAMPUS SAMSANY KHOYE JOHAR TOWN LAHORE</v>
          </cell>
          <cell r="R88" t="str">
            <v>Plot 41-B, Civic Center, M.A Johar Town, Lahore</v>
          </cell>
          <cell r="S88" t="str">
            <v>0302-1610101</v>
          </cell>
          <cell r="T88" t="str">
            <v>muhammad_usman2@outlook.com</v>
          </cell>
        </row>
        <row r="89">
          <cell r="J89">
            <v>3520121149383</v>
          </cell>
          <cell r="K89">
            <v>44714</v>
          </cell>
          <cell r="L89">
            <v>48367</v>
          </cell>
          <cell r="M89">
            <v>37673</v>
          </cell>
          <cell r="O89">
            <v>100000</v>
          </cell>
          <cell r="P89" t="str">
            <v>Husnain Atif</v>
          </cell>
          <cell r="Q89" t="str">
            <v>House No. 16, Street No. 13, Ahmad Shah Street Mohalla Tajpura Shadbagh Lahore</v>
          </cell>
          <cell r="R89" t="str">
            <v>Plot 41-B, Civic Center, M.A Johar Town, Lahore</v>
          </cell>
          <cell r="S89" t="str">
            <v>0318-4141900</v>
          </cell>
          <cell r="T89" t="str">
            <v>ranahusnain003@gmail.com</v>
          </cell>
        </row>
        <row r="90">
          <cell r="J90">
            <v>3520296791390</v>
          </cell>
          <cell r="K90">
            <v>44432</v>
          </cell>
          <cell r="L90">
            <v>48084</v>
          </cell>
          <cell r="M90">
            <v>34977</v>
          </cell>
          <cell r="O90">
            <v>75000</v>
          </cell>
          <cell r="P90" t="str">
            <v>Gull Sehar</v>
          </cell>
          <cell r="Q90" t="str">
            <v>House No. 24 Mohalla Krishna Foundry Faiz bagh Lahore</v>
          </cell>
          <cell r="R90" t="str">
            <v>Plot 41-B, Civic Center, M.A Johar Town, Lahore</v>
          </cell>
          <cell r="S90" t="str">
            <v>0320-4037249</v>
          </cell>
          <cell r="T90" t="str">
            <v>seharadeel319@gmail.com</v>
          </cell>
        </row>
        <row r="91">
          <cell r="J91">
            <v>3520284213345</v>
          </cell>
          <cell r="K91">
            <v>45351</v>
          </cell>
          <cell r="L91">
            <v>49003</v>
          </cell>
          <cell r="M91">
            <v>38749</v>
          </cell>
          <cell r="O91">
            <v>50000</v>
          </cell>
          <cell r="P91" t="str">
            <v>Saif ur Rehman Baig</v>
          </cell>
          <cell r="Q91" t="str">
            <v>House No. 8, Street No. 64, Mohalla Chowk Ghoray Shah, Sultan Pura, Lahore</v>
          </cell>
          <cell r="R91" t="str">
            <v>Plot 41-B, Civic Center, M.A Johar Town, Lahore</v>
          </cell>
          <cell r="S91" t="str">
            <v>0328-8492755</v>
          </cell>
        </row>
        <row r="92">
          <cell r="J92">
            <v>3520218808873</v>
          </cell>
          <cell r="K92">
            <v>44717</v>
          </cell>
          <cell r="L92">
            <v>48370</v>
          </cell>
          <cell r="M92">
            <v>38009</v>
          </cell>
          <cell r="O92">
            <v>90000</v>
          </cell>
          <cell r="P92" t="str">
            <v xml:space="preserve">Haroon  </v>
          </cell>
          <cell r="Q92" t="str">
            <v>House No. 38, Steer/Mohalla 16, Gunj Baksh Park, Band Road Lahore</v>
          </cell>
          <cell r="R92" t="str">
            <v>Plot 41-B, Civic Center, M.A Johar Town, Lahore</v>
          </cell>
          <cell r="S92" t="str">
            <v>0322-1012969</v>
          </cell>
        </row>
        <row r="93">
          <cell r="J93">
            <v>3230360067747</v>
          </cell>
          <cell r="K93">
            <v>45621</v>
          </cell>
          <cell r="L93">
            <v>49273</v>
          </cell>
          <cell r="M93">
            <v>29221</v>
          </cell>
          <cell r="O93">
            <v>40000</v>
          </cell>
          <cell r="P93" t="str">
            <v>Mashkoor Hussain</v>
          </cell>
          <cell r="Q93" t="str">
            <v>Dak Khana Mehmood Koat Shehr, Tehsil Koat Addu District Muzaffargarh</v>
          </cell>
          <cell r="R93" t="str">
            <v>Plot 41-B, Civic Center, M.A Johar Town, Lahore</v>
          </cell>
          <cell r="S93" t="str">
            <v>0300-2571110</v>
          </cell>
        </row>
        <row r="94">
          <cell r="J94">
            <v>3520232257671</v>
          </cell>
          <cell r="K94">
            <v>44179</v>
          </cell>
          <cell r="L94">
            <v>47831</v>
          </cell>
          <cell r="M94">
            <v>35147</v>
          </cell>
          <cell r="O94">
            <v>125000</v>
          </cell>
          <cell r="P94" t="str">
            <v>Shab e Qadar</v>
          </cell>
          <cell r="Q94" t="str">
            <v>House no 36-D, Street no. 141-E, Muhalla Ferdous Park, Kotlakhpat Lahore</v>
          </cell>
          <cell r="R94" t="str">
            <v>Plot 41-B, Civic Center, M.A Johar Town, Lahore</v>
          </cell>
          <cell r="S94" t="str">
            <v>0323-5713859</v>
          </cell>
        </row>
        <row r="95">
          <cell r="J95">
            <v>3840320856555</v>
          </cell>
          <cell r="K95">
            <v>44743</v>
          </cell>
          <cell r="L95">
            <v>48396</v>
          </cell>
          <cell r="M95">
            <v>27211</v>
          </cell>
          <cell r="O95">
            <v>120000</v>
          </cell>
          <cell r="P95" t="str">
            <v>Pervaiz Masih</v>
          </cell>
          <cell r="Q95" t="str">
            <v>House No. 440/36 Chak 43 Shumali Guniyanwala Sargodha</v>
          </cell>
          <cell r="R95" t="str">
            <v>Plot 41-B, Civic Center, M.A Johar Town, Lahore</v>
          </cell>
          <cell r="S95" t="str">
            <v>0318-4286290</v>
          </cell>
        </row>
        <row r="96">
          <cell r="J96">
            <v>3330222165689</v>
          </cell>
          <cell r="K96">
            <v>43788</v>
          </cell>
          <cell r="L96">
            <v>47441</v>
          </cell>
          <cell r="M96">
            <v>28013</v>
          </cell>
          <cell r="O96">
            <v>110000</v>
          </cell>
          <cell r="P96" t="str">
            <v>Bashir Ahmad</v>
          </cell>
          <cell r="Q96" t="str">
            <v>P/O Shahpur Chak 761GB, Tehsil Pirmahal, District Toba Tek Singh</v>
          </cell>
          <cell r="R96" t="str">
            <v>Plot 41-B, Civic Center, M.A Johar Town, Lahore</v>
          </cell>
          <cell r="S96" t="str">
            <v>0300-8816761</v>
          </cell>
        </row>
        <row r="97">
          <cell r="J97">
            <v>3520204538835</v>
          </cell>
          <cell r="K97">
            <v>45086</v>
          </cell>
          <cell r="L97">
            <v>48739</v>
          </cell>
          <cell r="M97">
            <v>34630</v>
          </cell>
          <cell r="O97">
            <v>90000</v>
          </cell>
          <cell r="P97" t="str">
            <v>Muzamil</v>
          </cell>
          <cell r="Q97" t="str">
            <v>House # D-59, Muhalla gama kocha ilahi baksh inside akbari gate lahore</v>
          </cell>
          <cell r="R97" t="str">
            <v>Plot 41-B, Civic Center, M.A Johar Town, Lahore</v>
          </cell>
          <cell r="S97" t="str">
            <v>0306-5562426</v>
          </cell>
        </row>
        <row r="98">
          <cell r="J98">
            <v>3520206219787</v>
          </cell>
          <cell r="K98">
            <v>42898</v>
          </cell>
          <cell r="L98">
            <v>46550</v>
          </cell>
          <cell r="M98">
            <v>34428</v>
          </cell>
          <cell r="O98">
            <v>100000</v>
          </cell>
          <cell r="P98" t="str">
            <v>Petter Labbah</v>
          </cell>
          <cell r="Q98" t="str">
            <v>Ghafor park H # 181, muhala kot kambo bakar mandi band road lahore</v>
          </cell>
          <cell r="R98" t="str">
            <v>Plot 41-B, Civic Center, M.A Johar Town, Lahore</v>
          </cell>
          <cell r="S98" t="str">
            <v>0316-4010108</v>
          </cell>
        </row>
        <row r="99">
          <cell r="J99">
            <v>3520125429195</v>
          </cell>
          <cell r="K99">
            <v>44453</v>
          </cell>
          <cell r="L99">
            <v>48105</v>
          </cell>
          <cell r="M99">
            <v>32478</v>
          </cell>
          <cell r="O99">
            <v>90000</v>
          </cell>
          <cell r="P99" t="str">
            <v>Qasim Bhatti</v>
          </cell>
          <cell r="Q99" t="str">
            <v>House No. 218 Sector D-1 Gareen Town, Lahore</v>
          </cell>
          <cell r="R99" t="str">
            <v>Plot 41-B, Civic Center, M.A Johar Town, Lahore</v>
          </cell>
          <cell r="S99" t="str">
            <v>0308-4812499</v>
          </cell>
        </row>
        <row r="100">
          <cell r="J100">
            <v>3520244228179</v>
          </cell>
          <cell r="K100">
            <v>44497</v>
          </cell>
          <cell r="L100">
            <v>48149</v>
          </cell>
          <cell r="M100">
            <v>34745</v>
          </cell>
          <cell r="O100">
            <v>95000</v>
          </cell>
          <cell r="P100" t="str">
            <v>Waseem Khalil</v>
          </cell>
          <cell r="Q100" t="str">
            <v>Ahata Dalian wala, Mureed wal, Thokar Niaz baig, House No. Lahore</v>
          </cell>
          <cell r="R100" t="str">
            <v>Plot 41-B, Civic Center, M.A Johar Town, Lahore</v>
          </cell>
          <cell r="S100" t="str">
            <v>0323-4395399</v>
          </cell>
        </row>
        <row r="101">
          <cell r="J101">
            <v>3520221697647</v>
          </cell>
          <cell r="K101">
            <v>43264</v>
          </cell>
          <cell r="L101">
            <v>46917</v>
          </cell>
          <cell r="M101">
            <v>28374</v>
          </cell>
          <cell r="O101">
            <v>125000</v>
          </cell>
          <cell r="P101" t="str">
            <v>Khurram Iqbal</v>
          </cell>
          <cell r="Q101" t="str">
            <v>House No. 11, Street No 21, Mohalla Shamsabad, Misri Shah, Lahore</v>
          </cell>
          <cell r="R101" t="str">
            <v>Plot 41-B, Civic Center, M.A Johar Town, Lahore</v>
          </cell>
          <cell r="S101" t="str">
            <v>0321-4514324</v>
          </cell>
        </row>
        <row r="102">
          <cell r="J102">
            <v>3520240640619</v>
          </cell>
          <cell r="K102">
            <v>43732</v>
          </cell>
          <cell r="L102">
            <v>47385</v>
          </cell>
          <cell r="M102">
            <v>36201</v>
          </cell>
          <cell r="O102">
            <v>90000</v>
          </cell>
          <cell r="P102" t="str">
            <v>Azam Hussain</v>
          </cell>
          <cell r="Q102" t="str">
            <v>H # 208, Mohalla Imran Block, Allama Iqbal Town Lahore</v>
          </cell>
          <cell r="R102" t="str">
            <v>Plot 41-B, Civic Center, M.A Johar Town, Lahore</v>
          </cell>
          <cell r="S102" t="str">
            <v>0314-4514329</v>
          </cell>
        </row>
        <row r="103">
          <cell r="J103">
            <v>3410472280985</v>
          </cell>
          <cell r="K103">
            <v>45130</v>
          </cell>
          <cell r="L103">
            <v>48783</v>
          </cell>
          <cell r="M103">
            <v>34880</v>
          </cell>
          <cell r="O103">
            <v>80000</v>
          </cell>
          <cell r="P103" t="str">
            <v>Malik Ashir Jahangir</v>
          </cell>
          <cell r="Q103" t="str">
            <v>House # 912, Street No 27, Sector I 10-4, Islamabad</v>
          </cell>
          <cell r="R103" t="str">
            <v>Plot 41-B, Civic Center, M.A Johar Town, Lahore</v>
          </cell>
          <cell r="S103" t="str">
            <v>0306-4675194</v>
          </cell>
        </row>
        <row r="104">
          <cell r="J104">
            <v>3520288113505</v>
          </cell>
          <cell r="K104">
            <v>44547</v>
          </cell>
          <cell r="L104">
            <v>48199</v>
          </cell>
          <cell r="M104">
            <v>33338</v>
          </cell>
          <cell r="O104">
            <v>85000</v>
          </cell>
          <cell r="P104" t="str">
            <v>Muhammad Ahsraf</v>
          </cell>
          <cell r="Q104" t="str">
            <v>Mohalla Jalyana, Post Office Chung, Lahore</v>
          </cell>
          <cell r="R104" t="str">
            <v>Plot 41-B, Civic Center, M.A Johar Town, Lahore</v>
          </cell>
          <cell r="S104" t="str">
            <v>0307-4783129</v>
          </cell>
        </row>
        <row r="105">
          <cell r="J105">
            <v>3320273119377</v>
          </cell>
          <cell r="K105">
            <v>43094</v>
          </cell>
          <cell r="L105">
            <v>46746</v>
          </cell>
          <cell r="M105">
            <v>32123</v>
          </cell>
          <cell r="O105">
            <v>75000</v>
          </cell>
          <cell r="P105" t="str">
            <v>Muhammad Irfan Abbas</v>
          </cell>
          <cell r="Q105" t="str">
            <v>Dak Khana Ratti Matta, Panjgrain, Tehhsil &amp; District Jhang</v>
          </cell>
          <cell r="R105" t="str">
            <v>Plot 41-B, Civic Center, M.A Johar Town, Lahore</v>
          </cell>
          <cell r="S105" t="str">
            <v>0348-4991440</v>
          </cell>
        </row>
        <row r="106">
          <cell r="J106">
            <v>3520403646565</v>
          </cell>
          <cell r="K106">
            <v>43117</v>
          </cell>
          <cell r="L106">
            <v>46769</v>
          </cell>
          <cell r="M106">
            <v>36458</v>
          </cell>
          <cell r="O106">
            <v>50000</v>
          </cell>
          <cell r="P106" t="str">
            <v>Haider Ali</v>
          </cell>
          <cell r="Q106" t="str">
            <v>Panjgrain, Dak Khana Khas Chung, Raiwind Lahore</v>
          </cell>
          <cell r="R106" t="str">
            <v>Plot 41-B, Civic Center, M.A Johar Town, Lahore</v>
          </cell>
          <cell r="S106" t="str">
            <v>0307-0462271</v>
          </cell>
        </row>
        <row r="107">
          <cell r="J107">
            <v>7180203391649</v>
          </cell>
          <cell r="K107">
            <v>44032</v>
          </cell>
          <cell r="L107">
            <v>47684</v>
          </cell>
          <cell r="M107">
            <v>35916</v>
          </cell>
          <cell r="O107">
            <v>60000</v>
          </cell>
          <cell r="P107" t="str">
            <v>Wajahat Hussain</v>
          </cell>
          <cell r="Q107" t="str">
            <v>Post Office Phakkar, Hakochar, Tehsil Sikandarabad Nagar, District Nagar, Gilgit Baltistan</v>
          </cell>
          <cell r="R107" t="str">
            <v>Plot 41-B, Civic Center, M.A Johar Town, Lahore</v>
          </cell>
          <cell r="S107" t="str">
            <v>0312-4278432</v>
          </cell>
        </row>
        <row r="108">
          <cell r="J108">
            <v>3520274497446</v>
          </cell>
          <cell r="K108">
            <v>42720</v>
          </cell>
          <cell r="L108">
            <v>46372</v>
          </cell>
          <cell r="M108">
            <v>25204</v>
          </cell>
          <cell r="O108">
            <v>30000</v>
          </cell>
          <cell r="P108" t="str">
            <v>Meeraj BiBi</v>
          </cell>
          <cell r="Q108" t="str">
            <v>Mohallah Hameedpura Depalpur, District Okara</v>
          </cell>
          <cell r="R108" t="str">
            <v>Plot 41-B, Civic Center, M.A Johar Town, Lahore</v>
          </cell>
          <cell r="S108" t="str">
            <v>0348-0455789</v>
          </cell>
        </row>
        <row r="109">
          <cell r="J109">
            <v>3640283391419</v>
          </cell>
          <cell r="K109">
            <v>45469</v>
          </cell>
          <cell r="L109">
            <v>49121</v>
          </cell>
          <cell r="M109">
            <v>29403</v>
          </cell>
          <cell r="O109">
            <v>15000</v>
          </cell>
          <cell r="P109" t="str">
            <v xml:space="preserve">Ali Sher </v>
          </cell>
          <cell r="Q109" t="str">
            <v>Post Office Pakpattan Jora Tehsil &amp; Dictrict Pakputtan</v>
          </cell>
          <cell r="R109" t="str">
            <v>Plot 41-B, Civic Center, M.A Johar Town, Lahore</v>
          </cell>
          <cell r="S109" t="str">
            <v>0301-6089349</v>
          </cell>
        </row>
        <row r="110">
          <cell r="J110">
            <v>3520167304703</v>
          </cell>
          <cell r="K110">
            <v>44476</v>
          </cell>
          <cell r="L110">
            <v>48128</v>
          </cell>
          <cell r="M110">
            <v>32509</v>
          </cell>
          <cell r="O110">
            <v>75000</v>
          </cell>
          <cell r="P110" t="str">
            <v>Nadeem Masih</v>
          </cell>
          <cell r="Q110" t="str">
            <v>Taragarh P/O Khaddiyan, Tehsil &amp; District Kasur</v>
          </cell>
          <cell r="R110" t="str">
            <v>Plot 41-B, Civic Center, M.A Johar Town, Lahore</v>
          </cell>
          <cell r="S110" t="str">
            <v>0319-5486931</v>
          </cell>
        </row>
        <row r="111">
          <cell r="J111">
            <v>3520273927759</v>
          </cell>
          <cell r="K111">
            <v>44378</v>
          </cell>
          <cell r="L111">
            <v>48030</v>
          </cell>
          <cell r="M111">
            <v>33110</v>
          </cell>
          <cell r="O111">
            <v>75000</v>
          </cell>
          <cell r="P111" t="str">
            <v>Qaiser Masih</v>
          </cell>
          <cell r="Q111" t="str">
            <v>Mohalla Nagra Town, Bagria Green Town Lahore</v>
          </cell>
          <cell r="R111" t="str">
            <v>Plot 41-B, Civic Center, M.A Johar Town, Lahore</v>
          </cell>
          <cell r="S111" t="str">
            <v>0322-4935917</v>
          </cell>
        </row>
        <row r="112">
          <cell r="J112">
            <v>3520137603171</v>
          </cell>
          <cell r="K112">
            <v>45325</v>
          </cell>
          <cell r="L112">
            <v>48978</v>
          </cell>
          <cell r="M112">
            <v>38169</v>
          </cell>
          <cell r="O112">
            <v>75000</v>
          </cell>
          <cell r="P112" t="str">
            <v>Shamoon</v>
          </cell>
          <cell r="Q112" t="str">
            <v>House No. 285, Mohalla Packages Factory Chungi Amar Sadhu Lahore</v>
          </cell>
          <cell r="R112" t="str">
            <v>Plot 41-B, Civic Center, M.A Johar Town, Lahore</v>
          </cell>
          <cell r="S112" t="str">
            <v>0320-6232844</v>
          </cell>
        </row>
        <row r="113">
          <cell r="J113">
            <v>3510210228225</v>
          </cell>
          <cell r="K113">
            <v>44265</v>
          </cell>
          <cell r="L113">
            <v>47917</v>
          </cell>
          <cell r="M113">
            <v>30682</v>
          </cell>
          <cell r="O113">
            <v>75000</v>
          </cell>
          <cell r="P113" t="str">
            <v>Aslam Masih</v>
          </cell>
          <cell r="Q113" t="str">
            <v>Maan Dak Khana Tehsil &amp; Ditrict Kasur</v>
          </cell>
          <cell r="R113" t="str">
            <v>Plot 41-B, Civic Center, M.A Johar Town, Lahore</v>
          </cell>
          <cell r="S113" t="str">
            <v>0320-4745515</v>
          </cell>
        </row>
        <row r="114">
          <cell r="J114">
            <v>3520294525917</v>
          </cell>
          <cell r="K114">
            <v>45324</v>
          </cell>
          <cell r="L114">
            <v>48977</v>
          </cell>
          <cell r="M114">
            <v>32119</v>
          </cell>
          <cell r="O114">
            <v>75000</v>
          </cell>
          <cell r="P114" t="str">
            <v>Muhammad Nawaz</v>
          </cell>
          <cell r="Q114" t="str">
            <v xml:space="preserve">House No G-1147 Muhallah Kocha Haji Peer Androon Yaki Gate Lahore </v>
          </cell>
          <cell r="R114" t="str">
            <v>Plot 41-B, Civic Center, M.A Johar Town, Lahore</v>
          </cell>
          <cell r="S114" t="str">
            <v>0321-4374415</v>
          </cell>
        </row>
        <row r="115">
          <cell r="J115">
            <v>3520102060687</v>
          </cell>
          <cell r="K115">
            <v>45263</v>
          </cell>
          <cell r="L115">
            <v>48916</v>
          </cell>
          <cell r="M115">
            <v>31477</v>
          </cell>
          <cell r="O115">
            <v>140000</v>
          </cell>
          <cell r="P115" t="str">
            <v>Muhammad Imran</v>
          </cell>
          <cell r="Q115" t="str">
            <v xml:space="preserve">Muhallah Dogaij Ghazi Road Lahore Tehsil Lahore Cant </v>
          </cell>
          <cell r="R115" t="str">
            <v>Plot 41-B, Civic Center, M.A Johar Town, Lahore</v>
          </cell>
          <cell r="S115" t="str">
            <v>0323-4632924</v>
          </cell>
        </row>
        <row r="116">
          <cell r="J116">
            <v>3520182115345</v>
          </cell>
          <cell r="K116">
            <v>44173</v>
          </cell>
          <cell r="L116">
            <v>47825</v>
          </cell>
          <cell r="M116">
            <v>32486</v>
          </cell>
          <cell r="O116">
            <v>40000</v>
          </cell>
          <cell r="P116" t="str">
            <v>Usman Ali</v>
          </cell>
          <cell r="Q116" t="str">
            <v>Mohalla Ghazi Road Dogaij Town, Lahore Cannt. District Lahore</v>
          </cell>
          <cell r="R116" t="str">
            <v>Plot 41-B, Civic Center, M.A Johar Town, Lahore</v>
          </cell>
          <cell r="S116" t="str">
            <v>0321-5729301</v>
          </cell>
        </row>
        <row r="117">
          <cell r="J117">
            <v>3520212523967</v>
          </cell>
          <cell r="K117">
            <v>44666</v>
          </cell>
          <cell r="L117">
            <v>48319</v>
          </cell>
          <cell r="M117">
            <v>33681</v>
          </cell>
          <cell r="O117">
            <v>125000</v>
          </cell>
          <cell r="P117" t="str">
            <v>Abdul Razzaq</v>
          </cell>
          <cell r="Q117" t="str">
            <v>House no. 42, Muhalla Feroze Park, Bageriyan Road Lahore.</v>
          </cell>
          <cell r="R117" t="str">
            <v>Plot 41-B, Civic Center, M.A Johar Town, Lahore</v>
          </cell>
          <cell r="S117" t="str">
            <v>0300-2109973</v>
          </cell>
        </row>
        <row r="118">
          <cell r="J118">
            <v>3530140790617</v>
          </cell>
          <cell r="K118">
            <v>45418</v>
          </cell>
          <cell r="L118">
            <v>49070</v>
          </cell>
          <cell r="M118">
            <v>34700</v>
          </cell>
          <cell r="O118">
            <v>90000</v>
          </cell>
          <cell r="P118" t="str">
            <v>Saif ul Malook</v>
          </cell>
          <cell r="Q118" t="str">
            <v>P/O Arraiyan, Khanapal, Tehsil Riawind District Lahore</v>
          </cell>
          <cell r="R118" t="str">
            <v>Plot 41-B, Civic Center, M.A Johar Town, Lahore</v>
          </cell>
          <cell r="S118" t="str">
            <v>0308-8278864</v>
          </cell>
        </row>
        <row r="119">
          <cell r="J119">
            <v>3540194358245</v>
          </cell>
          <cell r="K119">
            <v>41991</v>
          </cell>
          <cell r="L119" t="str">
            <v>Lifetime</v>
          </cell>
          <cell r="M119">
            <v>21186</v>
          </cell>
          <cell r="O119">
            <v>90000</v>
          </cell>
          <cell r="P119" t="str">
            <v>Rehmat Ali</v>
          </cell>
          <cell r="Q119" t="str">
            <v>Abu Al Khair Dak Khana, Kot Abdul Malik Ferozewala, Sheikhupura</v>
          </cell>
          <cell r="R119" t="str">
            <v>Plot 41-B, Civic Center, M.A Johar Town, Lahore</v>
          </cell>
          <cell r="S119" t="str">
            <v>0323-4076285</v>
          </cell>
        </row>
        <row r="120">
          <cell r="J120">
            <v>3520103617577</v>
          </cell>
          <cell r="K120">
            <v>43384</v>
          </cell>
          <cell r="L120">
            <v>47037</v>
          </cell>
          <cell r="M120">
            <v>31107</v>
          </cell>
          <cell r="O120">
            <v>40000</v>
          </cell>
          <cell r="P120" t="str">
            <v>Hafiz Ghazanfar Shahzad</v>
          </cell>
          <cell r="Q120" t="str">
            <v>House no. 161, Mohalla Al Jannat Housing Scheme, Raiwind Road, Lahore</v>
          </cell>
          <cell r="R120" t="str">
            <v>Plot 41-B, Civic Center, M.A Johar Town, Lahore</v>
          </cell>
          <cell r="S120" t="str">
            <v>0308-9059712</v>
          </cell>
        </row>
        <row r="121">
          <cell r="J121">
            <v>3520253869215</v>
          </cell>
          <cell r="K121">
            <v>44627</v>
          </cell>
          <cell r="L121">
            <v>48280</v>
          </cell>
          <cell r="M121">
            <v>30234</v>
          </cell>
          <cell r="O121">
            <v>90000</v>
          </cell>
          <cell r="P121" t="str">
            <v>Farooq Masih</v>
          </cell>
          <cell r="Q121" t="str">
            <v>Lakho Biryar, Tehsil &amp; District Kasur</v>
          </cell>
          <cell r="R121" t="str">
            <v>Plot 41-B, Civic Center, M.A Johar Town, Lahore</v>
          </cell>
          <cell r="S121" t="str">
            <v>0306-4597616</v>
          </cell>
        </row>
        <row r="122">
          <cell r="J122">
            <v>3520210450507</v>
          </cell>
          <cell r="K122">
            <v>42955</v>
          </cell>
          <cell r="L122">
            <v>46607</v>
          </cell>
          <cell r="M122">
            <v>32835</v>
          </cell>
          <cell r="O122">
            <v>100000</v>
          </cell>
          <cell r="P122" t="str">
            <v xml:space="preserve">Nazim </v>
          </cell>
          <cell r="Q122" t="str">
            <v>House#218 Block 5 Sector D-1  Green Town Lahore</v>
          </cell>
          <cell r="R122" t="str">
            <v>Plot 41-B, Civic Center, M.A Johar Town, Lahore</v>
          </cell>
          <cell r="S122" t="str">
            <v>0332-8388580</v>
          </cell>
        </row>
        <row r="123">
          <cell r="J123">
            <v>3520252920559</v>
          </cell>
          <cell r="K123">
            <v>45498</v>
          </cell>
          <cell r="L123">
            <v>49150</v>
          </cell>
          <cell r="M123">
            <v>35221</v>
          </cell>
          <cell r="O123">
            <v>70000</v>
          </cell>
          <cell r="P123" t="str">
            <v>Ayaz Ali</v>
          </cell>
          <cell r="Q123" t="str">
            <v>Jat Street, House No. 02, Muhalla Kot Muhammady, Multan Road LHR</v>
          </cell>
          <cell r="R123" t="str">
            <v>Plot 41-B, Civic Center, M.A Johar Town, Lahore</v>
          </cell>
          <cell r="S123" t="str">
            <v>0324-4494236</v>
          </cell>
        </row>
        <row r="124">
          <cell r="J124">
            <v>3520103150553</v>
          </cell>
          <cell r="K124">
            <v>43221</v>
          </cell>
          <cell r="L124">
            <v>46874</v>
          </cell>
          <cell r="M124">
            <v>29221</v>
          </cell>
          <cell r="O124">
            <v>75000</v>
          </cell>
          <cell r="P124" t="str">
            <v>Muhammad Ishfaq</v>
          </cell>
          <cell r="Q124" t="str">
            <v>House no. 49, street no 4, Sharifpura Lakho DhairBhanee Road, Lahore</v>
          </cell>
          <cell r="R124" t="str">
            <v>Plot 41-B, Civic Center, M.A Johar Town, Lahore</v>
          </cell>
          <cell r="S124" t="str">
            <v>0324-4261158</v>
          </cell>
        </row>
        <row r="125">
          <cell r="J125">
            <v>3520235410883</v>
          </cell>
          <cell r="K125">
            <v>45052</v>
          </cell>
          <cell r="L125">
            <v>48705</v>
          </cell>
          <cell r="M125">
            <v>33968</v>
          </cell>
          <cell r="O125">
            <v>95000</v>
          </cell>
          <cell r="P125" t="str">
            <v xml:space="preserve">Muhammad Khurram </v>
          </cell>
          <cell r="Q125" t="str">
            <v>Mohalla Samsani Khoi, New Campus, Lahore</v>
          </cell>
          <cell r="R125" t="str">
            <v>Plot 41-B, Civic Center, M.A Johar Town, Lahore</v>
          </cell>
          <cell r="S125" t="str">
            <v>0320-4501511</v>
          </cell>
        </row>
        <row r="126">
          <cell r="J126">
            <v>3520207760339</v>
          </cell>
          <cell r="K126">
            <v>43134</v>
          </cell>
          <cell r="L126">
            <v>46786</v>
          </cell>
          <cell r="M126">
            <v>31778</v>
          </cell>
          <cell r="O126">
            <v>125000</v>
          </cell>
          <cell r="P126" t="str">
            <v>Zahid Ali</v>
          </cell>
          <cell r="Q126" t="str">
            <v>Mohalla Shahmeer, Hujra Shah Muqeem, Tehsil Depalpur, District Okara</v>
          </cell>
          <cell r="R126" t="str">
            <v>Plot 41-B, Civic Center, M.A Johar Town, Lahore</v>
          </cell>
          <cell r="S126" t="str">
            <v>0321-4993591</v>
          </cell>
        </row>
        <row r="127">
          <cell r="J127">
            <v>3520246314963</v>
          </cell>
          <cell r="K127">
            <v>43899</v>
          </cell>
          <cell r="L127">
            <v>47551</v>
          </cell>
          <cell r="M127">
            <v>26299</v>
          </cell>
          <cell r="O127">
            <v>90000</v>
          </cell>
          <cell r="P127" t="str">
            <v>Muhammad Iqbal</v>
          </cell>
          <cell r="Q127" t="str">
            <v>House No. 89-B, Mohalla Sharif Park Phase II, Bagiryan, Lahore</v>
          </cell>
          <cell r="R127" t="str">
            <v>Plot 41-B, Civic Center, M.A Johar Town, Lahore</v>
          </cell>
          <cell r="S127" t="str">
            <v>0308-4164753</v>
          </cell>
        </row>
        <row r="128">
          <cell r="J128">
            <v>3520261732831</v>
          </cell>
          <cell r="K128">
            <v>42711</v>
          </cell>
          <cell r="L128">
            <v>46363</v>
          </cell>
          <cell r="M128">
            <v>24108</v>
          </cell>
          <cell r="O128">
            <v>65000</v>
          </cell>
          <cell r="P128" t="str">
            <v>Manzoor Ahmad</v>
          </cell>
          <cell r="Q128" t="str">
            <v>Goth Jhang Shesham, P/O Wasyo Wala, Tehsil Depalpur, District Okara.</v>
          </cell>
          <cell r="R128" t="str">
            <v>Plot 41-B, Civic Center, M.A Johar Town, Lahore</v>
          </cell>
          <cell r="S128" t="str">
            <v>0322-4703370</v>
          </cell>
        </row>
        <row r="129">
          <cell r="J129">
            <v>3520265902165</v>
          </cell>
          <cell r="K129">
            <v>42810</v>
          </cell>
          <cell r="L129">
            <v>46462</v>
          </cell>
          <cell r="M129">
            <v>33063</v>
          </cell>
          <cell r="O129">
            <v>85000</v>
          </cell>
          <cell r="P129" t="str">
            <v>Muhammad Umar</v>
          </cell>
          <cell r="Q129" t="str">
            <v>House No. 36/D, Street No. 141-E, Mohalla Firdous Park, Kot Lakhpat, Lahore</v>
          </cell>
          <cell r="R129" t="str">
            <v>Plot 41-B, Civic Center, M.A Johar Town, Lahore</v>
          </cell>
          <cell r="S129" t="str">
            <v>0322-8418267</v>
          </cell>
        </row>
        <row r="130">
          <cell r="J130">
            <v>3460330580499</v>
          </cell>
          <cell r="K130">
            <v>43460</v>
          </cell>
          <cell r="L130">
            <v>47113</v>
          </cell>
          <cell r="M130">
            <v>32430</v>
          </cell>
          <cell r="O130">
            <v>300000</v>
          </cell>
          <cell r="P130" t="str">
            <v>Rehan Habib</v>
          </cell>
          <cell r="Q130" t="str">
            <v>Mohalla Iqbal Street Kachehri Road, Sialkot</v>
          </cell>
          <cell r="R130" t="str">
            <v>Plot 41-B, Civic Center, M.A Johar Town, Lahore</v>
          </cell>
          <cell r="S130" t="str">
            <v>0333-4576094</v>
          </cell>
          <cell r="T130" t="str">
            <v>rehan345@gmail.com</v>
          </cell>
        </row>
        <row r="131">
          <cell r="J131">
            <v>3520237864907</v>
          </cell>
          <cell r="K131">
            <v>46050</v>
          </cell>
          <cell r="L131">
            <v>49702</v>
          </cell>
          <cell r="M131">
            <v>38856</v>
          </cell>
          <cell r="O131">
            <v>45000</v>
          </cell>
          <cell r="P131" t="str">
            <v>Meesam Raza</v>
          </cell>
          <cell r="Q131" t="str">
            <v>Dak Khana Barki Padri, Tehsil &amp; District Lahore</v>
          </cell>
          <cell r="R131" t="str">
            <v>Plot 41-B, Civic Center, M.A Johar Town, Lahore</v>
          </cell>
          <cell r="S131" t="str">
            <v>0320-0302295</v>
          </cell>
          <cell r="T131" t="str">
            <v>meesamraza7868@gmail.com</v>
          </cell>
        </row>
        <row r="132">
          <cell r="J132">
            <v>3520213684959</v>
          </cell>
          <cell r="K132">
            <v>44395</v>
          </cell>
          <cell r="L132">
            <v>48047</v>
          </cell>
          <cell r="M132">
            <v>31773</v>
          </cell>
          <cell r="O132">
            <v>60000</v>
          </cell>
          <cell r="P132" t="str">
            <v>Muhammad Musahaf ur Rahman Baig</v>
          </cell>
          <cell r="Q132" t="str">
            <v>House No. 14-B, Mohalla Gulshan Park Multan Road, Near Mansoora Lahore</v>
          </cell>
          <cell r="R132" t="str">
            <v>Plot 41-B, Civic Center, M.A Johar Town, Lahore</v>
          </cell>
          <cell r="S132" t="str">
            <v>0322-2227976</v>
          </cell>
          <cell r="T132" t="str">
            <v>faizijaan@gmail.com</v>
          </cell>
        </row>
        <row r="133">
          <cell r="J133">
            <v>3520116944717</v>
          </cell>
          <cell r="K133">
            <v>45519</v>
          </cell>
          <cell r="L133">
            <v>49171</v>
          </cell>
          <cell r="M133">
            <v>37987</v>
          </cell>
          <cell r="O133">
            <v>70000</v>
          </cell>
          <cell r="P133" t="str">
            <v>Mustjab Ali</v>
          </cell>
          <cell r="Q133" t="str">
            <v>House No. 605, Block Usama Colony Koat Lakhpat Lahore</v>
          </cell>
          <cell r="R133" t="str">
            <v>Plot 41-B, Civic Center, M.A Johar Town, Lahore</v>
          </cell>
          <cell r="S133" t="str">
            <v>0322-3947347</v>
          </cell>
        </row>
        <row r="134">
          <cell r="J134">
            <v>3520130217373</v>
          </cell>
          <cell r="K134">
            <v>43774</v>
          </cell>
          <cell r="L134">
            <v>47427</v>
          </cell>
          <cell r="M134">
            <v>26299</v>
          </cell>
          <cell r="O134">
            <v>40000</v>
          </cell>
          <cell r="P134" t="str">
            <v>Sabir Masih</v>
          </cell>
          <cell r="Q134" t="str">
            <v>Ward No. 3, Kacha Dak Khana Nu, Tehsil &amp; District Lahore</v>
          </cell>
          <cell r="R134" t="str">
            <v>Plot 41-B, Civic Center, M.A Johar Town, Lahore</v>
          </cell>
        </row>
        <row r="135">
          <cell r="J135">
            <v>1350472130515</v>
          </cell>
          <cell r="K135">
            <v>45960</v>
          </cell>
          <cell r="L135">
            <v>49612</v>
          </cell>
          <cell r="M135">
            <v>35713</v>
          </cell>
          <cell r="O135">
            <v>60000</v>
          </cell>
          <cell r="P135" t="str">
            <v>Khayal Muhammad Shah</v>
          </cell>
          <cell r="Q135" t="str">
            <v>Mashkoot Dak Khana Darband, Tilli Saedan, Tehsil &amp; Districy Torghar</v>
          </cell>
          <cell r="R135" t="str">
            <v>Plot 41-B, Civic Center, M.A Johar Town, Lahore</v>
          </cell>
          <cell r="S135" t="str">
            <v>0344-2427910</v>
          </cell>
        </row>
        <row r="136">
          <cell r="J136">
            <v>3520296243381</v>
          </cell>
          <cell r="K136">
            <v>43368</v>
          </cell>
          <cell r="L136">
            <v>47021</v>
          </cell>
          <cell r="M136">
            <v>35960</v>
          </cell>
          <cell r="O136">
            <v>150000</v>
          </cell>
          <cell r="P136" t="str">
            <v>Abdul Qadeer Jan</v>
          </cell>
          <cell r="Q136" t="str">
            <v>Mohalla Johar Town, New Campus Samsani Khoi, Lahore</v>
          </cell>
          <cell r="R136" t="str">
            <v>Plot 41-B, Civic Center, M.A Johar Town, Lahore</v>
          </cell>
          <cell r="S136" t="str">
            <v>0301-4007140</v>
          </cell>
        </row>
        <row r="137">
          <cell r="J137">
            <v>3520225557457</v>
          </cell>
          <cell r="K137">
            <v>45648</v>
          </cell>
          <cell r="L137">
            <v>49300</v>
          </cell>
          <cell r="M137">
            <v>36440</v>
          </cell>
          <cell r="O137">
            <v>100000</v>
          </cell>
          <cell r="P137" t="str">
            <v>Muhammad Ali</v>
          </cell>
          <cell r="Q137" t="str">
            <v>House No. 88, Block A, Mohalla Canal Garden Lahore</v>
          </cell>
          <cell r="R137" t="str">
            <v>Plot 41-B, Civic Center, M.A Johar Town, Lahore</v>
          </cell>
          <cell r="S137" t="str">
            <v>0333-8309563</v>
          </cell>
          <cell r="T137" t="str">
            <v>aliahad0331@gmail.com</v>
          </cell>
        </row>
        <row r="138">
          <cell r="J138">
            <v>3110182492814</v>
          </cell>
          <cell r="K138">
            <v>46099</v>
          </cell>
          <cell r="L138">
            <v>47906</v>
          </cell>
          <cell r="M138">
            <v>37633</v>
          </cell>
          <cell r="O138">
            <v>100000</v>
          </cell>
          <cell r="P138" t="str">
            <v>Reeva Nadeem</v>
          </cell>
          <cell r="Q138" t="str">
            <v>Near SDO Wapda office House No. 04, Mohalla Khadim Abad Colony, Bahawalnagar</v>
          </cell>
          <cell r="R138" t="str">
            <v>Plot 41-B, Civic Center, M.A Johar Town, Lahore</v>
          </cell>
          <cell r="S138" t="str">
            <v>0334-9100876</v>
          </cell>
          <cell r="T138" t="str">
            <v>reevaanadeem@gmail.com</v>
          </cell>
        </row>
        <row r="139">
          <cell r="J139">
            <v>3110473829021</v>
          </cell>
          <cell r="K139">
            <v>45420</v>
          </cell>
          <cell r="L139">
            <v>49072</v>
          </cell>
          <cell r="M139">
            <v>35655</v>
          </cell>
          <cell r="O139">
            <v>85000</v>
          </cell>
          <cell r="P139" t="str">
            <v>Sada Hussain</v>
          </cell>
          <cell r="Q139" t="str">
            <v>Basti Hafizabad, Purani Chishtiyan, District Bahawalnagar</v>
          </cell>
          <cell r="R139" t="str">
            <v>Plot 41-B, Civic Center, M.A Johar Town, Lahore</v>
          </cell>
          <cell r="S139" t="str">
            <v>0300-4741080</v>
          </cell>
          <cell r="T139" t="str">
            <v>sadahaider1214@gmail.com</v>
          </cell>
        </row>
        <row r="140">
          <cell r="J140">
            <v>3120228435783</v>
          </cell>
          <cell r="K140">
            <v>45056</v>
          </cell>
          <cell r="L140">
            <v>48709</v>
          </cell>
          <cell r="M140">
            <v>34731</v>
          </cell>
          <cell r="O140">
            <v>85000</v>
          </cell>
          <cell r="P140" t="str">
            <v>Muhammad Bilal Hussain</v>
          </cell>
          <cell r="Q140" t="str">
            <v>P/O Geelay Wal, Sagowan, Tehsil &amp; District Lodhran</v>
          </cell>
          <cell r="R140" t="str">
            <v>Plot 41-B, Civic Center, M.A Johar Town, Lahore</v>
          </cell>
          <cell r="S140" t="str">
            <v>0300-7044068</v>
          </cell>
        </row>
        <row r="141">
          <cell r="J141">
            <v>3810178663415</v>
          </cell>
          <cell r="K141">
            <v>43447</v>
          </cell>
          <cell r="L141">
            <v>47100</v>
          </cell>
          <cell r="M141">
            <v>33538</v>
          </cell>
          <cell r="O141">
            <v>85000</v>
          </cell>
          <cell r="P141" t="str">
            <v>Hassan Askari</v>
          </cell>
          <cell r="Q141" t="str">
            <v>Basti Girah, Dak Khana Notak Khanani, Tehsil &amp; District Bhakkar</v>
          </cell>
          <cell r="R141" t="str">
            <v>Plot 41-B, Civic Center, M.A Johar Town, Lahore</v>
          </cell>
          <cell r="S141" t="str">
            <v>0324-1940868</v>
          </cell>
        </row>
        <row r="142">
          <cell r="J142">
            <v>3330333203693</v>
          </cell>
          <cell r="K142">
            <v>45131</v>
          </cell>
          <cell r="L142">
            <v>48784</v>
          </cell>
          <cell r="M142">
            <v>34578</v>
          </cell>
          <cell r="O142">
            <v>100000</v>
          </cell>
          <cell r="P142" t="str">
            <v>Husnain Ali</v>
          </cell>
          <cell r="Q142" t="str">
            <v>House No. 521/2, Street No.1, Mohalla Awami Basti Toba Tek Singh</v>
          </cell>
          <cell r="R142" t="str">
            <v>Plot 41-B, Civic Center, M.A Johar Town, Lahore</v>
          </cell>
          <cell r="S142" t="str">
            <v>0315-7662542</v>
          </cell>
          <cell r="T142" t="str">
            <v>sunyali846@gmail.com</v>
          </cell>
        </row>
        <row r="143">
          <cell r="J143">
            <v>3630278225831</v>
          </cell>
          <cell r="K143">
            <v>44375</v>
          </cell>
          <cell r="L143">
            <v>48027</v>
          </cell>
          <cell r="M143">
            <v>37338</v>
          </cell>
          <cell r="O143">
            <v>100000</v>
          </cell>
          <cell r="P143" t="str">
            <v>Muhammad Huzaifa Qasim Shah</v>
          </cell>
          <cell r="Q143" t="str">
            <v>House No. 445/A, Main ghous Azam road Chungi No. 1, Mohalla Haji Pura, Multan</v>
          </cell>
          <cell r="R143" t="str">
            <v>Plot 41-B, Civic Center, M.A Johar Town, Lahore</v>
          </cell>
          <cell r="S143" t="str">
            <v>0302-1075277</v>
          </cell>
          <cell r="T143" t="str">
            <v>huzaifaqasimm@gmail.com</v>
          </cell>
        </row>
        <row r="144">
          <cell r="J144">
            <v>3840176605499</v>
          </cell>
          <cell r="K144">
            <v>42416</v>
          </cell>
          <cell r="L144" t="str">
            <v>Lifetime</v>
          </cell>
          <cell r="M144">
            <v>19450</v>
          </cell>
          <cell r="O144">
            <v>100000</v>
          </cell>
          <cell r="P144" t="str">
            <v>Shabbir Hussain Shah</v>
          </cell>
          <cell r="Q144" t="str">
            <v>Dak Khana Laxin, Talib wala, Tehsil Kot Momin, District Sargodha</v>
          </cell>
          <cell r="R144" t="str">
            <v>Plot 41-B, Civic Center, M.A Johar Town, Lahore</v>
          </cell>
          <cell r="S144" t="str">
            <v>0300-5124005</v>
          </cell>
        </row>
        <row r="145">
          <cell r="J145">
            <v>3530165415365</v>
          </cell>
          <cell r="K145">
            <v>44601</v>
          </cell>
          <cell r="L145">
            <v>48253</v>
          </cell>
          <cell r="M145">
            <v>38004</v>
          </cell>
          <cell r="O145">
            <v>100000</v>
          </cell>
          <cell r="P145" t="str">
            <v>Liaqat Ali</v>
          </cell>
          <cell r="Q145" t="str">
            <v>Street Daruljadeed Mohalla Dars Baseerpura, Tehsil Dipalpur, District Okara</v>
          </cell>
          <cell r="R145" t="str">
            <v>Plot 41-B, Civic Center, M.A Johar Town, Lahore</v>
          </cell>
          <cell r="S145" t="str">
            <v>0320-2790970</v>
          </cell>
          <cell r="T145" t="str">
            <v>hafizliaqatali18@gmail.com</v>
          </cell>
        </row>
        <row r="146">
          <cell r="J146">
            <v>3220359319553</v>
          </cell>
          <cell r="K146">
            <v>44606</v>
          </cell>
          <cell r="L146">
            <v>48258</v>
          </cell>
          <cell r="M146">
            <v>37935</v>
          </cell>
          <cell r="O146">
            <v>100000</v>
          </cell>
          <cell r="P146" t="str">
            <v>Muhammad Umar</v>
          </cell>
          <cell r="Q146" t="str">
            <v>Dak Khana, Chowk Azam, Chak No. 360 TDA, Tehsil &amp; District Layyah</v>
          </cell>
          <cell r="R146" t="str">
            <v>Plot 41-B, Civic Center, M.A Johar Town, Lahore</v>
          </cell>
          <cell r="S146" t="str">
            <v>0340-2039360</v>
          </cell>
          <cell r="T146" t="str">
            <v>mumar5112003@gmail.com</v>
          </cell>
        </row>
        <row r="147">
          <cell r="J147">
            <v>3530217808087</v>
          </cell>
          <cell r="K147">
            <v>44207</v>
          </cell>
          <cell r="L147">
            <v>47859</v>
          </cell>
          <cell r="M147">
            <v>37569</v>
          </cell>
          <cell r="O147">
            <v>75000</v>
          </cell>
          <cell r="P147" t="str">
            <v>Ali Hussnain</v>
          </cell>
          <cell r="Q147" t="str">
            <v>House No. 64, Street No.2, Mohalla Nawab Colony, Okara</v>
          </cell>
          <cell r="R147" t="str">
            <v>Plot 41-B, Civic Center, M.A Johar Town, Lahore</v>
          </cell>
          <cell r="S147" t="str">
            <v>0321-7297542</v>
          </cell>
          <cell r="T147" t="str">
            <v>alihussnain165@gmail.com</v>
          </cell>
        </row>
        <row r="148">
          <cell r="J148">
            <v>3520199098784</v>
          </cell>
          <cell r="K148">
            <v>44440</v>
          </cell>
          <cell r="L148">
            <v>48092</v>
          </cell>
          <cell r="M148">
            <v>37779</v>
          </cell>
          <cell r="O148">
            <v>75000</v>
          </cell>
          <cell r="P148" t="str">
            <v>Sana Rehmat</v>
          </cell>
          <cell r="Q148" t="str">
            <v>House No. 296-C, Mohalla Gawala Colony, Rakh Chand Raye, Kahna Nu, Tehsil &amp; District Lahore</v>
          </cell>
          <cell r="R148" t="str">
            <v>Plot 41-B, Civic Center, M.A Johar Town, Lahore</v>
          </cell>
          <cell r="S148" t="str">
            <v>0306-7511142</v>
          </cell>
          <cell r="T148" t="str">
            <v>sanarehmatali05@gmail.com</v>
          </cell>
        </row>
        <row r="149">
          <cell r="J149">
            <v>3660314247857</v>
          </cell>
          <cell r="K149">
            <v>45391</v>
          </cell>
          <cell r="L149">
            <v>49043</v>
          </cell>
          <cell r="M149">
            <v>32454</v>
          </cell>
          <cell r="O149">
            <v>50000</v>
          </cell>
          <cell r="P149" t="str">
            <v>Muhammad Imran</v>
          </cell>
          <cell r="Q149" t="str">
            <v>Chak No. 553 EB, Tehsil &amp; District Vehari</v>
          </cell>
          <cell r="R149" t="str">
            <v>Plot 41-B, Civic Center, M.A Johar Town, Lahore</v>
          </cell>
          <cell r="S149" t="str">
            <v>0300-8448684</v>
          </cell>
        </row>
        <row r="150">
          <cell r="J150">
            <v>3520272649551</v>
          </cell>
          <cell r="K150">
            <v>44922</v>
          </cell>
          <cell r="L150">
            <v>48575</v>
          </cell>
          <cell r="M150">
            <v>35648</v>
          </cell>
          <cell r="O150">
            <v>250000</v>
          </cell>
          <cell r="P150" t="str">
            <v>Muhammad Usman</v>
          </cell>
          <cell r="Q150" t="str">
            <v>House No. 65-A Mohalla Bohar Wala Chowk Railway Colony Lahore</v>
          </cell>
          <cell r="R150" t="str">
            <v>Plot 41-B, Civic Center, M.A Johar Town, Lahore</v>
          </cell>
          <cell r="S150" t="str">
            <v>0335-4022152</v>
          </cell>
        </row>
        <row r="151">
          <cell r="J151">
            <v>3130229766217</v>
          </cell>
          <cell r="K151">
            <v>46156</v>
          </cell>
          <cell r="L151">
            <v>49809</v>
          </cell>
          <cell r="M151">
            <v>35796</v>
          </cell>
          <cell r="O151">
            <v>75000</v>
          </cell>
          <cell r="P151" t="str">
            <v>Muhammad Makki</v>
          </cell>
          <cell r="Q151" t="str">
            <v>Basti Chandia Baloch Post Office Shedani Sharif Tehsil Liaqatpur, District Rahim Yar Khan</v>
          </cell>
          <cell r="R151" t="str">
            <v>Plot 41-B, Civic Center, M.A Johar Town, Lahore</v>
          </cell>
          <cell r="S151" t="str">
            <v>0300-8206696</v>
          </cell>
          <cell r="T151" t="str">
            <v>makkikhan.hse@gmail.com</v>
          </cell>
        </row>
        <row r="152">
          <cell r="J152">
            <v>3520205428939</v>
          </cell>
          <cell r="K152">
            <v>44969</v>
          </cell>
          <cell r="L152">
            <v>48622</v>
          </cell>
          <cell r="M152">
            <v>35688</v>
          </cell>
          <cell r="O152">
            <v>100000</v>
          </cell>
          <cell r="P152" t="str">
            <v>Muhammad Adil Rauf</v>
          </cell>
          <cell r="Q152" t="str">
            <v>House No. 17, Mohalla farooq Road, Ichra, Mehr Street Lahore</v>
          </cell>
          <cell r="R152" t="str">
            <v>Plot 41-B, Civic Center, M.A Johar Town, Lahore</v>
          </cell>
          <cell r="S152" t="str">
            <v>0313-4413695</v>
          </cell>
          <cell r="T152" t="str">
            <v>adilrauf02@gmail.com</v>
          </cell>
        </row>
        <row r="153">
          <cell r="J153">
            <v>3540435797517</v>
          </cell>
          <cell r="K153">
            <v>44887</v>
          </cell>
          <cell r="L153">
            <v>48540</v>
          </cell>
          <cell r="M153">
            <v>35979</v>
          </cell>
          <cell r="O153">
            <v>40000</v>
          </cell>
          <cell r="P153" t="str">
            <v>Syed Muhammad Tahir</v>
          </cell>
          <cell r="Q153" t="str">
            <v>Street Doctor Islam Wali Kasoki Road, Mohalla Garhi Awan Hafizabad</v>
          </cell>
          <cell r="R153" t="str">
            <v>Plot 41-B, Civic Center, M.A Johar Town, Lahore</v>
          </cell>
          <cell r="S153" t="str">
            <v>0316-7612243</v>
          </cell>
          <cell r="T153" t="str">
            <v>naqvitahir624@gmail.com</v>
          </cell>
        </row>
        <row r="154">
          <cell r="J154">
            <v>3520269421933</v>
          </cell>
          <cell r="K154">
            <v>46142</v>
          </cell>
          <cell r="L154">
            <v>49795</v>
          </cell>
          <cell r="M154">
            <v>37638</v>
          </cell>
          <cell r="O154">
            <v>40000</v>
          </cell>
          <cell r="P154" t="str">
            <v>Muhammad Hamza</v>
          </cell>
          <cell r="Q154" t="str">
            <v>House No. 89/B, Mohalla Sharif Park Phase 2, Bagriyan, Lahore</v>
          </cell>
          <cell r="R154" t="str">
            <v>Plot 41-B, Civic Center, M.A Johar Town, Lahore</v>
          </cell>
          <cell r="S154" t="str">
            <v>0304-5997166</v>
          </cell>
          <cell r="T154" t="str">
            <v>muhammad.hamza.4t4@gmail.com</v>
          </cell>
        </row>
        <row r="155">
          <cell r="J155">
            <v>3520242594775</v>
          </cell>
          <cell r="K155">
            <v>45694</v>
          </cell>
          <cell r="L155">
            <v>49346</v>
          </cell>
          <cell r="M155">
            <v>34532</v>
          </cell>
          <cell r="O155">
            <v>150000</v>
          </cell>
          <cell r="P155" t="str">
            <v>Khalid Sattar</v>
          </cell>
          <cell r="Q155" t="str">
            <v>House No. 52 -C, Mohalla Tepu Block Bew Garden Town Lahore</v>
          </cell>
          <cell r="R155" t="str">
            <v>Plot 41-B, Civic Center, M.A Johar Town, Lahore</v>
          </cell>
          <cell r="S155" t="str">
            <v>0313-4861383</v>
          </cell>
          <cell r="T155" t="str">
            <v>khalidsattar109@gmail.com</v>
          </cell>
        </row>
        <row r="156">
          <cell r="J156">
            <v>3230313168202</v>
          </cell>
          <cell r="K156">
            <v>44440</v>
          </cell>
          <cell r="L156">
            <v>48092</v>
          </cell>
          <cell r="M156">
            <v>32643</v>
          </cell>
          <cell r="O156">
            <v>75000</v>
          </cell>
          <cell r="P156" t="str">
            <v>Fakhra Ahsan</v>
          </cell>
          <cell r="Q156" t="str">
            <v>Basti Nawan Budh, Dak Khana Railway Station, Tehsil Koat Adu District Muzaffargarh</v>
          </cell>
          <cell r="R156" t="str">
            <v>Plot 41-B, Civic Center, M.A Johar Town, Lahore</v>
          </cell>
          <cell r="S156" t="str">
            <v>0332-4716307</v>
          </cell>
          <cell r="T156" t="str">
            <v>ahsanfakhra9@gmail.com</v>
          </cell>
        </row>
        <row r="157">
          <cell r="J157">
            <v>3520150089311</v>
          </cell>
          <cell r="K157">
            <v>44599</v>
          </cell>
          <cell r="L157">
            <v>48251</v>
          </cell>
          <cell r="M157">
            <v>37858</v>
          </cell>
          <cell r="O157">
            <v>60000</v>
          </cell>
          <cell r="P157" t="str">
            <v>Maher Umair Sajid</v>
          </cell>
          <cell r="Q157" t="str">
            <v>House No. 45, Street No.6, Block A, Mohalla Al Faisal Town, Lahore</v>
          </cell>
          <cell r="R157" t="str">
            <v>Plot 41-B, Civic Center, M.A Johar Town, Lahore</v>
          </cell>
          <cell r="S157" t="str">
            <v>0324-0443419</v>
          </cell>
          <cell r="T157" t="str">
            <v>maherumair710@gmail.com</v>
          </cell>
        </row>
        <row r="158">
          <cell r="J158">
            <v>3520265515163</v>
          </cell>
          <cell r="K158">
            <v>42787</v>
          </cell>
          <cell r="L158">
            <v>46439</v>
          </cell>
          <cell r="M158">
            <v>31768</v>
          </cell>
          <cell r="O158">
            <v>70000</v>
          </cell>
          <cell r="P158" t="str">
            <v>Abid Ali</v>
          </cell>
          <cell r="Q158" t="str">
            <v>House No. 26/6 Street No. 42-B, Khalid Street Mohalla Allama Iqbal, Lahore</v>
          </cell>
          <cell r="R158" t="str">
            <v>Plot 41-B, Civic Center, M.A Johar Town, Lahore</v>
          </cell>
          <cell r="S158" t="str">
            <v>0300-4623338</v>
          </cell>
          <cell r="T158" t="str">
            <v>abidaku4582703@gmail.com</v>
          </cell>
        </row>
        <row r="159">
          <cell r="J159">
            <v>3520247499748</v>
          </cell>
          <cell r="K159">
            <v>44682</v>
          </cell>
          <cell r="L159">
            <v>48335</v>
          </cell>
          <cell r="M159">
            <v>36994</v>
          </cell>
          <cell r="O159">
            <v>75000</v>
          </cell>
          <cell r="P159" t="str">
            <v>Hifza Amir</v>
          </cell>
          <cell r="Q159" t="str">
            <v>Sheikh Dilwak, Dak Khana Gujranwala Shahpur City, District Sargodha</v>
          </cell>
          <cell r="R159" t="str">
            <v>Plot 41-B, Civic Center, M.A Johar Town, Lahore</v>
          </cell>
          <cell r="S159" t="str">
            <v>0321-4304690</v>
          </cell>
          <cell r="T159" t="str">
            <v>hifzaamir330@gmail.com</v>
          </cell>
        </row>
        <row r="160">
          <cell r="J160">
            <v>3520268011581</v>
          </cell>
          <cell r="K160">
            <v>44399</v>
          </cell>
          <cell r="L160">
            <v>48051</v>
          </cell>
          <cell r="M160">
            <v>38169</v>
          </cell>
          <cell r="O160">
            <v>50000</v>
          </cell>
          <cell r="P160" t="str">
            <v>Usman Rafique</v>
          </cell>
          <cell r="Q160" t="str">
            <v>House No. 44, Street No. 5, Mohalla Ramnagar, Hota Singh Road Sanat Nagar, Lahore</v>
          </cell>
          <cell r="R160" t="str">
            <v>Plot 41-B, Civic Center, M.A Johar Town, Lahore</v>
          </cell>
          <cell r="S160" t="str">
            <v>0304-9568656</v>
          </cell>
          <cell r="T160" t="str">
            <v>ur322480@gmail.com</v>
          </cell>
        </row>
        <row r="161">
          <cell r="J161">
            <v>3440263325002</v>
          </cell>
          <cell r="K161">
            <v>44158</v>
          </cell>
          <cell r="L161">
            <v>47810</v>
          </cell>
          <cell r="M161">
            <v>34950</v>
          </cell>
          <cell r="O161">
            <v>80000</v>
          </cell>
          <cell r="P161" t="str">
            <v>Fozia Dilawar</v>
          </cell>
          <cell r="Q161" t="str">
            <v>Wasu Road, Mohalla Rehmanpura, Mandi Bahuddin</v>
          </cell>
          <cell r="R161" t="str">
            <v>Plot 41-B, Civic Center, M.A Johar Town, Lahore</v>
          </cell>
          <cell r="S161" t="str">
            <v>0346-5252153</v>
          </cell>
          <cell r="T161" t="str">
            <v>syedafozia.dilawar17@gmail.com</v>
          </cell>
        </row>
        <row r="162">
          <cell r="J162">
            <v>3520268640274</v>
          </cell>
          <cell r="K162">
            <v>45604</v>
          </cell>
          <cell r="L162">
            <v>49256</v>
          </cell>
          <cell r="M162">
            <v>35677</v>
          </cell>
          <cell r="O162">
            <v>65000</v>
          </cell>
          <cell r="P162" t="str">
            <v>Humaira</v>
          </cell>
          <cell r="Q162" t="str">
            <v>Goranwala, P/O Pakkay Wala, Thatha Mahla, Tehsil &amp; District Jhang</v>
          </cell>
          <cell r="R162" t="str">
            <v>Plot 41-B, Civic Center, M.A Johar Town, Lahore</v>
          </cell>
          <cell r="S162" t="str">
            <v>0305-4596633</v>
          </cell>
        </row>
        <row r="163">
          <cell r="J163">
            <v>3230171907704</v>
          </cell>
          <cell r="K163">
            <v>42969</v>
          </cell>
          <cell r="L163">
            <v>46621</v>
          </cell>
          <cell r="M163">
            <v>36083</v>
          </cell>
          <cell r="O163">
            <v>60000</v>
          </cell>
          <cell r="P163" t="str">
            <v>Nazia Abid</v>
          </cell>
          <cell r="Q163" t="str">
            <v>Abbas Town, Dak Khana Ali Pur, Ghalwan 2, Tehsil Ali Pur, District Muzaffargarh</v>
          </cell>
          <cell r="R163" t="str">
            <v>Plot 41-B, Civic Center, M.A Johar Town, Lahore</v>
          </cell>
          <cell r="S163" t="str">
            <v>0328-6982419</v>
          </cell>
        </row>
        <row r="164">
          <cell r="J164">
            <v>3520275904754</v>
          </cell>
          <cell r="K164">
            <v>45827</v>
          </cell>
          <cell r="L164">
            <v>49479</v>
          </cell>
          <cell r="M164">
            <v>39503</v>
          </cell>
          <cell r="O164">
            <v>45000</v>
          </cell>
          <cell r="P164" t="str">
            <v>Amna Nawaz</v>
          </cell>
          <cell r="Q164" t="str">
            <v>Dak Khana Khas, Chak No. 18 SP, Tehsil &amp; District Pakpattan</v>
          </cell>
          <cell r="R164" t="str">
            <v>Plot 41-B, Civic Center, M.A Johar Town, Lahore</v>
          </cell>
          <cell r="S164" t="str">
            <v>0311-7279693</v>
          </cell>
        </row>
        <row r="165">
          <cell r="J165">
            <v>3520229136913</v>
          </cell>
          <cell r="K165">
            <v>45006</v>
          </cell>
          <cell r="L165">
            <v>48659</v>
          </cell>
          <cell r="M165">
            <v>26584</v>
          </cell>
          <cell r="O165">
            <v>75000</v>
          </cell>
          <cell r="P165" t="str">
            <v>Muhammad Ali Dar</v>
          </cell>
          <cell r="Q165" t="str">
            <v>House No. 354, Mohalla Kashmir Block Allama Iqbal Town Lahore</v>
          </cell>
          <cell r="R165" t="str">
            <v>Plot 41-B, Civic Center, M.A Johar Town, Lahore</v>
          </cell>
          <cell r="S165" t="str">
            <v>0321-4331210</v>
          </cell>
          <cell r="T165" t="str">
            <v>alidarpk@gmail.com</v>
          </cell>
        </row>
        <row r="166">
          <cell r="J166">
            <v>3520216752643</v>
          </cell>
          <cell r="K166">
            <v>43458</v>
          </cell>
          <cell r="L166">
            <v>47111</v>
          </cell>
          <cell r="M166">
            <v>32351</v>
          </cell>
          <cell r="O166">
            <v>200000</v>
          </cell>
          <cell r="P166" t="str">
            <v>Khizer Hayat</v>
          </cell>
          <cell r="Q166" t="str">
            <v>House No. 198, Street No. 188, Mohalla Deputy Yaqoob Colony, New Bhogewal Lahore</v>
          </cell>
          <cell r="R166" t="str">
            <v>Plot 41-B, Civic Center, M.A Johar Town, Lahore</v>
          </cell>
          <cell r="S166" t="str">
            <v>0313-4066586</v>
          </cell>
          <cell r="T166" t="str">
            <v>khizarhayat2004@gmail.com</v>
          </cell>
        </row>
        <row r="167">
          <cell r="J167">
            <v>3840321089630</v>
          </cell>
          <cell r="K167">
            <v>46135</v>
          </cell>
          <cell r="L167">
            <v>49788</v>
          </cell>
          <cell r="M167">
            <v>27776</v>
          </cell>
          <cell r="O167">
            <v>50000</v>
          </cell>
          <cell r="P167" t="str">
            <v>Shaista Khalil</v>
          </cell>
          <cell r="Q167" t="str">
            <v>House No. 59, Street 2, Gulyar Town, Dak Khana College Road, Sargodha</v>
          </cell>
          <cell r="R167" t="str">
            <v>Plot 41-B, Civic Center, M.A Johar Town, Lahore</v>
          </cell>
          <cell r="S167" t="str">
            <v>0305-4329359</v>
          </cell>
          <cell r="T167" t="str">
            <v>shaistakhalil59@gmail.com</v>
          </cell>
        </row>
        <row r="168">
          <cell r="J168">
            <v>3330294012083</v>
          </cell>
          <cell r="K168">
            <v>44798</v>
          </cell>
          <cell r="L168">
            <v>48454</v>
          </cell>
          <cell r="M168">
            <v>35506</v>
          </cell>
          <cell r="O168">
            <v>70000</v>
          </cell>
          <cell r="P168" t="str">
            <v>Muhammad Qamar Zaman</v>
          </cell>
          <cell r="Q168" t="str">
            <v>Dak Khana Khas, Chak 735 GB, Tehsil Kamalia, District Toba Tek Singh</v>
          </cell>
          <cell r="R168" t="str">
            <v>Plot 41-B, Civic Center, M.A Johar Town, Lahore</v>
          </cell>
          <cell r="S168" t="str">
            <v>0303-6242113</v>
          </cell>
          <cell r="T168" t="str">
            <v>qzmalik735@gmail.com</v>
          </cell>
        </row>
        <row r="169">
          <cell r="J169">
            <v>3520250190125</v>
          </cell>
          <cell r="K169">
            <v>43178</v>
          </cell>
          <cell r="L169">
            <v>46831</v>
          </cell>
          <cell r="M169">
            <v>36028</v>
          </cell>
          <cell r="O169">
            <v>75000</v>
          </cell>
          <cell r="P169" t="str">
            <v>Ahmad Hussain</v>
          </cell>
          <cell r="Q169" t="str">
            <v>House 4-R,  Mohalla Green Park, Scheme Moar, Multan Road Lahore</v>
          </cell>
          <cell r="R169" t="str">
            <v>Plot 41-B, Civic Center, M.A Johar Town, Lahore</v>
          </cell>
          <cell r="S169" t="str">
            <v>0331-6481148</v>
          </cell>
          <cell r="T169" t="str">
            <v>ahmad123hussain321@gmail.com</v>
          </cell>
        </row>
        <row r="170">
          <cell r="J170">
            <v>3320339365107</v>
          </cell>
          <cell r="K170">
            <v>45026</v>
          </cell>
          <cell r="L170">
            <v>48679</v>
          </cell>
          <cell r="M170">
            <v>34788</v>
          </cell>
          <cell r="O170">
            <v>250000</v>
          </cell>
          <cell r="P170" t="str">
            <v>Shahbaz Hussain</v>
          </cell>
          <cell r="Q170" t="str">
            <v>Ward No. 14, Basti Araiyan Wali, Mohalla Qureshiyanwala, Shorkot district Jhang</v>
          </cell>
          <cell r="R170" t="str">
            <v>Plot 41-B, Civic Center, M.A Johar Town, Lahore</v>
          </cell>
          <cell r="S170" t="str">
            <v>0307-8749971</v>
          </cell>
          <cell r="T170" t="str">
            <v>shahbaz12ce@gmail.com</v>
          </cell>
        </row>
        <row r="171">
          <cell r="J171">
            <v>3610398315875</v>
          </cell>
          <cell r="K171">
            <v>44678</v>
          </cell>
          <cell r="L171">
            <v>48331</v>
          </cell>
          <cell r="M171">
            <v>36406</v>
          </cell>
          <cell r="O171">
            <v>175000</v>
          </cell>
          <cell r="P171" t="str">
            <v>Muhammad Talha Khalid</v>
          </cell>
          <cell r="Q171" t="str">
            <v>House No. 210-A, Block R, Mohalla Johar Town Lahore</v>
          </cell>
          <cell r="R171" t="str">
            <v>Plot 41-B, Civic Center, M.A Johar Town, Lahore</v>
          </cell>
          <cell r="S171" t="str">
            <v>0332-4729811</v>
          </cell>
          <cell r="T171" t="str">
            <v>talha.arts.90@gmail.com</v>
          </cell>
        </row>
        <row r="172">
          <cell r="J172">
            <v>3520205534059</v>
          </cell>
          <cell r="K172">
            <v>44916</v>
          </cell>
          <cell r="L172">
            <v>48569</v>
          </cell>
          <cell r="M172">
            <v>30517</v>
          </cell>
          <cell r="O172">
            <v>60000</v>
          </cell>
          <cell r="P172" t="str">
            <v>Muhammad Nawaz</v>
          </cell>
          <cell r="Q172" t="str">
            <v>Chak No. 18 SP, Tehsil &amp; District Pakpattan</v>
          </cell>
          <cell r="R172" t="str">
            <v>Plot 41-B, Civic Center, M.A Johar Town, Lahore</v>
          </cell>
          <cell r="S172" t="str">
            <v>0301-4775945</v>
          </cell>
        </row>
        <row r="173">
          <cell r="J173">
            <v>3230155001545</v>
          </cell>
          <cell r="K173">
            <v>43096</v>
          </cell>
          <cell r="L173">
            <v>46748</v>
          </cell>
          <cell r="M173">
            <v>34091</v>
          </cell>
          <cell r="O173">
            <v>52000</v>
          </cell>
          <cell r="P173" t="str">
            <v>Syed Mohsin Raza Naqvi</v>
          </cell>
          <cell r="Q173" t="str">
            <v>Basti Kabir Wala, Post Office Malik Arain, Kotla Ghulam Shah, Tehsil Ali Pur, District Muzafargarh</v>
          </cell>
          <cell r="R173" t="str">
            <v>Plot 41-B, Civic Center, M.A Johar Town, Lahore</v>
          </cell>
          <cell r="S173" t="str">
            <v>0303-9256719</v>
          </cell>
        </row>
        <row r="174">
          <cell r="J174">
            <v>3460142768520</v>
          </cell>
          <cell r="K174">
            <v>45770</v>
          </cell>
          <cell r="L174">
            <v>49422</v>
          </cell>
          <cell r="M174">
            <v>35079</v>
          </cell>
          <cell r="O174">
            <v>101999.99999999999</v>
          </cell>
          <cell r="P174" t="str">
            <v>Syeda Tayaba Bibi</v>
          </cell>
          <cell r="Q174" t="str">
            <v>Malo Mehsy , Post office Khas, Tesil Daska, District Sialkot</v>
          </cell>
          <cell r="R174" t="str">
            <v>Plot 41-B, Civic Center, M.A Johar Town, Lahore</v>
          </cell>
          <cell r="S174" t="str">
            <v>0324-7852026</v>
          </cell>
        </row>
        <row r="175">
          <cell r="J175">
            <v>3520296180471</v>
          </cell>
          <cell r="K175">
            <v>42619</v>
          </cell>
          <cell r="L175">
            <v>46271</v>
          </cell>
          <cell r="M175">
            <v>35999</v>
          </cell>
          <cell r="O175">
            <v>60000</v>
          </cell>
          <cell r="P175" t="str">
            <v>Zeeshan Javed</v>
          </cell>
          <cell r="Q175" t="str">
            <v>House No. 1, Sardar Street, Mohalla Quaid-e-Azam Park Kot Lakhpat, Lahore</v>
          </cell>
          <cell r="R175" t="str">
            <v>Plot 41-B, Civic Center, M.A Johar Town, Lahore</v>
          </cell>
          <cell r="S175" t="str">
            <v>0316-0043004
0301-4551088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-26"/>
    </sheetNames>
    <sheetDataSet>
      <sheetData sheetId="0">
        <row r="5">
          <cell r="B5">
            <v>3520015692451</v>
          </cell>
          <cell r="C5" t="str">
            <v>Abid Raza</v>
          </cell>
          <cell r="D5" t="str">
            <v>Record Keeper</v>
          </cell>
          <cell r="E5">
            <v>43740</v>
          </cell>
          <cell r="G5" t="str">
            <v>SB Township</v>
          </cell>
          <cell r="H5" t="str">
            <v>51450020047665550015</v>
          </cell>
        </row>
        <row r="6">
          <cell r="B6">
            <v>3510328629835</v>
          </cell>
          <cell r="C6" t="str">
            <v>Muhammad Afzal</v>
          </cell>
          <cell r="D6" t="str">
            <v>Electrician</v>
          </cell>
          <cell r="E6">
            <v>46013</v>
          </cell>
          <cell r="G6" t="str">
            <v>SB Sher Sha Colony</v>
          </cell>
          <cell r="H6" t="str">
            <v>03900010157673040014</v>
          </cell>
        </row>
        <row r="7">
          <cell r="B7">
            <v>6110125973611</v>
          </cell>
          <cell r="C7" t="str">
            <v>Ubaid ur Rehman</v>
          </cell>
          <cell r="D7" t="str">
            <v>Electrician</v>
          </cell>
          <cell r="E7">
            <v>46013</v>
          </cell>
          <cell r="G7" t="str">
            <v>SB Muzaffargarh</v>
          </cell>
          <cell r="H7" t="str">
            <v>02810010157003660011</v>
          </cell>
        </row>
        <row r="8">
          <cell r="B8">
            <v>3510272215003</v>
          </cell>
          <cell r="C8" t="str">
            <v>Abdul Shakoor</v>
          </cell>
          <cell r="D8" t="str">
            <v>Record Keeper</v>
          </cell>
          <cell r="E8">
            <v>46036</v>
          </cell>
          <cell r="G8" t="str">
            <v>SB Jallalpur Pirwala</v>
          </cell>
          <cell r="H8" t="str">
            <v>06390010159089130010</v>
          </cell>
        </row>
        <row r="9">
          <cell r="B9">
            <v>3520269421933</v>
          </cell>
          <cell r="C9" t="str">
            <v>Muhammad Hamza</v>
          </cell>
          <cell r="D9" t="str">
            <v>Record Keeper</v>
          </cell>
          <cell r="E9">
            <v>46054</v>
          </cell>
          <cell r="G9" t="str">
            <v>Head Office</v>
          </cell>
          <cell r="H9" t="str">
            <v>11880010130807980010</v>
          </cell>
        </row>
        <row r="10">
          <cell r="B10">
            <v>3520296926635</v>
          </cell>
          <cell r="C10" t="str">
            <v>Ali Husnain</v>
          </cell>
          <cell r="D10" t="str">
            <v>Record Keeper</v>
          </cell>
          <cell r="E10">
            <v>46057</v>
          </cell>
          <cell r="G10" t="str">
            <v>STOG Manga Mandi</v>
          </cell>
          <cell r="H10" t="str">
            <v>07660010159506620016</v>
          </cell>
        </row>
        <row r="11">
          <cell r="B11">
            <v>3520240878575</v>
          </cell>
          <cell r="C11" t="str">
            <v>Umar Akram</v>
          </cell>
          <cell r="D11" t="str">
            <v>Sahulat Bazaar Supervisor</v>
          </cell>
          <cell r="E11">
            <v>46057</v>
          </cell>
          <cell r="G11" t="str">
            <v>STOG Barki Road</v>
          </cell>
          <cell r="H11" t="str">
            <v>13860010160543840011</v>
          </cell>
        </row>
        <row r="12">
          <cell r="B12">
            <v>3810376008603</v>
          </cell>
          <cell r="C12" t="str">
            <v>Zohaib Hassan</v>
          </cell>
          <cell r="D12" t="str">
            <v>Sahulat Bazaar Supervisor</v>
          </cell>
          <cell r="E12">
            <v>46057</v>
          </cell>
          <cell r="G12" t="str">
            <v>SB Bhakar</v>
          </cell>
          <cell r="H12" t="str">
            <v>05030010159573740010</v>
          </cell>
        </row>
        <row r="13">
          <cell r="B13">
            <v>3130333806289</v>
          </cell>
          <cell r="C13" t="str">
            <v>Nauman Shafiq</v>
          </cell>
          <cell r="D13" t="str">
            <v>Sahulat Bazaar Supervisor (look after charge)</v>
          </cell>
          <cell r="E13">
            <v>46057</v>
          </cell>
          <cell r="G13" t="str">
            <v>SB Bahawalpur</v>
          </cell>
          <cell r="H13" t="str">
            <v>13800010095849670018</v>
          </cell>
        </row>
        <row r="14">
          <cell r="B14">
            <v>3230372077383</v>
          </cell>
          <cell r="C14" t="str">
            <v xml:space="preserve">Muhammad Irtaza </v>
          </cell>
          <cell r="D14" t="str">
            <v>Sahulat Bazaar Supervisor</v>
          </cell>
          <cell r="E14">
            <v>46062</v>
          </cell>
          <cell r="G14" t="str">
            <v>SB Bhera</v>
          </cell>
          <cell r="H14" t="str">
            <v>02810010046898840025</v>
          </cell>
        </row>
        <row r="15">
          <cell r="B15">
            <v>3130405616867</v>
          </cell>
          <cell r="C15" t="str">
            <v>Muhammad Dil Nawaz</v>
          </cell>
          <cell r="D15" t="str">
            <v>Record Keeper</v>
          </cell>
          <cell r="E15">
            <v>46063</v>
          </cell>
          <cell r="G15" t="str">
            <v>SB Bahawalpur</v>
          </cell>
          <cell r="H15" t="str">
            <v>09320010159745300018</v>
          </cell>
        </row>
        <row r="16">
          <cell r="B16">
            <v>3520157880749</v>
          </cell>
          <cell r="C16" t="str">
            <v>Azhar Altaf</v>
          </cell>
          <cell r="D16" t="str">
            <v>Sahulat Bazaar Supervisor</v>
          </cell>
          <cell r="E16">
            <v>46063</v>
          </cell>
          <cell r="G16" t="str">
            <v>SB Nishter Town</v>
          </cell>
          <cell r="H16" t="str">
            <v>51390020160114610019</v>
          </cell>
        </row>
        <row r="17">
          <cell r="B17">
            <v>3130459443055</v>
          </cell>
          <cell r="C17" t="str">
            <v>Rais Bilal Ahmad</v>
          </cell>
          <cell r="D17" t="str">
            <v>Sahulat Bazaar Supervisor</v>
          </cell>
          <cell r="E17">
            <v>46063</v>
          </cell>
          <cell r="G17" t="str">
            <v>SB Bahawalpur</v>
          </cell>
          <cell r="H17" t="str">
            <v>03500010125998530014</v>
          </cell>
        </row>
        <row r="18">
          <cell r="B18">
            <v>3520273956351</v>
          </cell>
          <cell r="C18" t="str">
            <v>Muhammad Sheharyar</v>
          </cell>
          <cell r="D18" t="str">
            <v>Record Keeper</v>
          </cell>
          <cell r="E18">
            <v>46065</v>
          </cell>
          <cell r="G18" t="str">
            <v>SB Burewala</v>
          </cell>
          <cell r="H18" t="str">
            <v>51260020160102150014</v>
          </cell>
        </row>
        <row r="19">
          <cell r="B19">
            <v>3310423650201</v>
          </cell>
          <cell r="C19" t="str">
            <v>Muhammad Adil</v>
          </cell>
          <cell r="D19" t="str">
            <v>Record Keeper</v>
          </cell>
          <cell r="E19">
            <v>46068</v>
          </cell>
          <cell r="G19" t="str">
            <v>SB Mandi Faizabad</v>
          </cell>
          <cell r="H19" t="str">
            <v>10290010136626660017</v>
          </cell>
        </row>
        <row r="20">
          <cell r="B20">
            <v>3530270543565</v>
          </cell>
          <cell r="C20" t="str">
            <v>Abdullah Mukhtar</v>
          </cell>
          <cell r="D20" t="str">
            <v>Record Keeper</v>
          </cell>
          <cell r="E20">
            <v>46069</v>
          </cell>
          <cell r="G20" t="str">
            <v>STOG Madina Market Township</v>
          </cell>
          <cell r="H20" t="str">
            <v>05460010160086860016</v>
          </cell>
        </row>
        <row r="21">
          <cell r="B21">
            <v>3310448750371</v>
          </cell>
          <cell r="C21" t="str">
            <v>Sardar Zeeshan Haider Waris</v>
          </cell>
          <cell r="D21" t="str">
            <v>Record Keeper</v>
          </cell>
          <cell r="E21">
            <v>46069</v>
          </cell>
          <cell r="G21" t="str">
            <v>SB Mandi Faizabad</v>
          </cell>
          <cell r="H21" t="str">
            <v>02000010160088810010</v>
          </cell>
        </row>
        <row r="22">
          <cell r="B22">
            <v>3630247953028</v>
          </cell>
          <cell r="C22" t="str">
            <v>Shahzab Shah</v>
          </cell>
          <cell r="D22" t="str">
            <v>Sahulat Bazaar Supervisor</v>
          </cell>
          <cell r="E22">
            <v>46069</v>
          </cell>
          <cell r="G22" t="str">
            <v>SB Harbanspura</v>
          </cell>
          <cell r="H22" t="str">
            <v>51680020160469870012</v>
          </cell>
        </row>
        <row r="23">
          <cell r="B23">
            <v>3220365380837</v>
          </cell>
          <cell r="C23" t="str">
            <v>Muhammad Ahsan</v>
          </cell>
          <cell r="D23" t="str">
            <v>Sahulat Bazaar Supervisor</v>
          </cell>
          <cell r="E23">
            <v>46069</v>
          </cell>
          <cell r="G23" t="str">
            <v>STOG Kot Sultan Layyah</v>
          </cell>
          <cell r="H23" t="str">
            <v>13060010160935180010</v>
          </cell>
        </row>
        <row r="24">
          <cell r="B24">
            <v>3630297514307</v>
          </cell>
          <cell r="C24" t="str">
            <v>Rehan Ali Shah</v>
          </cell>
          <cell r="D24" t="str">
            <v>Sahulat Bazaar Supervisor (look after charge)</v>
          </cell>
          <cell r="E24">
            <v>46070</v>
          </cell>
          <cell r="G24" t="str">
            <v>STOG Barki Road</v>
          </cell>
          <cell r="H24" t="str">
            <v>00100010160115780010</v>
          </cell>
        </row>
        <row r="25">
          <cell r="B25">
            <v>3540454852525</v>
          </cell>
          <cell r="C25" t="str">
            <v>Ahmad Jahangir</v>
          </cell>
          <cell r="D25" t="str">
            <v>Sahulat Bazaar Supervisor</v>
          </cell>
          <cell r="E25">
            <v>46070</v>
          </cell>
          <cell r="G25" t="str">
            <v>SB Farooqabad</v>
          </cell>
          <cell r="H25" t="str">
            <v>06200010052453490025</v>
          </cell>
        </row>
        <row r="26">
          <cell r="B26">
            <v>3110313248705</v>
          </cell>
          <cell r="C26" t="str">
            <v>Muhammad Ahad Zafar</v>
          </cell>
          <cell r="D26" t="str">
            <v>Record Keeper</v>
          </cell>
          <cell r="E26">
            <v>46071</v>
          </cell>
          <cell r="G26" t="str">
            <v>SB Vehari</v>
          </cell>
          <cell r="H26" t="str">
            <v>08370010160530470016</v>
          </cell>
        </row>
        <row r="27">
          <cell r="B27">
            <v>3220325358107</v>
          </cell>
          <cell r="C27" t="str">
            <v>Muhammad Asad Raza</v>
          </cell>
          <cell r="D27" t="str">
            <v>Record Keeper</v>
          </cell>
          <cell r="E27">
            <v>46078</v>
          </cell>
          <cell r="G27" t="str">
            <v>STOG Minor Road Layyah</v>
          </cell>
          <cell r="H27" t="str">
            <v>51400020160864570011</v>
          </cell>
        </row>
        <row r="28">
          <cell r="B28">
            <v>3220323159083</v>
          </cell>
          <cell r="C28" t="str">
            <v>Syed Farhan Ali</v>
          </cell>
          <cell r="D28" t="str">
            <v>Sahulat Bazaar Supervisor</v>
          </cell>
          <cell r="E28">
            <v>46078</v>
          </cell>
          <cell r="G28" t="str">
            <v>STOG Minor Road Layyah</v>
          </cell>
          <cell r="H28" t="str">
            <v>51400020160865860015</v>
          </cell>
        </row>
        <row r="29">
          <cell r="B29">
            <v>3540438200413</v>
          </cell>
          <cell r="C29" t="str">
            <v>Muhammad Ibrahim Shahid</v>
          </cell>
          <cell r="D29" t="str">
            <v>Sahulat Bazaar Supervisor</v>
          </cell>
          <cell r="E29">
            <v>46079</v>
          </cell>
          <cell r="G29" t="str">
            <v>SB Farooqabad</v>
          </cell>
          <cell r="H29" t="str">
            <v>06200010160793470019</v>
          </cell>
        </row>
        <row r="30">
          <cell r="B30">
            <v>3220224844255</v>
          </cell>
          <cell r="C30" t="str">
            <v>Zulqarnain Shamas</v>
          </cell>
          <cell r="D30" t="str">
            <v>Record Keeper (Look After Charge of Incharge)</v>
          </cell>
          <cell r="E30">
            <v>46080</v>
          </cell>
          <cell r="G30" t="str">
            <v>STOG Fatehpur Layyah</v>
          </cell>
          <cell r="H30" t="str">
            <v>06980010099653480017</v>
          </cell>
        </row>
        <row r="31">
          <cell r="B31">
            <v>3520403578569</v>
          </cell>
          <cell r="C31" t="str">
            <v>Saqlain Ghous</v>
          </cell>
          <cell r="D31" t="str">
            <v>Record Keeper</v>
          </cell>
          <cell r="E31">
            <v>46080</v>
          </cell>
          <cell r="G31" t="str">
            <v>STOG Kharak Nalla</v>
          </cell>
          <cell r="H31" t="str">
            <v>05380010160705200015</v>
          </cell>
        </row>
        <row r="32">
          <cell r="B32">
            <v>3520237941477</v>
          </cell>
          <cell r="C32" t="str">
            <v>Hasnain Raza</v>
          </cell>
          <cell r="D32" t="str">
            <v>Record Keeper</v>
          </cell>
          <cell r="E32">
            <v>46080</v>
          </cell>
          <cell r="G32" t="str">
            <v>STOG Kotha Pind Faisal Town</v>
          </cell>
          <cell r="H32" t="str">
            <v>07170010160790200016</v>
          </cell>
        </row>
        <row r="33">
          <cell r="B33">
            <v>3520403892505</v>
          </cell>
          <cell r="C33" t="str">
            <v>Umer Rasheed</v>
          </cell>
          <cell r="D33" t="str">
            <v>Record Keeper</v>
          </cell>
          <cell r="E33">
            <v>46080</v>
          </cell>
          <cell r="G33" t="str">
            <v>STOG Kotha Pind Faisal Town</v>
          </cell>
          <cell r="H33" t="str">
            <v>07170010160790230013</v>
          </cell>
        </row>
        <row r="34">
          <cell r="B34">
            <v>3550108521485</v>
          </cell>
          <cell r="C34" t="str">
            <v>Syed Saqlain Shah</v>
          </cell>
          <cell r="D34" t="str">
            <v>Record Keeper</v>
          </cell>
          <cell r="E34">
            <v>46080</v>
          </cell>
          <cell r="G34" t="str">
            <v>SB Mandi Faizabad</v>
          </cell>
          <cell r="H34" t="str">
            <v>02000010160760500010</v>
          </cell>
        </row>
        <row r="35">
          <cell r="B35">
            <v>3520274474273</v>
          </cell>
          <cell r="C35" t="str">
            <v>Abbas Ali</v>
          </cell>
          <cell r="D35" t="str">
            <v>Record Keeper</v>
          </cell>
          <cell r="E35">
            <v>46080</v>
          </cell>
          <cell r="G35" t="str">
            <v>SB Sabzazaar</v>
          </cell>
          <cell r="H35" t="str">
            <v>09410010160620350017</v>
          </cell>
        </row>
        <row r="36">
          <cell r="B36">
            <v>3520243706441</v>
          </cell>
          <cell r="C36" t="str">
            <v>Ghulam Muhyydin</v>
          </cell>
          <cell r="D36" t="str">
            <v>Record Keeper</v>
          </cell>
          <cell r="E36">
            <v>46080</v>
          </cell>
          <cell r="G36" t="str">
            <v>STOG Shadman</v>
          </cell>
          <cell r="H36" t="str">
            <v>07800010117645500020</v>
          </cell>
        </row>
        <row r="37">
          <cell r="B37">
            <v>3520281482785</v>
          </cell>
          <cell r="C37" t="str">
            <v>Ali Husnain</v>
          </cell>
          <cell r="D37" t="str">
            <v>Record Keeper</v>
          </cell>
          <cell r="E37">
            <v>46080</v>
          </cell>
          <cell r="G37" t="str">
            <v>SB Township</v>
          </cell>
          <cell r="H37" t="str">
            <v>07620010160784240012</v>
          </cell>
        </row>
        <row r="38">
          <cell r="B38">
            <v>3520403865195</v>
          </cell>
          <cell r="C38" t="str">
            <v>Muhammad Usama</v>
          </cell>
          <cell r="D38" t="str">
            <v>Record Keeper</v>
          </cell>
          <cell r="E38">
            <v>46080</v>
          </cell>
          <cell r="G38" t="str">
            <v>SB Wahdat Colony</v>
          </cell>
          <cell r="H38" t="str">
            <v>10520010160758050010</v>
          </cell>
        </row>
        <row r="39">
          <cell r="B39">
            <v>3520280679477</v>
          </cell>
          <cell r="C39" t="str">
            <v>Muhammad Shahbaz</v>
          </cell>
          <cell r="D39" t="str">
            <v>Sahulat Bazaar Supervisor</v>
          </cell>
          <cell r="E39">
            <v>46080</v>
          </cell>
          <cell r="G39" t="str">
            <v>STOG Awan Town</v>
          </cell>
          <cell r="H39" t="str">
            <v>05380010160620690011</v>
          </cell>
        </row>
        <row r="40">
          <cell r="B40">
            <v>3220318126059</v>
          </cell>
          <cell r="C40" t="str">
            <v>Yasir Ali</v>
          </cell>
          <cell r="D40" t="str">
            <v>Sahulat Bazaar Supervisor</v>
          </cell>
          <cell r="E40">
            <v>46080</v>
          </cell>
          <cell r="G40" t="str">
            <v>STOG Chowk Azam Layyah</v>
          </cell>
          <cell r="H40" t="str">
            <v>08050010160774120013</v>
          </cell>
        </row>
        <row r="41">
          <cell r="B41">
            <v>3520247082999</v>
          </cell>
          <cell r="C41" t="str">
            <v>Muhammad Sohail</v>
          </cell>
          <cell r="D41" t="str">
            <v>Sahulat Bazaar Supervisor</v>
          </cell>
          <cell r="E41">
            <v>46080</v>
          </cell>
          <cell r="G41" t="str">
            <v>SB Johar Town</v>
          </cell>
          <cell r="H41" t="str">
            <v>00620010119043210013</v>
          </cell>
        </row>
        <row r="42">
          <cell r="B42">
            <v>3520076663721</v>
          </cell>
          <cell r="C42" t="str">
            <v>Shahzaib Javaid</v>
          </cell>
          <cell r="D42" t="str">
            <v>Sahulat Bazaar Supervisor</v>
          </cell>
          <cell r="E42">
            <v>46080</v>
          </cell>
          <cell r="G42" t="str">
            <v>STOG Kharak Nalla</v>
          </cell>
          <cell r="H42" t="str">
            <v>06890010143578890014</v>
          </cell>
        </row>
        <row r="43">
          <cell r="B43">
            <v>3520283594243</v>
          </cell>
          <cell r="C43" t="str">
            <v>Muhammad Faizan</v>
          </cell>
          <cell r="D43" t="str">
            <v>Sahulat Bazaar Supervisor</v>
          </cell>
          <cell r="E43">
            <v>46080</v>
          </cell>
          <cell r="G43" t="str">
            <v>STOG Madr-e-Millat</v>
          </cell>
          <cell r="H43" t="str">
            <v>07660010160795000013</v>
          </cell>
        </row>
        <row r="44">
          <cell r="B44">
            <v>3520403416213</v>
          </cell>
          <cell r="C44" t="str">
            <v>Abid Ali</v>
          </cell>
          <cell r="D44" t="str">
            <v>Sahulat Bazaar Supervisor</v>
          </cell>
          <cell r="E44">
            <v>46080</v>
          </cell>
          <cell r="G44" t="str">
            <v>SB Sher Sha Colony</v>
          </cell>
          <cell r="H44" t="str">
            <v>13860010160763010019</v>
          </cell>
        </row>
        <row r="45">
          <cell r="B45">
            <v>3520018242509</v>
          </cell>
          <cell r="C45" t="str">
            <v>Danish Mushtaq</v>
          </cell>
          <cell r="D45" t="str">
            <v>Sahulat Bazaar Supervisor</v>
          </cell>
          <cell r="E45">
            <v>46080</v>
          </cell>
          <cell r="G45" t="str">
            <v>SB Thokar</v>
          </cell>
          <cell r="H45" t="str">
            <v>08100010160773610013</v>
          </cell>
        </row>
        <row r="46">
          <cell r="B46">
            <v>3220382635763</v>
          </cell>
          <cell r="C46" t="str">
            <v>Sajjad Ahmad</v>
          </cell>
          <cell r="D46" t="str">
            <v>Record Keeper</v>
          </cell>
          <cell r="E46">
            <v>46081</v>
          </cell>
          <cell r="G46" t="str">
            <v>STOG Fatehpur Layyah</v>
          </cell>
          <cell r="H46" t="str">
            <v>12100010160891410015</v>
          </cell>
        </row>
        <row r="47">
          <cell r="B47">
            <v>3220278087061</v>
          </cell>
          <cell r="C47" t="str">
            <v>Tajamul Hussain</v>
          </cell>
          <cell r="D47" t="str">
            <v>Record Keeper</v>
          </cell>
          <cell r="E47">
            <v>46081</v>
          </cell>
          <cell r="G47" t="str">
            <v>STOG Karor Lal Hassan</v>
          </cell>
          <cell r="H47" t="str">
            <v>06980010160811240011</v>
          </cell>
        </row>
        <row r="48">
          <cell r="B48">
            <v>3520290221157</v>
          </cell>
          <cell r="C48" t="str">
            <v>Syed Hasnain Haider</v>
          </cell>
          <cell r="D48" t="str">
            <v>Record Keeper</v>
          </cell>
          <cell r="E48">
            <v>46081</v>
          </cell>
          <cell r="G48" t="str">
            <v>STOG Ferozwala</v>
          </cell>
          <cell r="H48" t="str">
            <v>08100010160864290011</v>
          </cell>
        </row>
        <row r="49">
          <cell r="B49">
            <v>3220350825319</v>
          </cell>
          <cell r="C49" t="str">
            <v>Mubashir Saeed</v>
          </cell>
          <cell r="D49" t="str">
            <v>Sahulat Bazaar Supervisor</v>
          </cell>
          <cell r="E49">
            <v>46081</v>
          </cell>
          <cell r="G49" t="str">
            <v>STOG Fatehpur Layyah</v>
          </cell>
          <cell r="H49" t="str">
            <v>13060010081635950011</v>
          </cell>
        </row>
        <row r="50">
          <cell r="B50">
            <v>3220337340879</v>
          </cell>
          <cell r="C50" t="str">
            <v>Rehan Mulazim</v>
          </cell>
          <cell r="D50" t="str">
            <v>Sahulat Bazaar Supervisor</v>
          </cell>
          <cell r="E50">
            <v>46081</v>
          </cell>
          <cell r="G50" t="str">
            <v>STOG Karor Lal Hassan</v>
          </cell>
          <cell r="H50" t="str">
            <v>51400020160808940014</v>
          </cell>
        </row>
        <row r="51">
          <cell r="B51">
            <v>3230480844889</v>
          </cell>
          <cell r="C51" t="str">
            <v>Muhammad Shahzad Ibrahim</v>
          </cell>
          <cell r="D51" t="str">
            <v>Record Keeper</v>
          </cell>
          <cell r="E51">
            <v>46063</v>
          </cell>
          <cell r="G51" t="str">
            <v>STOG Kot Sultan Layyah</v>
          </cell>
          <cell r="H51" t="str">
            <v>02810020160855080013</v>
          </cell>
        </row>
        <row r="52">
          <cell r="B52">
            <v>3520275904754</v>
          </cell>
          <cell r="C52" t="str">
            <v>Amna Nawaz</v>
          </cell>
          <cell r="D52" t="str">
            <v>Record Keeper</v>
          </cell>
          <cell r="E52">
            <v>46080</v>
          </cell>
          <cell r="G52" t="str">
            <v>Head Office</v>
          </cell>
          <cell r="H52" t="str">
            <v>02880010160858450010</v>
          </cell>
        </row>
        <row r="53">
          <cell r="B53">
            <v>3520233800759</v>
          </cell>
          <cell r="C53" t="str">
            <v>Syed Haider Abbas</v>
          </cell>
          <cell r="D53" t="str">
            <v>Sahulat Bazaar Supervisor</v>
          </cell>
          <cell r="E53">
            <v>46082</v>
          </cell>
          <cell r="G53" t="str">
            <v>STOG Madina Market Township</v>
          </cell>
          <cell r="H53" t="str">
            <v>14180010160507460014</v>
          </cell>
        </row>
        <row r="54">
          <cell r="B54">
            <v>3220374516367</v>
          </cell>
          <cell r="C54" t="str">
            <v>Arslan Haider</v>
          </cell>
          <cell r="D54" t="str">
            <v>Record Keeper</v>
          </cell>
          <cell r="E54">
            <v>46083</v>
          </cell>
          <cell r="G54" t="str">
            <v>STOG Kot Sultan Layyah</v>
          </cell>
          <cell r="H54" t="str">
            <v>02360010062597260012</v>
          </cell>
        </row>
        <row r="55">
          <cell r="B55">
            <v>3520212602853</v>
          </cell>
          <cell r="C55" t="str">
            <v>Muhammad Aqib Nisar</v>
          </cell>
          <cell r="D55" t="str">
            <v>Sahulat Bazaar Supervisor</v>
          </cell>
          <cell r="E55">
            <v>46083</v>
          </cell>
          <cell r="G55" t="str">
            <v>SB Johar Town</v>
          </cell>
          <cell r="H55" t="str">
            <v>02880010160866640016</v>
          </cell>
        </row>
        <row r="56">
          <cell r="B56">
            <v>3220343333393</v>
          </cell>
          <cell r="C56" t="str">
            <v>Muhammad Umar Farooq</v>
          </cell>
          <cell r="D56" t="str">
            <v>Sahulat Bazaar Supervisor</v>
          </cell>
          <cell r="E56">
            <v>46083</v>
          </cell>
          <cell r="G56" t="str">
            <v>STOG Kot Sultan Layyah</v>
          </cell>
          <cell r="H56" t="str">
            <v>13060010160754220010</v>
          </cell>
        </row>
        <row r="57">
          <cell r="B57">
            <v>3520227273906</v>
          </cell>
          <cell r="C57" t="str">
            <v>Saneha</v>
          </cell>
          <cell r="D57" t="str">
            <v>Record Keeper</v>
          </cell>
          <cell r="E57">
            <v>46084</v>
          </cell>
          <cell r="G57" t="str">
            <v>SB Township</v>
          </cell>
          <cell r="H57" t="str">
            <v>07030010160814790014</v>
          </cell>
        </row>
        <row r="58">
          <cell r="B58">
            <v>3520289863218</v>
          </cell>
          <cell r="C58" t="str">
            <v>Laiba Umar</v>
          </cell>
          <cell r="D58" t="str">
            <v>Sahulat Bazaar Supervisor</v>
          </cell>
          <cell r="E58">
            <v>46085</v>
          </cell>
          <cell r="G58" t="str">
            <v>SB Raiwind</v>
          </cell>
          <cell r="H58" t="str">
            <v>93910010160678420010</v>
          </cell>
        </row>
        <row r="59">
          <cell r="B59">
            <v>3520229136913</v>
          </cell>
          <cell r="C59" t="str">
            <v>Muhammad Ali Dar</v>
          </cell>
          <cell r="D59" t="str">
            <v>Monitoring Supervisor</v>
          </cell>
          <cell r="E59">
            <v>46086</v>
          </cell>
          <cell r="G59" t="str">
            <v>Head Office</v>
          </cell>
          <cell r="H59" t="str">
            <v>02880010160946690015</v>
          </cell>
        </row>
        <row r="60">
          <cell r="B60">
            <v>3520403799751</v>
          </cell>
          <cell r="C60" t="str">
            <v>Muhammad Junaid</v>
          </cell>
          <cell r="D60" t="str">
            <v>Sahulat Bazaar Supervisor</v>
          </cell>
          <cell r="E60">
            <v>46087</v>
          </cell>
          <cell r="G60" t="str">
            <v>SB Johar Town</v>
          </cell>
          <cell r="H60" t="str">
            <v>11950010160953870017</v>
          </cell>
        </row>
        <row r="61">
          <cell r="B61">
            <v>3650245656061</v>
          </cell>
          <cell r="C61" t="str">
            <v>Muhammad Umair</v>
          </cell>
          <cell r="D61" t="str">
            <v>Record Keeper</v>
          </cell>
          <cell r="E61">
            <v>46090</v>
          </cell>
          <cell r="G61" t="str">
            <v>SB Sahiwal</v>
          </cell>
          <cell r="H61" t="str">
            <v>03520010161020150015</v>
          </cell>
        </row>
        <row r="62">
          <cell r="B62">
            <v>3310479857087</v>
          </cell>
          <cell r="C62" t="str">
            <v xml:space="preserve">Muhammad Kashif  </v>
          </cell>
          <cell r="D62" t="str">
            <v>Record Keeper</v>
          </cell>
          <cell r="E62">
            <v>46091</v>
          </cell>
          <cell r="G62" t="str">
            <v>STOG Chowk Azam Layyah</v>
          </cell>
          <cell r="H62" t="str">
            <v>08050010160961210015</v>
          </cell>
        </row>
        <row r="63">
          <cell r="B63">
            <v>3220215416029</v>
          </cell>
          <cell r="C63" t="str">
            <v>Khizar Abbas</v>
          </cell>
          <cell r="D63" t="str">
            <v>Record Keeper</v>
          </cell>
          <cell r="E63">
            <v>46091</v>
          </cell>
          <cell r="G63" t="str">
            <v>STOG Chowk Azam Layyah</v>
          </cell>
          <cell r="H63" t="str">
            <v>06980010082691050011</v>
          </cell>
        </row>
        <row r="64">
          <cell r="B64">
            <v>3220228052039</v>
          </cell>
          <cell r="C64" t="str">
            <v>Muhammad Umair</v>
          </cell>
          <cell r="D64" t="str">
            <v>Sahulat Bazaar Supervisor</v>
          </cell>
          <cell r="E64">
            <v>46091</v>
          </cell>
          <cell r="G64" t="str">
            <v>STOG Fatehpur Layyah</v>
          </cell>
          <cell r="H64" t="str">
            <v>12100010160956540015</v>
          </cell>
        </row>
        <row r="65">
          <cell r="B65">
            <v>3310214964605</v>
          </cell>
          <cell r="C65" t="str">
            <v>Arqam Naeem</v>
          </cell>
          <cell r="D65" t="str">
            <v>Sahulat Bazaar Supervisor</v>
          </cell>
          <cell r="E65">
            <v>46091</v>
          </cell>
          <cell r="G65" t="str">
            <v>SB Farooqabad</v>
          </cell>
          <cell r="H65" t="str">
            <v>06200010161042030010</v>
          </cell>
        </row>
        <row r="66">
          <cell r="B66">
            <v>3110483748533</v>
          </cell>
          <cell r="C66" t="str">
            <v>Muhammad Tahir Rasheed</v>
          </cell>
          <cell r="D66" t="str">
            <v>Record Keeper</v>
          </cell>
          <cell r="E66">
            <v>46092</v>
          </cell>
          <cell r="G66" t="str">
            <v>SB Bahawalpur</v>
          </cell>
          <cell r="H66" t="str">
            <v>09630010161018000015</v>
          </cell>
        </row>
        <row r="67">
          <cell r="B67">
            <v>3540492400953</v>
          </cell>
          <cell r="C67" t="str">
            <v>Abubakar Sadaqat</v>
          </cell>
          <cell r="D67" t="str">
            <v>Sahulat Bazaar Supervisor</v>
          </cell>
          <cell r="E67">
            <v>46094</v>
          </cell>
          <cell r="G67" t="str">
            <v>SB Harbanspura</v>
          </cell>
          <cell r="H67" t="str">
            <v>01260010161133340013</v>
          </cell>
        </row>
        <row r="68">
          <cell r="B68">
            <v>3840401475467</v>
          </cell>
          <cell r="C68" t="str">
            <v>Muhammad Uzair Malik</v>
          </cell>
          <cell r="D68" t="str">
            <v>Record Keeper</v>
          </cell>
          <cell r="E68">
            <v>46106</v>
          </cell>
          <cell r="G68" t="str">
            <v>SB Sargodha</v>
          </cell>
          <cell r="H68" t="str">
            <v>51300020161895680016</v>
          </cell>
        </row>
        <row r="69">
          <cell r="B69">
            <v>3820190178689</v>
          </cell>
          <cell r="C69" t="str">
            <v>Naveed Mukhtar</v>
          </cell>
          <cell r="D69" t="str">
            <v>Sahulat Bazaar Supervisor</v>
          </cell>
          <cell r="E69">
            <v>46112</v>
          </cell>
          <cell r="G69" t="str">
            <v>SB Khushab</v>
          </cell>
          <cell r="H69" t="str">
            <v>52320020163138030016</v>
          </cell>
        </row>
        <row r="70">
          <cell r="B70">
            <v>3530212859893</v>
          </cell>
          <cell r="C70" t="str">
            <v>Usman Khalid</v>
          </cell>
          <cell r="D70" t="str">
            <v>Sahulat Bazaar Supervisor</v>
          </cell>
          <cell r="E70">
            <v>46112</v>
          </cell>
          <cell r="G70" t="str">
            <v>SB Okara</v>
          </cell>
          <cell r="H70" t="str">
            <v>09740010161753030012</v>
          </cell>
        </row>
        <row r="71">
          <cell r="B71">
            <v>3520144886005</v>
          </cell>
          <cell r="C71" t="str">
            <v>Mudassar Jabbar</v>
          </cell>
          <cell r="D71" t="str">
            <v>Sahulat Bazaar Supervisor</v>
          </cell>
          <cell r="E71">
            <v>46112</v>
          </cell>
          <cell r="G71" t="str">
            <v>SB Harbanspura</v>
          </cell>
          <cell r="H71" t="str">
            <v>01260010162230820019</v>
          </cell>
        </row>
        <row r="72">
          <cell r="B72">
            <v>3540216923151</v>
          </cell>
          <cell r="C72" t="str">
            <v>Amir Sohail</v>
          </cell>
          <cell r="D72" t="str">
            <v>Record Keeper</v>
          </cell>
          <cell r="E72">
            <v>46113</v>
          </cell>
          <cell r="G72" t="str">
            <v>SB Sharaqpur</v>
          </cell>
          <cell r="H72" t="str">
            <v>05200010087016520020</v>
          </cell>
        </row>
        <row r="73">
          <cell r="B73">
            <v>3410148692868</v>
          </cell>
          <cell r="C73" t="str">
            <v>Sumaira Ashfaq</v>
          </cell>
          <cell r="D73" t="str">
            <v>Record Keeper</v>
          </cell>
          <cell r="E73">
            <v>46113</v>
          </cell>
          <cell r="G73" t="str">
            <v>SB Gujranwala</v>
          </cell>
          <cell r="H73" t="str">
            <v>12620010162807100019</v>
          </cell>
        </row>
        <row r="74">
          <cell r="B74">
            <v>3510194822537</v>
          </cell>
          <cell r="C74" t="str">
            <v>Muhammad Bilal</v>
          </cell>
          <cell r="D74" t="str">
            <v>Record Keeper</v>
          </cell>
          <cell r="E74">
            <v>46117</v>
          </cell>
          <cell r="G74" t="str">
            <v>SB Okara</v>
          </cell>
          <cell r="H74" t="str">
            <v>09740010162271480010</v>
          </cell>
        </row>
        <row r="75">
          <cell r="B75">
            <v>3520237864907</v>
          </cell>
          <cell r="C75" t="str">
            <v>Meesam Raza</v>
          </cell>
          <cell r="D75" t="str">
            <v>Record Keeper</v>
          </cell>
          <cell r="E75">
            <v>46125</v>
          </cell>
          <cell r="G75" t="str">
            <v>Head Office</v>
          </cell>
          <cell r="H75" t="str">
            <v>02880010162817320010</v>
          </cell>
        </row>
        <row r="76">
          <cell r="B76">
            <v>3530219658315</v>
          </cell>
          <cell r="C76" t="str">
            <v>Amjad Iqbal</v>
          </cell>
          <cell r="D76" t="str">
            <v>Record Keeper</v>
          </cell>
          <cell r="E76">
            <v>46126</v>
          </cell>
          <cell r="G76" t="str">
            <v>SB Sahiwal</v>
          </cell>
          <cell r="H76" t="str">
            <v>03530010060233390024</v>
          </cell>
        </row>
        <row r="77">
          <cell r="B77">
            <v>3540397502433</v>
          </cell>
          <cell r="C77" t="str">
            <v>Samar Mubarak</v>
          </cell>
          <cell r="D77" t="str">
            <v>Sahulat Bazaar Supervisor</v>
          </cell>
          <cell r="E77">
            <v>46128</v>
          </cell>
          <cell r="G77" t="str">
            <v>SB Johar Town</v>
          </cell>
          <cell r="H77" t="str">
            <v>51010020163315460014</v>
          </cell>
        </row>
        <row r="78">
          <cell r="B78">
            <v>3510288379945</v>
          </cell>
          <cell r="C78" t="str">
            <v>Muhammad Hamza</v>
          </cell>
          <cell r="D78" t="str">
            <v>Record Keeper</v>
          </cell>
          <cell r="E78">
            <v>46129</v>
          </cell>
          <cell r="G78" t="str">
            <v>SB Kasur</v>
          </cell>
          <cell r="H78" t="str">
            <v>02040010163084940012</v>
          </cell>
        </row>
        <row r="79">
          <cell r="B79">
            <v>3240272589589</v>
          </cell>
          <cell r="C79" t="str">
            <v>Saad Ullah</v>
          </cell>
          <cell r="D79" t="str">
            <v>Record Keeper</v>
          </cell>
          <cell r="E79">
            <v>46135</v>
          </cell>
          <cell r="G79" t="str">
            <v>STOG Bahawalpur</v>
          </cell>
          <cell r="H79" t="str">
            <v>04850010163056200011</v>
          </cell>
        </row>
        <row r="80">
          <cell r="B80">
            <v>3660171227973</v>
          </cell>
          <cell r="C80" t="str">
            <v>Nasir Mehmood Babar</v>
          </cell>
          <cell r="D80" t="str">
            <v>Sahulat Bazaar Incharge</v>
          </cell>
          <cell r="E80">
            <v>46150</v>
          </cell>
          <cell r="G80" t="str">
            <v>SB Arifwala</v>
          </cell>
        </row>
        <row r="81">
          <cell r="B81">
            <v>3640142823385</v>
          </cell>
          <cell r="C81" t="str">
            <v>Mureed Hussain</v>
          </cell>
          <cell r="D81" t="str">
            <v>Sahulat Bazaar Supervisor</v>
          </cell>
          <cell r="E81">
            <v>46150</v>
          </cell>
          <cell r="G81" t="str">
            <v>SB Arifwala</v>
          </cell>
        </row>
        <row r="82">
          <cell r="B82">
            <v>3640183734959</v>
          </cell>
          <cell r="C82" t="str">
            <v>Muhammad Rashid Javaid</v>
          </cell>
          <cell r="D82" t="str">
            <v>Record Keeper</v>
          </cell>
          <cell r="E82">
            <v>46150</v>
          </cell>
          <cell r="G82" t="str">
            <v>SB Arifwala</v>
          </cell>
        </row>
        <row r="83">
          <cell r="B83">
            <v>3640166248255</v>
          </cell>
          <cell r="C83" t="str">
            <v>Ali Ahmad</v>
          </cell>
          <cell r="D83" t="str">
            <v>Record Keeper</v>
          </cell>
          <cell r="E83">
            <v>46150</v>
          </cell>
          <cell r="G83" t="str">
            <v>SB Arifwala</v>
          </cell>
        </row>
        <row r="84">
          <cell r="B84">
            <v>3640131820545</v>
          </cell>
          <cell r="C84" t="str">
            <v>Muhammad Ahsan</v>
          </cell>
          <cell r="D84" t="str">
            <v>Record Keeper</v>
          </cell>
          <cell r="E84">
            <v>46150</v>
          </cell>
          <cell r="G84" t="str">
            <v>SB Arifwala</v>
          </cell>
        </row>
        <row r="85">
          <cell r="B85">
            <v>3640161184561</v>
          </cell>
          <cell r="C85" t="str">
            <v>Rana Ali Hannan</v>
          </cell>
          <cell r="D85" t="str">
            <v>Record Keeper</v>
          </cell>
          <cell r="E85">
            <v>46150</v>
          </cell>
          <cell r="G85" t="str">
            <v>SB Arifwala</v>
          </cell>
        </row>
        <row r="86">
          <cell r="B86">
            <v>3310576848115</v>
          </cell>
          <cell r="C86" t="str">
            <v>Muhammad Noman</v>
          </cell>
          <cell r="D86" t="str">
            <v>Sahulat Bazaar Supervisor</v>
          </cell>
          <cell r="E86">
            <v>46153</v>
          </cell>
          <cell r="G86" t="str">
            <v>STOG Shadman</v>
          </cell>
          <cell r="H86" t="str">
            <v>02270010164207540013</v>
          </cell>
        </row>
        <row r="87">
          <cell r="B87">
            <v>3520296180471</v>
          </cell>
          <cell r="C87" t="str">
            <v>Zeeshan Javaid</v>
          </cell>
          <cell r="D87" t="str">
            <v>Sahulat Bazaar Supervisor</v>
          </cell>
          <cell r="E87">
            <v>46156</v>
          </cell>
          <cell r="G87" t="str">
            <v>Head Office</v>
          </cell>
          <cell r="H87" t="str">
            <v>02880010045284660011</v>
          </cell>
        </row>
        <row r="88">
          <cell r="B88">
            <v>3510359192103</v>
          </cell>
          <cell r="C88" t="str">
            <v>Fayyaz Ahmad</v>
          </cell>
          <cell r="D88" t="str">
            <v>Record Keeper</v>
          </cell>
          <cell r="E88">
            <v>46157</v>
          </cell>
          <cell r="G88" t="str">
            <v>SB Pattoki</v>
          </cell>
          <cell r="H88" t="str">
            <v>03000010164318750010</v>
          </cell>
        </row>
        <row r="89">
          <cell r="B89">
            <v>3220334629623</v>
          </cell>
          <cell r="C89" t="str">
            <v>Zeeshan Elahi</v>
          </cell>
          <cell r="D89" t="str">
            <v>Record Keeper</v>
          </cell>
          <cell r="E89">
            <v>46158</v>
          </cell>
          <cell r="G89" t="str">
            <v>STOG Khatam-e-Nabuwat Layyah</v>
          </cell>
          <cell r="H89" t="str">
            <v>51400020164576290013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 Wages "/>
    </sheetNames>
    <sheetDataSet>
      <sheetData sheetId="0">
        <row r="6">
          <cell r="B6">
            <v>3640241102447</v>
          </cell>
          <cell r="C6" t="str">
            <v>Muhammad Azam</v>
          </cell>
          <cell r="D6" t="str">
            <v>Gardener</v>
          </cell>
          <cell r="E6">
            <v>46023</v>
          </cell>
          <cell r="F6" t="str">
            <v>STOG Shadman</v>
          </cell>
          <cell r="G6" t="str">
            <v>10080010156538240016</v>
          </cell>
        </row>
        <row r="7">
          <cell r="B7">
            <v>3520166783191</v>
          </cell>
          <cell r="C7" t="str">
            <v>Christopher Gill</v>
          </cell>
          <cell r="D7" t="str">
            <v>Sanitation Attendant</v>
          </cell>
          <cell r="E7">
            <v>46018</v>
          </cell>
          <cell r="F7" t="str">
            <v>STOG Gulshan-e-Ravi</v>
          </cell>
          <cell r="G7" t="str">
            <v>07690010157938840016</v>
          </cell>
        </row>
        <row r="8">
          <cell r="B8">
            <v>3340306347449</v>
          </cell>
          <cell r="C8" t="str">
            <v>Muhammad Qasim</v>
          </cell>
          <cell r="D8" t="str">
            <v>Sanitation Attendant</v>
          </cell>
          <cell r="E8">
            <v>46023</v>
          </cell>
          <cell r="F8" t="str">
            <v>SB Chiniot</v>
          </cell>
          <cell r="G8" t="str">
            <v>04990010155034740018</v>
          </cell>
        </row>
        <row r="9">
          <cell r="B9">
            <v>3340105273403</v>
          </cell>
          <cell r="C9" t="str">
            <v>Ali Aqil</v>
          </cell>
          <cell r="D9" t="str">
            <v>Sanitation Attendant</v>
          </cell>
          <cell r="E9">
            <v>46023</v>
          </cell>
          <cell r="F9" t="str">
            <v>SB Chiniot</v>
          </cell>
          <cell r="G9" t="str">
            <v>04990010156391310019</v>
          </cell>
        </row>
        <row r="10">
          <cell r="B10">
            <v>3520296282317</v>
          </cell>
          <cell r="C10" t="str">
            <v>Jarassom</v>
          </cell>
          <cell r="D10" t="str">
            <v>Sanitation Attendant</v>
          </cell>
          <cell r="E10">
            <v>46023</v>
          </cell>
          <cell r="F10" t="str">
            <v>STOG Shadman</v>
          </cell>
          <cell r="G10" t="str">
            <v>05280010096862200011</v>
          </cell>
        </row>
        <row r="11">
          <cell r="B11">
            <v>3660311220805</v>
          </cell>
          <cell r="C11" t="str">
            <v>Ashar Zhaid</v>
          </cell>
          <cell r="D11" t="str">
            <v>Sanitation Attendant</v>
          </cell>
          <cell r="E11">
            <v>46023</v>
          </cell>
          <cell r="F11" t="str">
            <v>STOG Shadman</v>
          </cell>
          <cell r="G11" t="str">
            <v>02270010157430480015</v>
          </cell>
        </row>
        <row r="12">
          <cell r="B12">
            <v>3520296524089</v>
          </cell>
          <cell r="C12" t="str">
            <v>Shafaqat Masih</v>
          </cell>
          <cell r="D12" t="str">
            <v>Sanitation Attendant</v>
          </cell>
          <cell r="E12">
            <v>46028</v>
          </cell>
          <cell r="F12" t="str">
            <v>STOG Kotha Pind Faisal Town</v>
          </cell>
          <cell r="G12" t="str">
            <v>01530010158260660010</v>
          </cell>
        </row>
        <row r="13">
          <cell r="B13">
            <v>3510334489957</v>
          </cell>
          <cell r="C13" t="str">
            <v>Muhammad Arshad</v>
          </cell>
          <cell r="D13" t="str">
            <v>Sanitation Attendant</v>
          </cell>
          <cell r="E13">
            <v>46053</v>
          </cell>
          <cell r="F13" t="str">
            <v>STOG Awan Town</v>
          </cell>
          <cell r="G13" t="str">
            <v>05380010159548160010</v>
          </cell>
        </row>
        <row r="14">
          <cell r="B14">
            <v>3520279215099</v>
          </cell>
          <cell r="C14" t="str">
            <v>Ihtisham Shafqat</v>
          </cell>
          <cell r="D14" t="str">
            <v>Sanitation Attendant</v>
          </cell>
          <cell r="E14">
            <v>46058</v>
          </cell>
          <cell r="F14" t="str">
            <v>STOG Kharak Nalla</v>
          </cell>
          <cell r="G14" t="str">
            <v>05380010160109660025</v>
          </cell>
        </row>
        <row r="15">
          <cell r="B15">
            <v>3520259722217</v>
          </cell>
          <cell r="C15" t="str">
            <v>Ishfaq Ahmad</v>
          </cell>
          <cell r="D15" t="str">
            <v>Security &amp; Parking Attendant</v>
          </cell>
          <cell r="E15">
            <v>46058</v>
          </cell>
          <cell r="F15" t="str">
            <v>SB Thokar</v>
          </cell>
          <cell r="G15" t="str">
            <v>02880010160327370017</v>
          </cell>
        </row>
        <row r="16">
          <cell r="B16">
            <v>3630187324539</v>
          </cell>
          <cell r="C16" t="str">
            <v>Jahanzaib Riaz</v>
          </cell>
          <cell r="D16" t="str">
            <v>Sanitation Attendant</v>
          </cell>
          <cell r="E16">
            <v>46062</v>
          </cell>
          <cell r="F16" t="str">
            <v>SB Jallalpur Pirwala</v>
          </cell>
          <cell r="G16" t="str">
            <v>06390010159880880014</v>
          </cell>
        </row>
        <row r="17">
          <cell r="B17">
            <v>3630162806959</v>
          </cell>
          <cell r="C17" t="str">
            <v>Muhammad Ijaz</v>
          </cell>
          <cell r="D17" t="str">
            <v>Sanitation Attendant</v>
          </cell>
          <cell r="E17">
            <v>46062</v>
          </cell>
          <cell r="F17" t="str">
            <v>SB Jallalpur Pirwala</v>
          </cell>
          <cell r="G17" t="str">
            <v>06390010159983980010</v>
          </cell>
        </row>
        <row r="18">
          <cell r="B18">
            <v>3630127695883</v>
          </cell>
          <cell r="C18" t="str">
            <v>Abdul Razzaq Khan</v>
          </cell>
          <cell r="D18" t="str">
            <v>Sanitation Attendant</v>
          </cell>
          <cell r="E18">
            <v>46063</v>
          </cell>
          <cell r="F18" t="str">
            <v>SB Jallalpur Pirwala</v>
          </cell>
          <cell r="G18" t="str">
            <v>06390010160044440015</v>
          </cell>
        </row>
        <row r="19">
          <cell r="B19">
            <v>3620349884337</v>
          </cell>
          <cell r="C19" t="str">
            <v>Muhammad Sajid</v>
          </cell>
          <cell r="D19" t="str">
            <v>Sanitation Attendant</v>
          </cell>
          <cell r="E19">
            <v>46064</v>
          </cell>
          <cell r="F19" t="str">
            <v>SB Jallalpur Pirwala</v>
          </cell>
          <cell r="G19" t="str">
            <v>06390010160305360012</v>
          </cell>
        </row>
        <row r="20">
          <cell r="B20">
            <v>3640283232529</v>
          </cell>
          <cell r="C20" t="str">
            <v>Muhammad Sadiq</v>
          </cell>
          <cell r="D20" t="str">
            <v>Security &amp; Parking Attendant</v>
          </cell>
          <cell r="E20">
            <v>46064</v>
          </cell>
          <cell r="F20" t="str">
            <v>SB Jallalpur Pirwala</v>
          </cell>
          <cell r="G20" t="str">
            <v>06390010110660670019</v>
          </cell>
        </row>
        <row r="21">
          <cell r="B21">
            <v>3630461614357</v>
          </cell>
          <cell r="C21" t="str">
            <v>Muhammad Rafay</v>
          </cell>
          <cell r="D21" t="str">
            <v>Sanitation Attendant</v>
          </cell>
          <cell r="E21">
            <v>46065</v>
          </cell>
          <cell r="F21" t="str">
            <v>SB Khanewal</v>
          </cell>
          <cell r="G21" t="str">
            <v>52010020160743330019</v>
          </cell>
        </row>
        <row r="22">
          <cell r="B22">
            <v>3630397876343</v>
          </cell>
          <cell r="C22" t="str">
            <v>Muhammad Ishtiaq</v>
          </cell>
          <cell r="D22" t="str">
            <v>Sanitation Attendant</v>
          </cell>
          <cell r="E22">
            <v>46065</v>
          </cell>
          <cell r="F22" t="str">
            <v>SB Khanewal</v>
          </cell>
          <cell r="G22" t="str">
            <v>10650010088387470011</v>
          </cell>
        </row>
        <row r="23">
          <cell r="B23">
            <v>3550106231627</v>
          </cell>
          <cell r="C23" t="str">
            <v>Arslan Masih</v>
          </cell>
          <cell r="D23" t="str">
            <v>Sanitation Attendant</v>
          </cell>
          <cell r="E23">
            <v>46065</v>
          </cell>
          <cell r="F23" t="str">
            <v>SB Mandi Faizabad</v>
          </cell>
          <cell r="G23" t="str">
            <v>02000010160363080012</v>
          </cell>
        </row>
        <row r="24">
          <cell r="B24">
            <v>3540220087737</v>
          </cell>
          <cell r="C24" t="str">
            <v>Boota Masih</v>
          </cell>
          <cell r="D24" t="str">
            <v>Sanitation Attendant</v>
          </cell>
          <cell r="E24">
            <v>46065</v>
          </cell>
          <cell r="F24" t="str">
            <v>SB Mandi Faizabad</v>
          </cell>
          <cell r="G24" t="str">
            <v>02000010160732500014</v>
          </cell>
        </row>
        <row r="25">
          <cell r="B25">
            <v>3640138509823</v>
          </cell>
          <cell r="C25" t="str">
            <v>Syed Shahzad Hussain</v>
          </cell>
          <cell r="D25" t="str">
            <v>Security &amp; Parking Attendant</v>
          </cell>
          <cell r="E25">
            <v>46065</v>
          </cell>
          <cell r="F25" t="str">
            <v>SB Jallalpur Pirwala</v>
          </cell>
          <cell r="G25" t="str">
            <v>06390010160781070010</v>
          </cell>
        </row>
        <row r="26">
          <cell r="B26">
            <v>3660139714143</v>
          </cell>
          <cell r="C26" t="str">
            <v>Rehan Akram</v>
          </cell>
          <cell r="D26" t="str">
            <v>Security &amp; Parking Attendant</v>
          </cell>
          <cell r="E26">
            <v>46066</v>
          </cell>
          <cell r="F26" t="str">
            <v>SB Burewala</v>
          </cell>
          <cell r="G26" t="str">
            <v>53760020159861910011</v>
          </cell>
        </row>
        <row r="27">
          <cell r="B27">
            <v>3830288287241</v>
          </cell>
          <cell r="C27" t="str">
            <v>Muhammad Junaid</v>
          </cell>
          <cell r="D27" t="str">
            <v>Security &amp; Parking Attendant</v>
          </cell>
          <cell r="E27">
            <v>46066</v>
          </cell>
          <cell r="F27" t="str">
            <v>SB Chakwal</v>
          </cell>
          <cell r="G27" t="str">
            <v>51340020161162870014</v>
          </cell>
        </row>
        <row r="28">
          <cell r="B28">
            <v>3520297485141</v>
          </cell>
          <cell r="C28" t="str">
            <v>Sharjeel Ahmad</v>
          </cell>
          <cell r="D28" t="str">
            <v>Security &amp; Parking Attendant</v>
          </cell>
          <cell r="E28">
            <v>46066</v>
          </cell>
          <cell r="F28" t="str">
            <v>STOG Ferozwala</v>
          </cell>
          <cell r="G28" t="str">
            <v>14210010160181910010</v>
          </cell>
        </row>
        <row r="29">
          <cell r="B29">
            <v>3460239456735</v>
          </cell>
          <cell r="C29" t="str">
            <v>Jawad Sarwar</v>
          </cell>
          <cell r="D29" t="str">
            <v>Security &amp; Parking Attendant</v>
          </cell>
          <cell r="E29">
            <v>46066</v>
          </cell>
          <cell r="F29" t="str">
            <v>SB Sialkot</v>
          </cell>
          <cell r="G29" t="str">
            <v>51040020160485380016</v>
          </cell>
        </row>
        <row r="30">
          <cell r="B30">
            <v>3450119476461</v>
          </cell>
          <cell r="C30" t="str">
            <v>Nabeel Ahmed</v>
          </cell>
          <cell r="D30" t="str">
            <v>Security &amp; Parking Attendant</v>
          </cell>
          <cell r="E30">
            <v>46066</v>
          </cell>
          <cell r="F30" t="str">
            <v>SB Sialkot</v>
          </cell>
          <cell r="G30" t="str">
            <v>51870020160349420010</v>
          </cell>
        </row>
        <row r="31">
          <cell r="B31">
            <v>3630344859439</v>
          </cell>
          <cell r="C31" t="str">
            <v>Muhammad Tariq Zafar</v>
          </cell>
          <cell r="D31" t="str">
            <v>Security &amp; Parking Attendant</v>
          </cell>
          <cell r="E31">
            <v>46066</v>
          </cell>
          <cell r="F31" t="str">
            <v>SB Jallalpur Pirwala</v>
          </cell>
          <cell r="G31" t="str">
            <v>06390010106606480017</v>
          </cell>
        </row>
        <row r="32">
          <cell r="B32">
            <v>3830304455041</v>
          </cell>
          <cell r="C32" t="str">
            <v>Muhammad Farooq</v>
          </cell>
          <cell r="D32" t="str">
            <v>Security &amp; Parking Attendant</v>
          </cell>
          <cell r="E32">
            <v>46066</v>
          </cell>
          <cell r="F32" t="str">
            <v>SB Mianwali</v>
          </cell>
          <cell r="G32" t="str">
            <v>02630010159933120013</v>
          </cell>
        </row>
        <row r="33">
          <cell r="B33">
            <v>3830197279841</v>
          </cell>
          <cell r="C33" t="str">
            <v>Syed Muhammad Aizaz Haider Shah</v>
          </cell>
          <cell r="D33" t="str">
            <v>Security &amp; Parking Attendant</v>
          </cell>
          <cell r="E33">
            <v>46066</v>
          </cell>
          <cell r="F33" t="str">
            <v>SB Mianwali</v>
          </cell>
          <cell r="G33" t="str">
            <v>02630010159986740012</v>
          </cell>
        </row>
        <row r="34">
          <cell r="B34">
            <v>3110115921787</v>
          </cell>
          <cell r="C34" t="str">
            <v>Muhammad Khalid Asim</v>
          </cell>
          <cell r="D34" t="str">
            <v>Security &amp; Parking Attendant</v>
          </cell>
          <cell r="E34">
            <v>46067</v>
          </cell>
          <cell r="F34" t="str">
            <v>SB Jallalpur Pirwala</v>
          </cell>
          <cell r="G34" t="str">
            <v>06390010159928950017</v>
          </cell>
        </row>
        <row r="35">
          <cell r="B35">
            <v>3630264254247</v>
          </cell>
          <cell r="C35" t="str">
            <v>Muhammad Zaffar</v>
          </cell>
          <cell r="D35" t="str">
            <v>Security &amp; Parking Attendant</v>
          </cell>
          <cell r="E35">
            <v>46067</v>
          </cell>
          <cell r="F35" t="str">
            <v>SB Jallalpur Pirwala</v>
          </cell>
          <cell r="G35" t="str">
            <v>06390010159930220012</v>
          </cell>
        </row>
        <row r="36">
          <cell r="B36">
            <v>3120247275759</v>
          </cell>
          <cell r="C36" t="str">
            <v>Shahid Masih</v>
          </cell>
          <cell r="D36" t="str">
            <v>Sanitation Attendant</v>
          </cell>
          <cell r="E36">
            <v>46068</v>
          </cell>
          <cell r="F36" t="str">
            <v>SB Bahawalpur</v>
          </cell>
          <cell r="G36" t="str">
            <v>12140010130709520013</v>
          </cell>
        </row>
        <row r="37">
          <cell r="B37">
            <v>3520229426447</v>
          </cell>
          <cell r="C37" t="str">
            <v>Toushal Masih</v>
          </cell>
          <cell r="D37" t="str">
            <v>Sanitation Attendant</v>
          </cell>
          <cell r="E37">
            <v>46068</v>
          </cell>
          <cell r="F37" t="str">
            <v>STOG Ferozwala</v>
          </cell>
          <cell r="G37" t="str">
            <v>14210010160672740019</v>
          </cell>
        </row>
        <row r="38">
          <cell r="B38">
            <v>3520181665611</v>
          </cell>
          <cell r="C38" t="str">
            <v>Shahid Masih</v>
          </cell>
          <cell r="D38" t="str">
            <v>Sanitation Attendant</v>
          </cell>
          <cell r="E38">
            <v>46068</v>
          </cell>
          <cell r="F38" t="str">
            <v>SB Nishter Town</v>
          </cell>
          <cell r="G38" t="str">
            <v>05980010162087170018</v>
          </cell>
        </row>
        <row r="39">
          <cell r="B39">
            <v>3520110960633</v>
          </cell>
          <cell r="C39" t="str">
            <v>Wasim</v>
          </cell>
          <cell r="D39" t="str">
            <v>Sanitation Attendant</v>
          </cell>
          <cell r="E39">
            <v>46069</v>
          </cell>
          <cell r="F39" t="str">
            <v>STOG Barki Road</v>
          </cell>
          <cell r="G39" t="str">
            <v>10210010126141540014</v>
          </cell>
        </row>
        <row r="40">
          <cell r="B40">
            <v>3430177808319</v>
          </cell>
          <cell r="C40" t="str">
            <v>Awais Abbas</v>
          </cell>
          <cell r="D40" t="str">
            <v>Sanitation Attendant</v>
          </cell>
          <cell r="E40">
            <v>46069</v>
          </cell>
          <cell r="F40" t="str">
            <v>SB Bhera</v>
          </cell>
          <cell r="G40" t="str">
            <v>06150010160765300017</v>
          </cell>
        </row>
        <row r="41">
          <cell r="B41">
            <v>3520215235111</v>
          </cell>
          <cell r="C41" t="str">
            <v>Aslam Masih</v>
          </cell>
          <cell r="D41" t="str">
            <v>Sanitation Attendant</v>
          </cell>
          <cell r="E41">
            <v>46069</v>
          </cell>
          <cell r="F41" t="str">
            <v>STOG Madr-e-Millat</v>
          </cell>
          <cell r="G41" t="str">
            <v>02880010159735970010</v>
          </cell>
        </row>
        <row r="42">
          <cell r="B42">
            <v>3110205344179</v>
          </cell>
          <cell r="C42" t="str">
            <v>Muhammad Amir</v>
          </cell>
          <cell r="D42" t="str">
            <v>Security &amp; Parking Attendant</v>
          </cell>
          <cell r="E42">
            <v>46069</v>
          </cell>
          <cell r="F42" t="str">
            <v>SB Burewala</v>
          </cell>
          <cell r="G42" t="str">
            <v>00540010160478910014</v>
          </cell>
        </row>
        <row r="43">
          <cell r="B43">
            <v>3830296721613</v>
          </cell>
          <cell r="C43" t="str">
            <v>Rana Hassan Iqbal</v>
          </cell>
          <cell r="D43" t="str">
            <v>Security &amp; Parking Attendant</v>
          </cell>
          <cell r="E43">
            <v>46069</v>
          </cell>
          <cell r="F43" t="str">
            <v>SB Chiniot</v>
          </cell>
          <cell r="G43" t="str">
            <v>04990010050273270014</v>
          </cell>
        </row>
        <row r="44">
          <cell r="B44">
            <v>3610385488963</v>
          </cell>
          <cell r="C44" t="str">
            <v>Muhammad Ammar Javed</v>
          </cell>
          <cell r="D44" t="str">
            <v>Security &amp; Parking Attendant</v>
          </cell>
          <cell r="E44">
            <v>46069</v>
          </cell>
          <cell r="F44" t="str">
            <v>SB Khanewal</v>
          </cell>
          <cell r="G44" t="str">
            <v>09410010160204500019</v>
          </cell>
        </row>
        <row r="45">
          <cell r="B45">
            <v>3630206148081</v>
          </cell>
          <cell r="C45" t="str">
            <v>Zeeshan Raza Adil</v>
          </cell>
          <cell r="D45" t="str">
            <v>Security &amp; Parking Attendant</v>
          </cell>
          <cell r="E45">
            <v>46069</v>
          </cell>
          <cell r="F45" t="str">
            <v>SB Jallalpur Pirwala</v>
          </cell>
          <cell r="G45" t="str">
            <v>06390010160312980011</v>
          </cell>
        </row>
        <row r="46">
          <cell r="B46">
            <v>3310474421229</v>
          </cell>
          <cell r="C46" t="str">
            <v>Umair Farooq</v>
          </cell>
          <cell r="D46" t="str">
            <v>Security &amp; Parking Attendant</v>
          </cell>
          <cell r="E46">
            <v>46069</v>
          </cell>
          <cell r="F46" t="str">
            <v>SB Mandi Faizabad</v>
          </cell>
          <cell r="G46" t="str">
            <v>02000010160081920010</v>
          </cell>
        </row>
        <row r="47">
          <cell r="B47">
            <v>3310443674283</v>
          </cell>
          <cell r="C47" t="str">
            <v>Muhammad Irfan</v>
          </cell>
          <cell r="D47" t="str">
            <v>Security &amp; Parking Attendant</v>
          </cell>
          <cell r="E47">
            <v>46069</v>
          </cell>
          <cell r="F47" t="str">
            <v>SB Mandi Faizabad</v>
          </cell>
          <cell r="G47" t="str">
            <v>01210010096297320010</v>
          </cell>
        </row>
        <row r="48">
          <cell r="B48">
            <v>3520221980369</v>
          </cell>
          <cell r="C48" t="str">
            <v>Muhammad Usman</v>
          </cell>
          <cell r="D48" t="str">
            <v>Security &amp; Parking Attendant</v>
          </cell>
          <cell r="E48">
            <v>46069</v>
          </cell>
          <cell r="F48" t="str">
            <v>SB Nishter Town</v>
          </cell>
          <cell r="G48" t="str">
            <v>09440010160452390017</v>
          </cell>
        </row>
        <row r="49">
          <cell r="B49">
            <v>3520216152093</v>
          </cell>
          <cell r="C49" t="str">
            <v>Muhammad Bilal</v>
          </cell>
          <cell r="D49" t="str">
            <v>Security &amp; Parking Attendant</v>
          </cell>
          <cell r="E49">
            <v>46069</v>
          </cell>
          <cell r="F49" t="str">
            <v>SB Nishter Town</v>
          </cell>
          <cell r="G49" t="str">
            <v>51470020154008170019</v>
          </cell>
        </row>
        <row r="50">
          <cell r="B50">
            <v>3530117046439</v>
          </cell>
          <cell r="C50" t="str">
            <v>Rizwan Ahmad Khan</v>
          </cell>
          <cell r="D50" t="str">
            <v>Security &amp; Parking Attendant</v>
          </cell>
          <cell r="E50">
            <v>46069</v>
          </cell>
          <cell r="F50" t="str">
            <v>SB Nishter Town</v>
          </cell>
          <cell r="G50" t="str">
            <v>05980010052869070021</v>
          </cell>
        </row>
        <row r="51">
          <cell r="B51">
            <v>3520234089267</v>
          </cell>
          <cell r="C51" t="str">
            <v>Muhammad Suleman</v>
          </cell>
          <cell r="D51" t="str">
            <v>Security &amp; Parking Attendant</v>
          </cell>
          <cell r="E51">
            <v>46069</v>
          </cell>
          <cell r="F51" t="str">
            <v>SB Nishter Town</v>
          </cell>
          <cell r="G51" t="str">
            <v>05980010160550680017</v>
          </cell>
        </row>
        <row r="52">
          <cell r="B52">
            <v>3620107422361</v>
          </cell>
          <cell r="C52" t="str">
            <v>Allah Rakha</v>
          </cell>
          <cell r="D52" t="str">
            <v>Sanitation Attendant</v>
          </cell>
          <cell r="E52">
            <v>46070</v>
          </cell>
          <cell r="F52" t="str">
            <v>STOG Barki Road</v>
          </cell>
          <cell r="G52" t="str">
            <v>16050010160580950012</v>
          </cell>
        </row>
        <row r="53">
          <cell r="B53">
            <v>3820112039145</v>
          </cell>
          <cell r="C53" t="str">
            <v>Muhammad Ramzan</v>
          </cell>
          <cell r="D53" t="str">
            <v>Sanitation Attendant</v>
          </cell>
          <cell r="E53">
            <v>46070</v>
          </cell>
          <cell r="F53" t="str">
            <v>SB Khushab</v>
          </cell>
          <cell r="G53" t="str">
            <v>01220020160808520015</v>
          </cell>
        </row>
        <row r="54">
          <cell r="B54">
            <v>3620348424619</v>
          </cell>
          <cell r="C54" t="str">
            <v xml:space="preserve">Muhammad Shahid  </v>
          </cell>
          <cell r="D54" t="str">
            <v>Sanitation Attendant</v>
          </cell>
          <cell r="E54">
            <v>46070</v>
          </cell>
          <cell r="F54" t="str">
            <v>SB Lodhran</v>
          </cell>
          <cell r="G54" t="str">
            <v>08390010160203640013</v>
          </cell>
        </row>
        <row r="55">
          <cell r="B55">
            <v>6110162634313</v>
          </cell>
          <cell r="C55" t="str">
            <v>Shan Arif</v>
          </cell>
          <cell r="D55" t="str">
            <v>Sanitation Attendant</v>
          </cell>
          <cell r="E55">
            <v>46070</v>
          </cell>
          <cell r="F55" t="str">
            <v>SB Rawalpindi</v>
          </cell>
          <cell r="G55" t="str">
            <v>06130010085719180020</v>
          </cell>
        </row>
        <row r="56">
          <cell r="B56">
            <v>3530174125715</v>
          </cell>
          <cell r="C56" t="str">
            <v xml:space="preserve">Muhammad Shahid  </v>
          </cell>
          <cell r="D56" t="str">
            <v>Sanitation Attendant</v>
          </cell>
          <cell r="E56">
            <v>46070</v>
          </cell>
          <cell r="F56" t="str">
            <v>SB Thokar</v>
          </cell>
          <cell r="G56" t="str">
            <v>51010020145148800015</v>
          </cell>
        </row>
        <row r="57">
          <cell r="B57">
            <v>3520154208801</v>
          </cell>
          <cell r="C57" t="str">
            <v>Muhammad Talha Kaleem</v>
          </cell>
          <cell r="D57" t="str">
            <v>Security &amp; Parking Attendant</v>
          </cell>
          <cell r="E57">
            <v>46070</v>
          </cell>
          <cell r="F57" t="str">
            <v>STOG Barki Road</v>
          </cell>
          <cell r="G57" t="str">
            <v>09340010090370660014</v>
          </cell>
        </row>
        <row r="58">
          <cell r="B58">
            <v>3540157151389</v>
          </cell>
          <cell r="C58" t="str">
            <v>Muhammad Hamid Iqbal</v>
          </cell>
          <cell r="D58" t="str">
            <v>Security &amp; Parking Attendant</v>
          </cell>
          <cell r="E58">
            <v>46070</v>
          </cell>
          <cell r="F58" t="str">
            <v>STOG Ferozwala</v>
          </cell>
          <cell r="G58" t="str">
            <v>08980010160219440013</v>
          </cell>
        </row>
        <row r="59">
          <cell r="B59">
            <v>3120185310833</v>
          </cell>
          <cell r="C59" t="str">
            <v>Usman Ramzan</v>
          </cell>
          <cell r="D59" t="str">
            <v>Security &amp; Parking Attendant</v>
          </cell>
          <cell r="E59">
            <v>46070</v>
          </cell>
          <cell r="F59" t="str">
            <v>STOG Barki Road</v>
          </cell>
          <cell r="G59" t="str">
            <v>16050010160609740013</v>
          </cell>
        </row>
        <row r="60">
          <cell r="B60">
            <v>3520134031493</v>
          </cell>
          <cell r="C60" t="str">
            <v>Rizwan Ali</v>
          </cell>
          <cell r="D60" t="str">
            <v>Security &amp; Parking Attendant</v>
          </cell>
          <cell r="E60">
            <v>46070</v>
          </cell>
          <cell r="F60" t="str">
            <v>STOG Ferozwala</v>
          </cell>
          <cell r="G60" t="str">
            <v>02130010159968730016</v>
          </cell>
        </row>
        <row r="61">
          <cell r="B61">
            <v>3650267351397</v>
          </cell>
          <cell r="C61" t="str">
            <v>Ali Raza</v>
          </cell>
          <cell r="D61" t="str">
            <v>Security &amp; Parking Attendant</v>
          </cell>
          <cell r="E61">
            <v>46070</v>
          </cell>
          <cell r="F61" t="str">
            <v>SB Jarranwala</v>
          </cell>
          <cell r="G61" t="str">
            <v>53680020160500240019</v>
          </cell>
        </row>
        <row r="62">
          <cell r="B62">
            <v>3320245208571</v>
          </cell>
          <cell r="C62" t="str">
            <v xml:space="preserve">Mubshar Iqbal </v>
          </cell>
          <cell r="D62" t="str">
            <v>Security &amp; Parking Attendant</v>
          </cell>
          <cell r="E62">
            <v>46070</v>
          </cell>
          <cell r="F62" t="str">
            <v>SB Jarranwala</v>
          </cell>
          <cell r="G62" t="str">
            <v>53680020160498680016</v>
          </cell>
        </row>
        <row r="63">
          <cell r="B63">
            <v>3130405909405</v>
          </cell>
          <cell r="C63" t="str">
            <v>Tanveer Hussain</v>
          </cell>
          <cell r="D63" t="str">
            <v>Security &amp; Parking Attendant</v>
          </cell>
          <cell r="E63">
            <v>46070</v>
          </cell>
          <cell r="F63" t="str">
            <v>SB Bahawalpur</v>
          </cell>
          <cell r="G63" t="str">
            <v>09320010160160300014</v>
          </cell>
        </row>
        <row r="64">
          <cell r="B64">
            <v>3320213881011</v>
          </cell>
          <cell r="C64" t="str">
            <v>Muhammad Umar</v>
          </cell>
          <cell r="D64" t="str">
            <v>Security &amp; Parking Attendant</v>
          </cell>
          <cell r="E64">
            <v>46070</v>
          </cell>
          <cell r="F64" t="str">
            <v>SB Sharaqpur</v>
          </cell>
          <cell r="G64" t="str">
            <v>05200010159926210012</v>
          </cell>
        </row>
        <row r="65">
          <cell r="B65">
            <v>3520158261375</v>
          </cell>
          <cell r="C65" t="str">
            <v>Muhammad Awais</v>
          </cell>
          <cell r="D65" t="str">
            <v>Security &amp; Parking Attendant</v>
          </cell>
          <cell r="E65">
            <v>46070</v>
          </cell>
          <cell r="F65" t="str">
            <v>SB Sher Sha Colony</v>
          </cell>
          <cell r="G65" t="str">
            <v>13860010160126500014</v>
          </cell>
        </row>
        <row r="66">
          <cell r="B66">
            <v>3430109344857</v>
          </cell>
          <cell r="C66" t="str">
            <v>Saif Ullah</v>
          </cell>
          <cell r="D66" t="str">
            <v>Security &amp; Parking Attendant</v>
          </cell>
          <cell r="E66">
            <v>46070</v>
          </cell>
          <cell r="F66" t="str">
            <v>SB Wazirabad</v>
          </cell>
          <cell r="G66" t="str">
            <v>05650010160289940014</v>
          </cell>
        </row>
        <row r="67">
          <cell r="B67">
            <v>3430140911339</v>
          </cell>
          <cell r="C67" t="str">
            <v>Kashif Masih</v>
          </cell>
          <cell r="D67" t="str">
            <v>Sanitation Attendant</v>
          </cell>
          <cell r="E67">
            <v>46071</v>
          </cell>
          <cell r="F67" t="str">
            <v>SB Hafizabad</v>
          </cell>
          <cell r="G67" t="str">
            <v>07940010160676080014</v>
          </cell>
        </row>
        <row r="68">
          <cell r="B68">
            <v>3520127888451</v>
          </cell>
          <cell r="C68" t="str">
            <v>Sajid Ali</v>
          </cell>
          <cell r="D68" t="str">
            <v>Sanitation Attendant</v>
          </cell>
          <cell r="E68">
            <v>46071</v>
          </cell>
          <cell r="F68" t="str">
            <v>SB Harbanspura</v>
          </cell>
          <cell r="G68" t="str">
            <v>01260010160464350018</v>
          </cell>
        </row>
        <row r="69">
          <cell r="B69">
            <v>3830245587383</v>
          </cell>
          <cell r="C69" t="str">
            <v>Muhammad Daniyal Khan</v>
          </cell>
          <cell r="D69" t="str">
            <v>Sanitation Attendant</v>
          </cell>
          <cell r="E69">
            <v>46071</v>
          </cell>
          <cell r="F69" t="str">
            <v>SB Mianwali</v>
          </cell>
          <cell r="G69" t="str">
            <v>02630010156289380010</v>
          </cell>
        </row>
        <row r="70">
          <cell r="B70">
            <v>3830211947591</v>
          </cell>
          <cell r="C70" t="str">
            <v>Muhammad Raees</v>
          </cell>
          <cell r="D70" t="str">
            <v>Sanitation Attendant</v>
          </cell>
          <cell r="E70">
            <v>46071</v>
          </cell>
          <cell r="F70" t="str">
            <v>SB Mianwali</v>
          </cell>
          <cell r="G70" t="str">
            <v>02630010160160710014</v>
          </cell>
        </row>
        <row r="71">
          <cell r="B71">
            <v>3520403688289</v>
          </cell>
          <cell r="C71" t="str">
            <v>Jabar Ali</v>
          </cell>
          <cell r="D71" t="str">
            <v>Sanitation Attendant</v>
          </cell>
          <cell r="E71">
            <v>46071</v>
          </cell>
          <cell r="F71" t="str">
            <v>SB Chung</v>
          </cell>
          <cell r="G71" t="str">
            <v>09650010160733000015</v>
          </cell>
        </row>
        <row r="72">
          <cell r="B72">
            <v>3810176878339</v>
          </cell>
          <cell r="C72" t="str">
            <v>Safeer Abbas</v>
          </cell>
          <cell r="D72" t="str">
            <v>Security &amp; Parking Attendant</v>
          </cell>
          <cell r="E72">
            <v>46071</v>
          </cell>
          <cell r="F72" t="str">
            <v>SB Bhakar</v>
          </cell>
          <cell r="G72" t="str">
            <v>05030010160722070016</v>
          </cell>
        </row>
        <row r="73">
          <cell r="B73">
            <v>3840160750455</v>
          </cell>
          <cell r="C73" t="str">
            <v>Muhammad Naeem</v>
          </cell>
          <cell r="D73" t="str">
            <v>Security &amp; Parking Attendant</v>
          </cell>
          <cell r="E73">
            <v>46071</v>
          </cell>
          <cell r="F73" t="str">
            <v>SB Bhalwal</v>
          </cell>
          <cell r="G73" t="str">
            <v>00520010160108230016</v>
          </cell>
        </row>
        <row r="74">
          <cell r="B74">
            <v>3520266873322</v>
          </cell>
          <cell r="C74" t="str">
            <v>Hina Safdar</v>
          </cell>
          <cell r="D74" t="str">
            <v>Security &amp; Parking Attendant</v>
          </cell>
          <cell r="E74">
            <v>46071</v>
          </cell>
          <cell r="F74" t="str">
            <v>SB Wahdat Colony</v>
          </cell>
          <cell r="G74" t="str">
            <v>51210020160029300012</v>
          </cell>
        </row>
        <row r="75">
          <cell r="B75">
            <v>3420147610603</v>
          </cell>
          <cell r="C75" t="str">
            <v>Lucky Pervaiz</v>
          </cell>
          <cell r="D75" t="str">
            <v>Sanitation Attendant</v>
          </cell>
          <cell r="E75">
            <v>46072</v>
          </cell>
          <cell r="F75" t="str">
            <v>SB Gujrat</v>
          </cell>
          <cell r="G75" t="str">
            <v>51040020160471760012</v>
          </cell>
        </row>
        <row r="76">
          <cell r="B76">
            <v>3520285135633</v>
          </cell>
          <cell r="C76" t="str">
            <v>Amir Khan</v>
          </cell>
          <cell r="D76" t="str">
            <v>Sanitation Attendant</v>
          </cell>
          <cell r="E76">
            <v>46072</v>
          </cell>
          <cell r="F76" t="str">
            <v>STOG Manga Mandi</v>
          </cell>
          <cell r="G76" t="str">
            <v>07660010160759730015</v>
          </cell>
        </row>
        <row r="77">
          <cell r="B77">
            <v>3660137204694</v>
          </cell>
          <cell r="C77" t="str">
            <v>Shehnaz Shafi</v>
          </cell>
          <cell r="D77" t="str">
            <v>Security &amp; Parking Attendant</v>
          </cell>
          <cell r="E77">
            <v>46072</v>
          </cell>
          <cell r="F77" t="str">
            <v>SB Township</v>
          </cell>
          <cell r="G77" t="str">
            <v>14290010160574290010</v>
          </cell>
        </row>
        <row r="78">
          <cell r="B78">
            <v>3220393110641</v>
          </cell>
          <cell r="C78" t="str">
            <v>Abdul Samad Madni</v>
          </cell>
          <cell r="D78" t="str">
            <v>Sanitation Attendant</v>
          </cell>
          <cell r="E78">
            <v>46073</v>
          </cell>
          <cell r="F78" t="str">
            <v>SB Okara</v>
          </cell>
          <cell r="G78" t="str">
            <v>00430010160328880014</v>
          </cell>
        </row>
        <row r="79">
          <cell r="B79">
            <v>3620310536703</v>
          </cell>
          <cell r="C79" t="str">
            <v>Muhammad Asghar</v>
          </cell>
          <cell r="D79" t="str">
            <v>Security &amp; Parking Attendant</v>
          </cell>
          <cell r="E79">
            <v>46073</v>
          </cell>
          <cell r="F79" t="str">
            <v>SB Jallalpur Pirwala</v>
          </cell>
          <cell r="G79" t="str">
            <v>06390010160510930017</v>
          </cell>
        </row>
        <row r="80">
          <cell r="B80">
            <v>3520294842603</v>
          </cell>
          <cell r="C80" t="str">
            <v>Adeel Ilyas</v>
          </cell>
          <cell r="D80" t="str">
            <v>Sanitation Attendant</v>
          </cell>
          <cell r="E80">
            <v>46074</v>
          </cell>
          <cell r="F80" t="str">
            <v>STOG Ferozwala</v>
          </cell>
          <cell r="G80" t="str">
            <v>14210010160117380018</v>
          </cell>
        </row>
        <row r="81">
          <cell r="B81">
            <v>3540466417237</v>
          </cell>
          <cell r="C81" t="str">
            <v>Muhammad Aqib</v>
          </cell>
          <cell r="D81" t="str">
            <v>Security &amp; Parking Attendant</v>
          </cell>
          <cell r="E81">
            <v>46074</v>
          </cell>
          <cell r="F81" t="str">
            <v>SB Farooqabad</v>
          </cell>
          <cell r="G81" t="str">
            <v>06200010160590650012</v>
          </cell>
        </row>
        <row r="82">
          <cell r="B82">
            <v>3530219452843</v>
          </cell>
          <cell r="C82" t="str">
            <v>Iqbal Hussain</v>
          </cell>
          <cell r="D82" t="str">
            <v>Security &amp; Parking Attendant</v>
          </cell>
          <cell r="E82">
            <v>46074</v>
          </cell>
          <cell r="F82" t="str">
            <v>SB Okara</v>
          </cell>
          <cell r="G82" t="str">
            <v>09740010160602690014</v>
          </cell>
        </row>
        <row r="83">
          <cell r="B83">
            <v>3520233273275</v>
          </cell>
          <cell r="C83" t="str">
            <v>Shan Masih</v>
          </cell>
          <cell r="D83" t="str">
            <v>Sanitation Attendant</v>
          </cell>
          <cell r="E83">
            <v>46076</v>
          </cell>
          <cell r="F83" t="str">
            <v>STOG Manga Mandi</v>
          </cell>
          <cell r="G83" t="str">
            <v>07660010160772740019</v>
          </cell>
        </row>
        <row r="84">
          <cell r="B84">
            <v>3840349628117</v>
          </cell>
          <cell r="C84" t="str">
            <v>Muhammad Nawaz</v>
          </cell>
          <cell r="D84" t="str">
            <v>Sanitation Attendant</v>
          </cell>
          <cell r="E84">
            <v>46076</v>
          </cell>
          <cell r="F84" t="str">
            <v>SB Sargodha</v>
          </cell>
          <cell r="G84" t="str">
            <v>51300020160526330016</v>
          </cell>
        </row>
        <row r="85">
          <cell r="B85">
            <v>3540178844872</v>
          </cell>
          <cell r="C85" t="str">
            <v>Muzammal</v>
          </cell>
          <cell r="D85" t="str">
            <v>Sanitation Attendant</v>
          </cell>
          <cell r="E85">
            <v>46076</v>
          </cell>
          <cell r="F85" t="str">
            <v>SB Sharaqpur</v>
          </cell>
          <cell r="G85" t="str">
            <v>05200010160320170010</v>
          </cell>
        </row>
        <row r="86">
          <cell r="B86">
            <v>3660166606475</v>
          </cell>
          <cell r="C86" t="str">
            <v>Adil Masih</v>
          </cell>
          <cell r="D86" t="str">
            <v>Sanitation Attendant</v>
          </cell>
          <cell r="E86">
            <v>46077</v>
          </cell>
          <cell r="F86" t="str">
            <v>SB Chunian</v>
          </cell>
          <cell r="G86" t="str">
            <v>07870010076250330013</v>
          </cell>
        </row>
        <row r="87">
          <cell r="B87">
            <v>3220383691737</v>
          </cell>
          <cell r="C87" t="str">
            <v>Sameet</v>
          </cell>
          <cell r="D87" t="str">
            <v>Sanitation Attendant</v>
          </cell>
          <cell r="E87">
            <v>46078</v>
          </cell>
          <cell r="F87" t="str">
            <v>STOG Minor Road Layyah</v>
          </cell>
          <cell r="G87" t="str">
            <v>51400020038993410010</v>
          </cell>
        </row>
        <row r="88">
          <cell r="B88">
            <v>3220320735319</v>
          </cell>
          <cell r="C88" t="str">
            <v>Yousuf Hussain</v>
          </cell>
          <cell r="D88" t="str">
            <v>Security &amp; Parking Attendant</v>
          </cell>
          <cell r="E88">
            <v>46078</v>
          </cell>
          <cell r="F88" t="str">
            <v>STOG Minor Road Layyah</v>
          </cell>
          <cell r="G88" t="str">
            <v>51400020160838110010</v>
          </cell>
        </row>
        <row r="89">
          <cell r="B89">
            <v>3220311857769</v>
          </cell>
          <cell r="C89" t="str">
            <v>Muhamamd Matlob</v>
          </cell>
          <cell r="D89" t="str">
            <v>Security &amp; Parking Attendant</v>
          </cell>
          <cell r="E89">
            <v>46078</v>
          </cell>
          <cell r="F89" t="str">
            <v>STOG Minor Road Layyah</v>
          </cell>
          <cell r="G89" t="str">
            <v>51400020160854390016</v>
          </cell>
        </row>
        <row r="90">
          <cell r="B90">
            <v>3520241848819</v>
          </cell>
          <cell r="C90" t="str">
            <v>Amjad</v>
          </cell>
          <cell r="D90" t="str">
            <v>Sanitation Attendant</v>
          </cell>
          <cell r="E90">
            <v>46079</v>
          </cell>
          <cell r="F90" t="str">
            <v>SB Chung</v>
          </cell>
          <cell r="G90" t="str">
            <v>06010010160575570014</v>
          </cell>
        </row>
        <row r="91">
          <cell r="B91">
            <v>3520238026729</v>
          </cell>
          <cell r="C91" t="str">
            <v>Qasim</v>
          </cell>
          <cell r="D91" t="str">
            <v>Sanitation Attendant</v>
          </cell>
          <cell r="E91">
            <v>46079</v>
          </cell>
          <cell r="F91" t="str">
            <v>SB Chung</v>
          </cell>
          <cell r="G91" t="str">
            <v>05150010160812870010</v>
          </cell>
        </row>
        <row r="92">
          <cell r="B92">
            <v>3520272996981</v>
          </cell>
          <cell r="C92" t="str">
            <v>Salman</v>
          </cell>
          <cell r="D92" t="str">
            <v>Sanitation Attendant</v>
          </cell>
          <cell r="E92">
            <v>46079</v>
          </cell>
          <cell r="F92" t="str">
            <v>SB Chung</v>
          </cell>
          <cell r="G92" t="str">
            <v>06010010160573980015</v>
          </cell>
        </row>
        <row r="93">
          <cell r="B93">
            <v>3520272430591</v>
          </cell>
          <cell r="C93" t="str">
            <v>Hamayoun</v>
          </cell>
          <cell r="D93" t="str">
            <v>Sanitation Attendant</v>
          </cell>
          <cell r="E93">
            <v>46079</v>
          </cell>
          <cell r="F93" t="str">
            <v>STOG Ferozwala</v>
          </cell>
          <cell r="G93" t="str">
            <v>14210010160830730018</v>
          </cell>
        </row>
        <row r="94">
          <cell r="B94">
            <v>3420169170861</v>
          </cell>
          <cell r="C94" t="str">
            <v>Zeeshan Ahmed</v>
          </cell>
          <cell r="D94" t="str">
            <v>Security &amp; Parking Attendant</v>
          </cell>
          <cell r="E94">
            <v>46079</v>
          </cell>
          <cell r="F94" t="str">
            <v>SB Gujrat</v>
          </cell>
          <cell r="G94" t="str">
            <v>51040020160469520019</v>
          </cell>
        </row>
        <row r="95">
          <cell r="B95">
            <v>3550105938529</v>
          </cell>
          <cell r="C95" t="str">
            <v>Muhammad Aslam</v>
          </cell>
          <cell r="D95" t="str">
            <v>Security &amp; Parking Attendant</v>
          </cell>
          <cell r="E95">
            <v>46079</v>
          </cell>
          <cell r="F95" t="str">
            <v>SB Mandi Faizabad</v>
          </cell>
          <cell r="G95" t="str">
            <v>02000010160660430014</v>
          </cell>
        </row>
        <row r="96">
          <cell r="B96">
            <v>3330404565221</v>
          </cell>
          <cell r="C96" t="str">
            <v>Ali Ahmad</v>
          </cell>
          <cell r="D96" t="str">
            <v>Security &amp; Parking Attendant</v>
          </cell>
          <cell r="E96">
            <v>46079</v>
          </cell>
          <cell r="F96" t="str">
            <v>STOG Manga Mandi</v>
          </cell>
          <cell r="G96" t="str">
            <v>02880010160904130015</v>
          </cell>
        </row>
        <row r="97">
          <cell r="B97">
            <v>3520287549869</v>
          </cell>
          <cell r="C97" t="str">
            <v>Syed Muhammad Ali Sami</v>
          </cell>
          <cell r="D97" t="str">
            <v>Security &amp; Parking Attendant</v>
          </cell>
          <cell r="E97">
            <v>46079</v>
          </cell>
          <cell r="F97" t="str">
            <v>SB Sabzazaar</v>
          </cell>
          <cell r="G97" t="str">
            <v>07890010074744350014</v>
          </cell>
        </row>
        <row r="98">
          <cell r="B98">
            <v>3220341546897</v>
          </cell>
          <cell r="C98" t="str">
            <v>Aftab Daniyal</v>
          </cell>
          <cell r="D98" t="str">
            <v>Sanitation Attendant</v>
          </cell>
          <cell r="E98">
            <v>46080</v>
          </cell>
          <cell r="F98" t="str">
            <v>STOG Chowk Azam Layyah</v>
          </cell>
          <cell r="G98" t="str">
            <v>08050010160843390013</v>
          </cell>
        </row>
        <row r="99">
          <cell r="B99">
            <v>3520254499721</v>
          </cell>
          <cell r="C99" t="str">
            <v>Haroon Masih</v>
          </cell>
          <cell r="D99" t="str">
            <v>Sanitation Attendant</v>
          </cell>
          <cell r="E99">
            <v>46080</v>
          </cell>
          <cell r="F99" t="str">
            <v>SB Chung</v>
          </cell>
          <cell r="G99" t="str">
            <v>05150010160817550016</v>
          </cell>
        </row>
        <row r="100">
          <cell r="B100">
            <v>3310464954117</v>
          </cell>
          <cell r="C100" t="str">
            <v>Laazar Masih</v>
          </cell>
          <cell r="D100" t="str">
            <v>Sanitation Attendant</v>
          </cell>
          <cell r="E100">
            <v>46080</v>
          </cell>
          <cell r="F100" t="str">
            <v>SB Jarranwala</v>
          </cell>
          <cell r="G100" t="str">
            <v>53680020160604650017</v>
          </cell>
        </row>
        <row r="101">
          <cell r="B101">
            <v>3520403687273</v>
          </cell>
          <cell r="C101" t="str">
            <v>Kalash Aslam</v>
          </cell>
          <cell r="D101" t="str">
            <v>Sanitation Attendant</v>
          </cell>
          <cell r="E101">
            <v>46080</v>
          </cell>
          <cell r="F101" t="str">
            <v>STOG Manga Mandi</v>
          </cell>
          <cell r="G101" t="str">
            <v>07660010160585570012</v>
          </cell>
        </row>
        <row r="102">
          <cell r="B102">
            <v>3410484379315</v>
          </cell>
          <cell r="C102" t="str">
            <v>Salom</v>
          </cell>
          <cell r="D102" t="str">
            <v>Sanitation Attendant</v>
          </cell>
          <cell r="E102">
            <v>46080</v>
          </cell>
          <cell r="F102" t="str">
            <v>SB Sialkot</v>
          </cell>
          <cell r="G102" t="str">
            <v>09140010160770750019</v>
          </cell>
        </row>
        <row r="103">
          <cell r="B103">
            <v>3660197607257</v>
          </cell>
          <cell r="C103" t="str">
            <v>Muhammad Abbas</v>
          </cell>
          <cell r="D103" t="str">
            <v>Security &amp; Parking Attendant</v>
          </cell>
          <cell r="E103">
            <v>46080</v>
          </cell>
          <cell r="F103" t="str">
            <v>SB Burewala</v>
          </cell>
          <cell r="G103" t="str">
            <v>00540010160597140011</v>
          </cell>
        </row>
        <row r="104">
          <cell r="B104">
            <v>3830242535747</v>
          </cell>
          <cell r="C104" t="str">
            <v>Muhammad Naeem Ullah</v>
          </cell>
          <cell r="D104" t="str">
            <v>Security &amp; Parking Attendant</v>
          </cell>
          <cell r="E104">
            <v>46080</v>
          </cell>
          <cell r="F104" t="str">
            <v>SB Mianwali</v>
          </cell>
          <cell r="G104" t="str">
            <v>00540010160757670010</v>
          </cell>
        </row>
        <row r="105">
          <cell r="B105">
            <v>3220363401047</v>
          </cell>
          <cell r="C105" t="str">
            <v>Amir Nawaz</v>
          </cell>
          <cell r="D105" t="str">
            <v>Security &amp; Parking Attendant</v>
          </cell>
          <cell r="E105">
            <v>46080</v>
          </cell>
          <cell r="F105" t="str">
            <v>STOG Chowk Azam Layyah</v>
          </cell>
          <cell r="G105" t="str">
            <v>08050010093871620013</v>
          </cell>
        </row>
        <row r="106">
          <cell r="B106">
            <v>3220355245977</v>
          </cell>
          <cell r="C106" t="str">
            <v>Muhammad Waqas</v>
          </cell>
          <cell r="D106" t="str">
            <v>Security &amp; Parking Attendant</v>
          </cell>
          <cell r="E106">
            <v>46080</v>
          </cell>
          <cell r="F106" t="str">
            <v>STOG Chowk Azam Layyah</v>
          </cell>
          <cell r="G106" t="str">
            <v>08050010145951670010</v>
          </cell>
        </row>
        <row r="107">
          <cell r="B107">
            <v>3220374621785</v>
          </cell>
          <cell r="C107" t="str">
            <v>Muhammad Ashfaq</v>
          </cell>
          <cell r="D107" t="str">
            <v>Security &amp; Parking Attendant</v>
          </cell>
          <cell r="E107">
            <v>46080</v>
          </cell>
          <cell r="F107" t="str">
            <v>STOG Chowk Azam Layyah</v>
          </cell>
          <cell r="G107" t="str">
            <v>08050010160834220013</v>
          </cell>
        </row>
        <row r="108">
          <cell r="B108">
            <v>3310401525367</v>
          </cell>
          <cell r="C108" t="str">
            <v>Majid Ali</v>
          </cell>
          <cell r="D108" t="str">
            <v>Security &amp; Parking Attendant</v>
          </cell>
          <cell r="E108">
            <v>46080</v>
          </cell>
          <cell r="F108" t="str">
            <v>SB Jarranwala</v>
          </cell>
          <cell r="G108" t="str">
            <v>53680020160680070016</v>
          </cell>
        </row>
        <row r="109">
          <cell r="B109">
            <v>3510148169441</v>
          </cell>
          <cell r="C109" t="str">
            <v>Subhu Sadiq</v>
          </cell>
          <cell r="D109" t="str">
            <v>Security &amp; Parking Attendant</v>
          </cell>
          <cell r="E109">
            <v>46080</v>
          </cell>
          <cell r="F109" t="str">
            <v>SB Johar Town</v>
          </cell>
          <cell r="G109" t="str">
            <v>11880010160711720017</v>
          </cell>
        </row>
        <row r="110">
          <cell r="B110">
            <v>3520217098903</v>
          </cell>
          <cell r="C110" t="str">
            <v>Muhammad Kabeer</v>
          </cell>
          <cell r="D110" t="str">
            <v>Security &amp; Parking Attendant</v>
          </cell>
          <cell r="E110">
            <v>46080</v>
          </cell>
          <cell r="F110" t="str">
            <v>STOG Kharak Nalla</v>
          </cell>
          <cell r="G110" t="str">
            <v>05320010160829860010</v>
          </cell>
        </row>
        <row r="111">
          <cell r="B111">
            <v>3520263773381</v>
          </cell>
          <cell r="C111" t="str">
            <v>Adrees Farooq</v>
          </cell>
          <cell r="D111" t="str">
            <v>Security &amp; Parking Attendant</v>
          </cell>
          <cell r="E111">
            <v>46080</v>
          </cell>
          <cell r="F111" t="str">
            <v>SB Mandi Faizabad</v>
          </cell>
          <cell r="G111" t="str">
            <v>02240010160793120015</v>
          </cell>
        </row>
        <row r="112">
          <cell r="B112">
            <v>3520283712265</v>
          </cell>
          <cell r="C112" t="str">
            <v>Muhammad Anees Farooq</v>
          </cell>
          <cell r="D112" t="str">
            <v>Security &amp; Parking Attendant</v>
          </cell>
          <cell r="E112">
            <v>46080</v>
          </cell>
          <cell r="F112" t="str">
            <v>SB Mandi Faizabad</v>
          </cell>
          <cell r="G112" t="str">
            <v>02000010160762980012</v>
          </cell>
        </row>
        <row r="113">
          <cell r="B113">
            <v>3520280512505</v>
          </cell>
          <cell r="C113" t="str">
            <v>Mubashar Ali</v>
          </cell>
          <cell r="D113" t="str">
            <v>Security &amp; Parking Attendant</v>
          </cell>
          <cell r="E113">
            <v>46080</v>
          </cell>
          <cell r="F113" t="str">
            <v>SB Sher Sha Colony</v>
          </cell>
          <cell r="G113" t="str">
            <v>13860010160788410019</v>
          </cell>
        </row>
        <row r="114">
          <cell r="B114">
            <v>3220268345071</v>
          </cell>
          <cell r="C114" t="str">
            <v>Ifraheem Karel</v>
          </cell>
          <cell r="D114" t="str">
            <v>Sanitation Attendant</v>
          </cell>
          <cell r="E114">
            <v>46081</v>
          </cell>
          <cell r="F114" t="str">
            <v>STOG Fatehpur Layyah</v>
          </cell>
          <cell r="G114" t="str">
            <v>12100010160829150012</v>
          </cell>
        </row>
        <row r="115">
          <cell r="B115">
            <v>3220262144221</v>
          </cell>
          <cell r="C115" t="str">
            <v>Faisal Abbas</v>
          </cell>
          <cell r="D115" t="str">
            <v>Sanitation Attendant</v>
          </cell>
          <cell r="E115">
            <v>46081</v>
          </cell>
          <cell r="F115" t="str">
            <v>STOG Karor Lal Hassan</v>
          </cell>
          <cell r="G115" t="str">
            <v>06980010160837770016</v>
          </cell>
        </row>
        <row r="116">
          <cell r="B116">
            <v>3220218789573</v>
          </cell>
          <cell r="C116" t="str">
            <v>Sher Ali</v>
          </cell>
          <cell r="D116" t="str">
            <v>Sanitation Attendant</v>
          </cell>
          <cell r="E116">
            <v>46081</v>
          </cell>
          <cell r="F116" t="str">
            <v>STOG Karor Lal Hassan</v>
          </cell>
          <cell r="G116" t="str">
            <v>06980010160877530017</v>
          </cell>
        </row>
        <row r="117">
          <cell r="B117">
            <v>3660171102117</v>
          </cell>
          <cell r="C117" t="str">
            <v>Saeed Ahmad</v>
          </cell>
          <cell r="D117" t="str">
            <v>Security &amp; Parking Attendant</v>
          </cell>
          <cell r="E117">
            <v>46081</v>
          </cell>
          <cell r="F117" t="str">
            <v>SB Burewala</v>
          </cell>
          <cell r="G117" t="str">
            <v>00540010160562030012</v>
          </cell>
        </row>
        <row r="118">
          <cell r="B118">
            <v>3220232698843</v>
          </cell>
          <cell r="C118" t="str">
            <v>Muhammad Danish Ali</v>
          </cell>
          <cell r="D118" t="str">
            <v>Security &amp; Parking Attendant</v>
          </cell>
          <cell r="E118">
            <v>46081</v>
          </cell>
          <cell r="F118" t="str">
            <v>STOG Fatehpur Layyah</v>
          </cell>
          <cell r="G118" t="str">
            <v>12100010160892190014</v>
          </cell>
        </row>
        <row r="119">
          <cell r="B119">
            <v>3220225109843</v>
          </cell>
          <cell r="C119" t="str">
            <v>Muhammad Munir</v>
          </cell>
          <cell r="D119" t="str">
            <v>Security &amp; Parking Attendant</v>
          </cell>
          <cell r="E119">
            <v>46081</v>
          </cell>
          <cell r="F119" t="str">
            <v>STOG Fatehpur Layyah</v>
          </cell>
          <cell r="G119" t="str">
            <v>12100010160821070011</v>
          </cell>
        </row>
        <row r="120">
          <cell r="B120">
            <v>3220274989889</v>
          </cell>
          <cell r="C120" t="str">
            <v>Tariq Azam</v>
          </cell>
          <cell r="D120" t="str">
            <v>Security &amp; Parking Attendant</v>
          </cell>
          <cell r="E120">
            <v>46081</v>
          </cell>
          <cell r="F120" t="str">
            <v>STOG Karor Lal Hassan</v>
          </cell>
          <cell r="G120" t="str">
            <v>06980010160814170010</v>
          </cell>
        </row>
        <row r="121">
          <cell r="B121">
            <v>3220218834647</v>
          </cell>
          <cell r="C121" t="str">
            <v>Muhammad Shoaib Ashraf</v>
          </cell>
          <cell r="D121" t="str">
            <v>Security &amp; Parking Attendant</v>
          </cell>
          <cell r="E121">
            <v>46081</v>
          </cell>
          <cell r="F121" t="str">
            <v>STOG Karor Lal Hassan</v>
          </cell>
          <cell r="G121" t="str">
            <v>06980010160878340015</v>
          </cell>
        </row>
        <row r="122">
          <cell r="B122">
            <v>3520133645537</v>
          </cell>
          <cell r="C122" t="str">
            <v>Shamoon Masih</v>
          </cell>
          <cell r="D122" t="str">
            <v>Sanitation Attendant</v>
          </cell>
          <cell r="E122">
            <v>46054</v>
          </cell>
          <cell r="F122" t="str">
            <v>STOG Madina Market Township</v>
          </cell>
          <cell r="G122" t="str">
            <v>14180010157045590018</v>
          </cell>
        </row>
        <row r="123">
          <cell r="B123">
            <v>3510148458503</v>
          </cell>
          <cell r="C123" t="str">
            <v>Naveed Ashiq</v>
          </cell>
          <cell r="D123" t="str">
            <v>Sanitation Attendant</v>
          </cell>
          <cell r="E123">
            <v>46054</v>
          </cell>
          <cell r="F123" t="str">
            <v>STOG Madina Market Township</v>
          </cell>
          <cell r="G123" t="str">
            <v>14180010157337400014</v>
          </cell>
        </row>
        <row r="124">
          <cell r="B124">
            <v>3520271399167</v>
          </cell>
          <cell r="C124" t="str">
            <v>Vikram Masih</v>
          </cell>
          <cell r="D124" t="str">
            <v>Sanitation Attendant</v>
          </cell>
          <cell r="E124">
            <v>46054</v>
          </cell>
          <cell r="F124" t="str">
            <v>STOG Madina Market Township</v>
          </cell>
          <cell r="G124" t="str">
            <v>02880010144884540014</v>
          </cell>
        </row>
        <row r="125">
          <cell r="B125">
            <v>3310083020231</v>
          </cell>
          <cell r="C125" t="str">
            <v>Shahbaz Masih</v>
          </cell>
          <cell r="D125" t="str">
            <v>Sanitation Attendant</v>
          </cell>
          <cell r="E125">
            <v>46062</v>
          </cell>
          <cell r="F125" t="str">
            <v>SB Burewala</v>
          </cell>
          <cell r="G125" t="str">
            <v>00540010077357030010</v>
          </cell>
        </row>
        <row r="126">
          <cell r="B126">
            <v>3660157434809</v>
          </cell>
          <cell r="C126" t="str">
            <v>Abbas Masih</v>
          </cell>
          <cell r="D126" t="str">
            <v>Sanitation Attendant</v>
          </cell>
          <cell r="E126">
            <v>46062</v>
          </cell>
          <cell r="F126" t="str">
            <v>SB Burewala</v>
          </cell>
          <cell r="G126" t="str">
            <v>51260020160105010019</v>
          </cell>
        </row>
        <row r="127">
          <cell r="B127">
            <v>3660138173423</v>
          </cell>
          <cell r="C127" t="str">
            <v>Tanzeem Masih</v>
          </cell>
          <cell r="D127" t="str">
            <v>Sanitation Attendant</v>
          </cell>
          <cell r="E127">
            <v>46062</v>
          </cell>
          <cell r="F127" t="str">
            <v>SB Burewala</v>
          </cell>
          <cell r="G127" t="str">
            <v>00540010077356380010</v>
          </cell>
        </row>
        <row r="128">
          <cell r="B128">
            <v>3660189714757</v>
          </cell>
          <cell r="C128" t="str">
            <v xml:space="preserve">Raj </v>
          </cell>
          <cell r="D128" t="str">
            <v>Sanitation Attendant</v>
          </cell>
          <cell r="E128">
            <v>46065</v>
          </cell>
          <cell r="F128" t="str">
            <v>SB Burewala</v>
          </cell>
          <cell r="G128" t="str">
            <v>00540010160759540019</v>
          </cell>
        </row>
        <row r="129">
          <cell r="B129">
            <v>3650266194547</v>
          </cell>
          <cell r="C129" t="str">
            <v>Asif Masih</v>
          </cell>
          <cell r="D129" t="str">
            <v>Sanitation Attendant</v>
          </cell>
          <cell r="E129">
            <v>46068</v>
          </cell>
          <cell r="F129" t="str">
            <v>SB Sahiwal</v>
          </cell>
          <cell r="G129" t="str">
            <v>03530010032955920023</v>
          </cell>
        </row>
        <row r="130">
          <cell r="B130">
            <v>3520224068759</v>
          </cell>
          <cell r="C130" t="str">
            <v>Shan</v>
          </cell>
          <cell r="D130" t="str">
            <v>Sanitation Attendant</v>
          </cell>
          <cell r="E130">
            <v>46076</v>
          </cell>
          <cell r="F130" t="str">
            <v>SB Nishter Town</v>
          </cell>
          <cell r="G130" t="str">
            <v>05980010160981400018</v>
          </cell>
        </row>
        <row r="131">
          <cell r="B131">
            <v>3510281220783</v>
          </cell>
          <cell r="C131" t="str">
            <v>Farhan Aziz</v>
          </cell>
          <cell r="D131" t="str">
            <v>Security &amp; Parking Attendant</v>
          </cell>
          <cell r="E131">
            <v>46077</v>
          </cell>
          <cell r="F131" t="str">
            <v>STOG Barki Road</v>
          </cell>
          <cell r="G131" t="str">
            <v>16050010160793680013</v>
          </cell>
        </row>
        <row r="132">
          <cell r="B132">
            <v>3720193938787</v>
          </cell>
          <cell r="C132" t="str">
            <v>Musa</v>
          </cell>
          <cell r="D132" t="str">
            <v>Sanitation Attendant</v>
          </cell>
          <cell r="E132">
            <v>46078</v>
          </cell>
          <cell r="F132" t="str">
            <v>SB Chakwal</v>
          </cell>
          <cell r="G132" t="str">
            <v>51340020160956190010</v>
          </cell>
        </row>
        <row r="133">
          <cell r="B133">
            <v>3720113227879</v>
          </cell>
          <cell r="C133" t="str">
            <v>Boiz Kamran</v>
          </cell>
          <cell r="D133" t="str">
            <v>Sanitation Attendant</v>
          </cell>
          <cell r="E133">
            <v>46078</v>
          </cell>
          <cell r="F133" t="str">
            <v>SB Chakwal</v>
          </cell>
          <cell r="G133" t="str">
            <v>51340020135465110012</v>
          </cell>
        </row>
        <row r="134">
          <cell r="B134">
            <v>3520235568953</v>
          </cell>
          <cell r="C134" t="str">
            <v>Tahir Ali</v>
          </cell>
          <cell r="D134" t="str">
            <v>Security &amp; Parking Attendant</v>
          </cell>
          <cell r="E134">
            <v>46078</v>
          </cell>
          <cell r="F134" t="str">
            <v>SB Nishter Town</v>
          </cell>
          <cell r="G134" t="str">
            <v>02240010161024300013</v>
          </cell>
        </row>
        <row r="135">
          <cell r="B135">
            <v>3530219463011</v>
          </cell>
          <cell r="C135" t="str">
            <v>Sadi Ahmad</v>
          </cell>
          <cell r="D135" t="str">
            <v>Security &amp; Parking Attendant</v>
          </cell>
          <cell r="E135">
            <v>46079</v>
          </cell>
          <cell r="F135" t="str">
            <v>STOG Manga Mandi</v>
          </cell>
          <cell r="G135" t="str">
            <v>02880010158217990017</v>
          </cell>
        </row>
        <row r="136">
          <cell r="B136">
            <v>3520223553869</v>
          </cell>
          <cell r="C136" t="str">
            <v>Muhammad Ismail</v>
          </cell>
          <cell r="D136" t="str">
            <v>Sanitation Attendant</v>
          </cell>
          <cell r="E136">
            <v>46080</v>
          </cell>
          <cell r="F136" t="str">
            <v>SB Township</v>
          </cell>
          <cell r="G136" t="str">
            <v>01530010160863770012</v>
          </cell>
        </row>
        <row r="137">
          <cell r="B137">
            <v>3620143532457</v>
          </cell>
          <cell r="C137" t="str">
            <v>Muhammad Saeed</v>
          </cell>
          <cell r="D137" t="str">
            <v>Sanitation Attendant</v>
          </cell>
          <cell r="E137">
            <v>46080</v>
          </cell>
          <cell r="F137" t="str">
            <v>STOG Barki Road</v>
          </cell>
          <cell r="G137" t="str">
            <v>16050010160768070022</v>
          </cell>
        </row>
        <row r="138">
          <cell r="B138">
            <v>3220108179787</v>
          </cell>
          <cell r="C138" t="str">
            <v>Muhammad Ansar</v>
          </cell>
          <cell r="D138" t="str">
            <v>Sanitation Attendant</v>
          </cell>
          <cell r="E138">
            <v>46081</v>
          </cell>
          <cell r="F138" t="str">
            <v>STOG Fatehpur Layyah</v>
          </cell>
          <cell r="G138" t="str">
            <v>12100010160838260018</v>
          </cell>
        </row>
        <row r="139">
          <cell r="B139">
            <v>3520215011083</v>
          </cell>
          <cell r="C139" t="str">
            <v>Alisha</v>
          </cell>
          <cell r="D139" t="str">
            <v>Sanitation Attendant</v>
          </cell>
          <cell r="E139">
            <v>46081</v>
          </cell>
          <cell r="F139" t="str">
            <v>SB Johar Town</v>
          </cell>
          <cell r="G139" t="str">
            <v>02880010160852430015</v>
          </cell>
        </row>
        <row r="140">
          <cell r="B140">
            <v>3640266721317</v>
          </cell>
          <cell r="C140" t="str">
            <v>Umar Tanver</v>
          </cell>
          <cell r="D140" t="str">
            <v>Security &amp; Parking Attendant</v>
          </cell>
          <cell r="E140">
            <v>46082</v>
          </cell>
          <cell r="F140" t="str">
            <v>SB Johar Town</v>
          </cell>
          <cell r="G140" t="str">
            <v>02880010161025880014</v>
          </cell>
        </row>
        <row r="141">
          <cell r="B141">
            <v>3220305234969</v>
          </cell>
          <cell r="C141" t="str">
            <v>Muhammad Naeem</v>
          </cell>
          <cell r="D141" t="str">
            <v>Sanitation Attendant</v>
          </cell>
          <cell r="E141">
            <v>46083</v>
          </cell>
          <cell r="F141" t="str">
            <v>STOG Kot Sultan Layyah</v>
          </cell>
          <cell r="G141" t="str">
            <v>13060010161022330011</v>
          </cell>
        </row>
        <row r="142">
          <cell r="B142">
            <v>3840397889057</v>
          </cell>
          <cell r="C142" t="str">
            <v>Muhammad Tanveer</v>
          </cell>
          <cell r="D142" t="str">
            <v>Sanitation Attendant</v>
          </cell>
          <cell r="E142">
            <v>46083</v>
          </cell>
          <cell r="F142" t="str">
            <v>SB Sargodha</v>
          </cell>
          <cell r="G142" t="str">
            <v>51300020160583140015</v>
          </cell>
        </row>
        <row r="143">
          <cell r="B143">
            <v>3220314780923</v>
          </cell>
          <cell r="C143" t="str">
            <v>Muhammad Waseem</v>
          </cell>
          <cell r="D143" t="str">
            <v>Security &amp; Parking Attendant</v>
          </cell>
          <cell r="E143">
            <v>46083</v>
          </cell>
          <cell r="F143" t="str">
            <v>STOG Kot Sultan Layyah</v>
          </cell>
          <cell r="G143" t="str">
            <v>13060010160989540013</v>
          </cell>
        </row>
        <row r="144">
          <cell r="B144">
            <v>3520297543653</v>
          </cell>
          <cell r="C144" t="str">
            <v>Tariq Masih</v>
          </cell>
          <cell r="D144" t="str">
            <v>Sanitation Attendant</v>
          </cell>
          <cell r="E144">
            <v>46086</v>
          </cell>
          <cell r="F144" t="str">
            <v>SB Township</v>
          </cell>
          <cell r="G144" t="str">
            <v>02880010045933000015</v>
          </cell>
        </row>
        <row r="145">
          <cell r="B145">
            <v>3520403755329</v>
          </cell>
          <cell r="C145" t="str">
            <v>Muhammad Ali Shan</v>
          </cell>
          <cell r="D145" t="str">
            <v>Security &amp; Parking Attendant</v>
          </cell>
          <cell r="E145">
            <v>46086</v>
          </cell>
          <cell r="F145" t="str">
            <v>SB Raiwind</v>
          </cell>
          <cell r="G145" t="str">
            <v>10790010160785680014</v>
          </cell>
        </row>
        <row r="146">
          <cell r="B146">
            <v>3520276022737</v>
          </cell>
          <cell r="C146" t="str">
            <v>Nabeel Masih</v>
          </cell>
          <cell r="D146" t="str">
            <v>Sanitation Attendant</v>
          </cell>
          <cell r="E146">
            <v>46090</v>
          </cell>
          <cell r="F146" t="str">
            <v>STOG Gulshan-e-Ravi</v>
          </cell>
          <cell r="G146" t="str">
            <v>07690010161007570010</v>
          </cell>
        </row>
        <row r="147">
          <cell r="B147">
            <v>4240162057749</v>
          </cell>
          <cell r="C147" t="str">
            <v>Muhammad Danyal</v>
          </cell>
          <cell r="D147" t="str">
            <v>Security &amp; Parking Attendant</v>
          </cell>
          <cell r="E147">
            <v>46091</v>
          </cell>
          <cell r="F147" t="str">
            <v>SB Mianwali</v>
          </cell>
          <cell r="G147" t="str">
            <v>02630010161020300015</v>
          </cell>
        </row>
        <row r="148">
          <cell r="B148">
            <v>3220377457683</v>
          </cell>
          <cell r="C148" t="str">
            <v>Safeer Mehdi</v>
          </cell>
          <cell r="D148" t="str">
            <v>Security &amp; Parking Attendant</v>
          </cell>
          <cell r="E148">
            <v>46091</v>
          </cell>
          <cell r="F148" t="str">
            <v>STOG Minor Road Layyah</v>
          </cell>
          <cell r="G148" t="str">
            <v>12360010131898260014</v>
          </cell>
        </row>
        <row r="149">
          <cell r="B149">
            <v>3220271386177</v>
          </cell>
          <cell r="C149" t="str">
            <v>Abid Hussain</v>
          </cell>
          <cell r="D149" t="str">
            <v>Security &amp; Parking Attendant</v>
          </cell>
          <cell r="E149">
            <v>46091</v>
          </cell>
          <cell r="F149" t="str">
            <v>STOG Kot Sultan Layyah</v>
          </cell>
          <cell r="G149" t="str">
            <v>13060010160955020019</v>
          </cell>
        </row>
        <row r="150">
          <cell r="B150">
            <v>3520290337175</v>
          </cell>
          <cell r="C150" t="str">
            <v>Muhammad Javed</v>
          </cell>
          <cell r="D150" t="str">
            <v>Security &amp; Parking Attendant</v>
          </cell>
          <cell r="E150">
            <v>46094</v>
          </cell>
          <cell r="F150" t="str">
            <v>SB Sabzazaar</v>
          </cell>
          <cell r="G150" t="str">
            <v>09410010161170210012</v>
          </cell>
        </row>
        <row r="151">
          <cell r="B151">
            <v>3540471187309</v>
          </cell>
          <cell r="C151" t="str">
            <v>Mudassar Hussain</v>
          </cell>
          <cell r="D151" t="str">
            <v>Security &amp; Parking Attendant</v>
          </cell>
          <cell r="E151">
            <v>46072</v>
          </cell>
          <cell r="F151" t="str">
            <v>SB Johar Town</v>
          </cell>
          <cell r="G151" t="str">
            <v>51050020052454810011</v>
          </cell>
        </row>
        <row r="152">
          <cell r="B152">
            <v>3220308602907</v>
          </cell>
          <cell r="C152" t="str">
            <v>Muhammad Naeem</v>
          </cell>
          <cell r="D152" t="str">
            <v>Security &amp; Parking Attendant</v>
          </cell>
          <cell r="E152">
            <v>46088</v>
          </cell>
          <cell r="F152" t="str">
            <v>STOG Kot Sultan Layyah</v>
          </cell>
          <cell r="G152" t="str">
            <v>13060010160957940010</v>
          </cell>
        </row>
        <row r="153">
          <cell r="B153">
            <v>3240231362497</v>
          </cell>
          <cell r="C153" t="str">
            <v>Mola Bakhsh</v>
          </cell>
          <cell r="D153" t="str">
            <v>Sanitation Attendant</v>
          </cell>
          <cell r="E153">
            <v>46102</v>
          </cell>
          <cell r="F153" t="str">
            <v>SB Jampur</v>
          </cell>
          <cell r="G153" t="str">
            <v>08210010161244860018</v>
          </cell>
        </row>
        <row r="154">
          <cell r="B154">
            <v>3810142966223</v>
          </cell>
          <cell r="C154" t="str">
            <v>Tanveer Abbas</v>
          </cell>
          <cell r="D154" t="str">
            <v>Sanitation Attendant</v>
          </cell>
          <cell r="E154">
            <v>46106</v>
          </cell>
          <cell r="F154" t="str">
            <v>SB Bhakar</v>
          </cell>
          <cell r="G154" t="str">
            <v>05030010161942070016</v>
          </cell>
        </row>
        <row r="155">
          <cell r="B155">
            <v>3820156815941</v>
          </cell>
          <cell r="C155" t="str">
            <v>Muhammad Huzaifa Jameel</v>
          </cell>
          <cell r="D155" t="str">
            <v>Security &amp; Parking Attendant</v>
          </cell>
          <cell r="E155">
            <v>46106</v>
          </cell>
          <cell r="F155" t="str">
            <v>SB Khushab</v>
          </cell>
          <cell r="G155" t="str">
            <v>02030010162998180010</v>
          </cell>
        </row>
        <row r="156">
          <cell r="B156">
            <v>3520403695585</v>
          </cell>
          <cell r="C156" t="str">
            <v>Muhammad Salman</v>
          </cell>
          <cell r="D156" t="str">
            <v>Security &amp; Parking Attendant</v>
          </cell>
          <cell r="E156">
            <v>46108</v>
          </cell>
          <cell r="F156" t="str">
            <v>STOG Madr-e-Millat</v>
          </cell>
          <cell r="G156" t="str">
            <v>01530010162704540012</v>
          </cell>
        </row>
        <row r="157">
          <cell r="B157">
            <v>3520153324689</v>
          </cell>
          <cell r="C157" t="str">
            <v>Rafaqat Ali</v>
          </cell>
          <cell r="D157" t="str">
            <v>Security &amp; Parking Attendant</v>
          </cell>
          <cell r="E157">
            <v>46108</v>
          </cell>
          <cell r="F157" t="str">
            <v>SB China Scheme</v>
          </cell>
          <cell r="G157" t="str">
            <v>02130010155452890013</v>
          </cell>
        </row>
        <row r="158">
          <cell r="B158">
            <v>3220108897671</v>
          </cell>
          <cell r="C158" t="str">
            <v>Mujahid Iqbal</v>
          </cell>
          <cell r="D158" t="str">
            <v>Security &amp; Parking Attendant</v>
          </cell>
          <cell r="E158">
            <v>46109</v>
          </cell>
          <cell r="F158" t="str">
            <v>STOG Chowk Azam Layyah</v>
          </cell>
          <cell r="G158" t="str">
            <v>08050010161791980016</v>
          </cell>
        </row>
        <row r="159">
          <cell r="B159">
            <v>3220305552159</v>
          </cell>
          <cell r="C159" t="str">
            <v>Muhammad Sarmad Saif</v>
          </cell>
          <cell r="D159" t="str">
            <v>Sanitation Attendant</v>
          </cell>
          <cell r="E159">
            <v>46112</v>
          </cell>
          <cell r="F159" t="str">
            <v>STOG Kot Sultan Layyah</v>
          </cell>
          <cell r="G159" t="str">
            <v>13060010162667930017</v>
          </cell>
        </row>
        <row r="160">
          <cell r="B160">
            <v>3530172000201</v>
          </cell>
          <cell r="C160" t="str">
            <v>Muhammad Ahmad</v>
          </cell>
          <cell r="D160" t="str">
            <v>Security &amp; Parking Attendant</v>
          </cell>
          <cell r="E160">
            <v>46112</v>
          </cell>
          <cell r="F160" t="str">
            <v>SB Okara</v>
          </cell>
          <cell r="G160" t="str">
            <v>09740010161751480010</v>
          </cell>
        </row>
        <row r="161">
          <cell r="B161">
            <v>3610353274431</v>
          </cell>
          <cell r="C161" t="str">
            <v>Muhammad Usman Raza</v>
          </cell>
          <cell r="D161" t="str">
            <v>Security &amp; Parking Attendant</v>
          </cell>
          <cell r="E161">
            <v>46113</v>
          </cell>
          <cell r="F161" t="str">
            <v>SB Harbanspura</v>
          </cell>
          <cell r="G161" t="str">
            <v>02280010162869470019</v>
          </cell>
        </row>
        <row r="162">
          <cell r="B162">
            <v>3410115721873</v>
          </cell>
          <cell r="C162" t="str">
            <v>Waheed Raza</v>
          </cell>
          <cell r="D162" t="str">
            <v>Security &amp; Parking Attendant</v>
          </cell>
          <cell r="E162">
            <v>46115</v>
          </cell>
          <cell r="F162" t="str">
            <v>SB Wazirabad</v>
          </cell>
          <cell r="G162" t="str">
            <v>05650010162691950012</v>
          </cell>
        </row>
        <row r="163">
          <cell r="B163">
            <v>3520224316273</v>
          </cell>
          <cell r="C163" t="str">
            <v>Ali Muhammad</v>
          </cell>
          <cell r="D163" t="str">
            <v>Security &amp; Parking Attendant</v>
          </cell>
          <cell r="E163">
            <v>46126</v>
          </cell>
          <cell r="F163" t="str">
            <v>SB Sher Sha Colony</v>
          </cell>
          <cell r="G163" t="str">
            <v>13860010162825710011</v>
          </cell>
        </row>
        <row r="164">
          <cell r="B164">
            <v>3310472041493</v>
          </cell>
          <cell r="C164" t="str">
            <v>Muhammad Shaban</v>
          </cell>
          <cell r="D164" t="str">
            <v>Security &amp; Parking Attendant</v>
          </cell>
          <cell r="E164">
            <v>46127</v>
          </cell>
          <cell r="F164" t="str">
            <v>SB Mandi Faizabad</v>
          </cell>
          <cell r="G164" t="str">
            <v>02000010162804270011</v>
          </cell>
        </row>
        <row r="165">
          <cell r="B165">
            <v>3310449230387</v>
          </cell>
          <cell r="C165" t="str">
            <v>Waqar Hassan</v>
          </cell>
          <cell r="D165" t="str">
            <v>Security &amp; Parking Attendant</v>
          </cell>
          <cell r="E165">
            <v>46127</v>
          </cell>
          <cell r="F165" t="str">
            <v>SB Mandi Faizabad</v>
          </cell>
          <cell r="G165" t="str">
            <v>02000010162821400016</v>
          </cell>
        </row>
        <row r="166">
          <cell r="B166">
            <v>3520287425313</v>
          </cell>
          <cell r="C166" t="str">
            <v>Faisal Masih</v>
          </cell>
          <cell r="D166" t="str">
            <v>Sanitation Attendant</v>
          </cell>
          <cell r="E166">
            <v>46129</v>
          </cell>
          <cell r="F166" t="str">
            <v>SB Township</v>
          </cell>
          <cell r="G166" t="str">
            <v>01530010162946450010</v>
          </cell>
        </row>
        <row r="167">
          <cell r="B167">
            <v>3530235277921</v>
          </cell>
          <cell r="C167" t="str">
            <v>Muhammad Ayaz</v>
          </cell>
          <cell r="D167" t="str">
            <v>Security &amp; Parking Attendant</v>
          </cell>
          <cell r="E167">
            <v>46129</v>
          </cell>
          <cell r="F167" t="str">
            <v>SB Okara</v>
          </cell>
          <cell r="G167" t="str">
            <v>02930010162795660011</v>
          </cell>
        </row>
        <row r="168">
          <cell r="B168">
            <v>1350472130515</v>
          </cell>
          <cell r="C168" t="str">
            <v>Khayal Muhammad Shah</v>
          </cell>
          <cell r="D168" t="str">
            <v>Security &amp; Parking Attendant</v>
          </cell>
          <cell r="E168">
            <v>46133</v>
          </cell>
          <cell r="F168" t="str">
            <v>Head Office</v>
          </cell>
          <cell r="G168" t="str">
            <v>02880010163087490018</v>
          </cell>
        </row>
        <row r="169">
          <cell r="B169">
            <v>3520289991529</v>
          </cell>
          <cell r="C169" t="str">
            <v>Muhammad Faisal</v>
          </cell>
          <cell r="D169" t="str">
            <v>Security &amp; Parking Attendant</v>
          </cell>
          <cell r="E169">
            <v>46134</v>
          </cell>
          <cell r="F169" t="str">
            <v>STOG Ferozwala</v>
          </cell>
          <cell r="G169" t="str">
            <v>05430010163502280015</v>
          </cell>
        </row>
        <row r="170">
          <cell r="B170">
            <v>3650184047165</v>
          </cell>
          <cell r="C170" t="str">
            <v>Muhammad Arslan</v>
          </cell>
          <cell r="D170" t="str">
            <v>Security &amp; Parking Attendant</v>
          </cell>
          <cell r="E170">
            <v>46068</v>
          </cell>
          <cell r="F170" t="str">
            <v>SB Pakpattan</v>
          </cell>
          <cell r="G170" t="str">
            <v>00430010160184230013</v>
          </cell>
        </row>
        <row r="171">
          <cell r="B171">
            <v>3840388584021</v>
          </cell>
          <cell r="C171" t="str">
            <v>Sheraz Ali</v>
          </cell>
          <cell r="D171" t="str">
            <v>Security &amp; Parking Attendant</v>
          </cell>
          <cell r="E171">
            <v>46142</v>
          </cell>
          <cell r="F171" t="str">
            <v>SB Gujrat</v>
          </cell>
          <cell r="G171" t="str">
            <v>13380010160129460010</v>
          </cell>
        </row>
        <row r="172">
          <cell r="B172">
            <v>3220211179671</v>
          </cell>
          <cell r="C172" t="str">
            <v>Muhammad Kamran</v>
          </cell>
          <cell r="D172" t="str">
            <v>Security &amp; Parking Attendant</v>
          </cell>
          <cell r="E172">
            <v>46147</v>
          </cell>
          <cell r="F172" t="str">
            <v>SB Sabzazaar</v>
          </cell>
          <cell r="G172" t="str">
            <v>09410010163817560016</v>
          </cell>
        </row>
        <row r="173">
          <cell r="B173">
            <v>3660365767885</v>
          </cell>
          <cell r="C173" t="str">
            <v>Saud Masih</v>
          </cell>
          <cell r="D173" t="str">
            <v>Sanitation Attendant</v>
          </cell>
          <cell r="E173">
            <v>46149</v>
          </cell>
          <cell r="F173" t="str">
            <v>SB Vehari</v>
          </cell>
          <cell r="G173" t="str">
            <v>08370010157301020010</v>
          </cell>
        </row>
        <row r="174">
          <cell r="B174">
            <v>3640166455729</v>
          </cell>
          <cell r="C174" t="str">
            <v>Rana Moeez Ahmad</v>
          </cell>
          <cell r="D174" t="str">
            <v>Security &amp; Parking Attendant</v>
          </cell>
          <cell r="E174">
            <v>46150</v>
          </cell>
          <cell r="F174" t="str">
            <v>SB Arif Wala</v>
          </cell>
          <cell r="G174" t="str">
            <v/>
          </cell>
        </row>
        <row r="175">
          <cell r="B175">
            <v>3640152824925</v>
          </cell>
          <cell r="C175" t="str">
            <v>Muhammad Ramzan</v>
          </cell>
          <cell r="D175" t="str">
            <v>Security &amp; Parking Attendant</v>
          </cell>
          <cell r="E175">
            <v>46150</v>
          </cell>
          <cell r="F175" t="str">
            <v>SB Arif Wala</v>
          </cell>
          <cell r="G175" t="str">
            <v/>
          </cell>
        </row>
        <row r="176">
          <cell r="B176">
            <v>3640191423427</v>
          </cell>
          <cell r="C176" t="str">
            <v>Muhammad Waqas Khalid</v>
          </cell>
          <cell r="D176" t="str">
            <v>Security &amp; Parking Attendant</v>
          </cell>
          <cell r="E176">
            <v>46150</v>
          </cell>
          <cell r="F176" t="str">
            <v>SB Arif Wala</v>
          </cell>
          <cell r="G176" t="str">
            <v/>
          </cell>
        </row>
        <row r="177">
          <cell r="B177">
            <v>3640117045999</v>
          </cell>
          <cell r="C177" t="str">
            <v>Muhammad Shafiq</v>
          </cell>
          <cell r="D177" t="str">
            <v>Security &amp; Parking Attendant</v>
          </cell>
          <cell r="E177">
            <v>46150</v>
          </cell>
          <cell r="F177" t="str">
            <v>SB Arif Wala</v>
          </cell>
          <cell r="G177" t="str">
            <v/>
          </cell>
        </row>
        <row r="178">
          <cell r="B178">
            <v>3640197410321</v>
          </cell>
          <cell r="C178" t="str">
            <v>Ijaz Hussain</v>
          </cell>
          <cell r="D178" t="str">
            <v>Security &amp; Parking Attendant</v>
          </cell>
          <cell r="E178">
            <v>46150</v>
          </cell>
          <cell r="F178" t="str">
            <v>SB Arif Wala</v>
          </cell>
          <cell r="G178" t="str">
            <v/>
          </cell>
        </row>
        <row r="179">
          <cell r="B179">
            <v>3520227237329</v>
          </cell>
          <cell r="C179" t="str">
            <v>Ali Raza</v>
          </cell>
          <cell r="D179" t="str">
            <v>Security &amp; Parking Attendant</v>
          </cell>
          <cell r="E179">
            <v>46156</v>
          </cell>
          <cell r="F179" t="str">
            <v>STOG Gulshan-e-Ravi</v>
          </cell>
          <cell r="G179" t="str">
            <v>09790010149729350010</v>
          </cell>
        </row>
        <row r="180">
          <cell r="B180">
            <v>6110147708963</v>
          </cell>
          <cell r="C180" t="str">
            <v>Muhammad Arslan</v>
          </cell>
          <cell r="D180" t="str">
            <v>Security &amp; Parking Attendant</v>
          </cell>
          <cell r="E180">
            <v>46156</v>
          </cell>
          <cell r="F180" t="str">
            <v>SB Rawalpindi</v>
          </cell>
          <cell r="G180" t="str">
            <v>05700010164536220017</v>
          </cell>
        </row>
        <row r="181">
          <cell r="B181">
            <v>3840102019933</v>
          </cell>
          <cell r="C181" t="str">
            <v>Asif Rasool Bhatti</v>
          </cell>
          <cell r="D181" t="str">
            <v>Sanitation Attendant</v>
          </cell>
          <cell r="E181">
            <v>46157</v>
          </cell>
          <cell r="F181" t="str">
            <v>SB Bhalwal</v>
          </cell>
          <cell r="G181" t="str">
            <v>00520010164543210012</v>
          </cell>
        </row>
        <row r="182">
          <cell r="B182">
            <v>3840327273625</v>
          </cell>
          <cell r="C182" t="str">
            <v>Muhammad Ijaz</v>
          </cell>
          <cell r="D182" t="str">
            <v>Sanitation Attendant</v>
          </cell>
          <cell r="E182">
            <v>46157</v>
          </cell>
          <cell r="F182" t="str">
            <v>SB Bhalwal</v>
          </cell>
          <cell r="G182" t="str">
            <v>00520010164543520010</v>
          </cell>
        </row>
        <row r="183">
          <cell r="B183">
            <v>3220335026241</v>
          </cell>
          <cell r="C183" t="str">
            <v>Behroze Pervaiz</v>
          </cell>
          <cell r="D183" t="str">
            <v>Sanitation Attendant</v>
          </cell>
          <cell r="E183">
            <v>46158</v>
          </cell>
          <cell r="F183" t="str">
            <v>STOG Khatam-e-Nabuwat Layyah</v>
          </cell>
          <cell r="G183" t="str">
            <v>51400020164578010014</v>
          </cell>
        </row>
        <row r="184">
          <cell r="B184">
            <v>3220349622049</v>
          </cell>
          <cell r="C184" t="str">
            <v>Mushtaq Hussain</v>
          </cell>
          <cell r="D184" t="str">
            <v>Sanitation Attendant</v>
          </cell>
          <cell r="E184">
            <v>46158</v>
          </cell>
          <cell r="F184" t="str">
            <v>STOG Khatam-e-Nabuwat Layyah</v>
          </cell>
          <cell r="G184" t="str">
            <v>51400020164577600017</v>
          </cell>
        </row>
        <row r="185">
          <cell r="B185">
            <v>3220322981687</v>
          </cell>
          <cell r="C185" t="str">
            <v>Zohaib Nasir</v>
          </cell>
          <cell r="D185" t="str">
            <v>Sanitation Attendant</v>
          </cell>
          <cell r="E185">
            <v>46158</v>
          </cell>
          <cell r="F185" t="str">
            <v>STOG Minor Road Layyah</v>
          </cell>
          <cell r="G185" t="str">
            <v>51400020164570090010</v>
          </cell>
        </row>
        <row r="186">
          <cell r="B186">
            <v>3520210820765</v>
          </cell>
          <cell r="C186" t="str">
            <v>Muhammad Yaseen</v>
          </cell>
          <cell r="D186" t="str">
            <v>Sanitation Attendant</v>
          </cell>
          <cell r="E186">
            <v>46158</v>
          </cell>
          <cell r="F186" t="str">
            <v>SB Township</v>
          </cell>
          <cell r="G186" t="str">
            <v/>
          </cell>
        </row>
        <row r="187">
          <cell r="B187">
            <v>3520278935651</v>
          </cell>
          <cell r="C187" t="str">
            <v>Sheraz Allah Rakha</v>
          </cell>
          <cell r="D187" t="str">
            <v>Sanitation Attendant</v>
          </cell>
          <cell r="E187">
            <v>46158</v>
          </cell>
          <cell r="F187" t="str">
            <v>STOG Gulshan-e-Ravi</v>
          </cell>
          <cell r="G187" t="str">
            <v>07690010164601350010</v>
          </cell>
        </row>
        <row r="188">
          <cell r="B188">
            <v>3220303484467</v>
          </cell>
          <cell r="C188" t="str">
            <v>Khizer Hayat</v>
          </cell>
          <cell r="D188" t="str">
            <v>Security &amp; Parking Attendant</v>
          </cell>
          <cell r="E188">
            <v>46158</v>
          </cell>
          <cell r="F188" t="str">
            <v>STOG Khatam-e-Nabuwat Layyah</v>
          </cell>
          <cell r="G188" t="str">
            <v>51400020164576770019</v>
          </cell>
        </row>
        <row r="189">
          <cell r="B189">
            <v>3220320639369</v>
          </cell>
          <cell r="C189" t="str">
            <v>Akhtar Hussain</v>
          </cell>
          <cell r="D189" t="str">
            <v>Security &amp; Parking Attendant</v>
          </cell>
          <cell r="E189">
            <v>46158</v>
          </cell>
          <cell r="F189" t="str">
            <v>STOG Khatam-e-Nabuwat Layyah</v>
          </cell>
          <cell r="G189" t="str">
            <v>51400020164577100013</v>
          </cell>
        </row>
        <row r="190">
          <cell r="B190">
            <v>3220388414383</v>
          </cell>
          <cell r="C190" t="str">
            <v>Muhammad Zohaib</v>
          </cell>
          <cell r="D190" t="str">
            <v>Security &amp; Parking Attendant</v>
          </cell>
          <cell r="E190">
            <v>46158</v>
          </cell>
          <cell r="F190" t="str">
            <v>STOG Karor Lal Hassan</v>
          </cell>
          <cell r="G190" t="str">
            <v>51400020164347070010</v>
          </cell>
        </row>
        <row r="191">
          <cell r="B191">
            <v>4230106372267</v>
          </cell>
          <cell r="C191" t="str">
            <v>Shan Ahtisham</v>
          </cell>
          <cell r="D191" t="str">
            <v>Sanitation Attendant</v>
          </cell>
          <cell r="E191">
            <v>46159</v>
          </cell>
          <cell r="F191" t="str">
            <v>STOG Chowk Azam Layyah</v>
          </cell>
          <cell r="G191" t="str">
            <v>08050010164471960012</v>
          </cell>
        </row>
        <row r="192">
          <cell r="B192">
            <v>1310184258697</v>
          </cell>
          <cell r="C192" t="str">
            <v>Saif ur Rehman</v>
          </cell>
          <cell r="D192" t="str">
            <v>Security &amp; Parking Attendant</v>
          </cell>
          <cell r="E192">
            <v>46160</v>
          </cell>
          <cell r="F192" t="str">
            <v>STOG Gulshan-e-Ravi</v>
          </cell>
          <cell r="G192" t="str">
            <v/>
          </cell>
        </row>
        <row r="193">
          <cell r="B193">
            <v>1310110649167</v>
          </cell>
          <cell r="C193" t="str">
            <v>Umair Abbasi</v>
          </cell>
          <cell r="D193" t="str">
            <v>Security &amp; Parking Attendant</v>
          </cell>
          <cell r="E193">
            <v>46160</v>
          </cell>
          <cell r="F193" t="str">
            <v>STOG Gulshan-e-Ravi</v>
          </cell>
          <cell r="G193" t="str">
            <v/>
          </cell>
        </row>
        <row r="194">
          <cell r="B194">
            <v>3520273808469</v>
          </cell>
          <cell r="C194" t="str">
            <v>Dawood Habib</v>
          </cell>
          <cell r="D194" t="str">
            <v>Security &amp; Parking Attendant</v>
          </cell>
          <cell r="E194">
            <v>46160</v>
          </cell>
          <cell r="F194" t="str">
            <v>STOG Awan Town</v>
          </cell>
          <cell r="G194" t="str">
            <v>05320010159230960018</v>
          </cell>
        </row>
        <row r="195">
          <cell r="B195">
            <v>3520296457859</v>
          </cell>
          <cell r="C195" t="str">
            <v>Junaid Aslam</v>
          </cell>
          <cell r="D195" t="str">
            <v>Security &amp; Parking Attendant</v>
          </cell>
          <cell r="E195">
            <v>46160</v>
          </cell>
          <cell r="F195" t="str">
            <v>STOG Barki Road</v>
          </cell>
          <cell r="G195" t="str">
            <v>16050010164582010015</v>
          </cell>
        </row>
        <row r="196">
          <cell r="B196">
            <v>3220292389253</v>
          </cell>
          <cell r="C196" t="str">
            <v>Amrooz Atish</v>
          </cell>
          <cell r="D196" t="str">
            <v>Sanitation Attendant</v>
          </cell>
          <cell r="E196">
            <v>46161</v>
          </cell>
          <cell r="F196" t="str">
            <v>STOG Minor Road Layyah</v>
          </cell>
          <cell r="G196" t="str">
            <v>51400020164721660013</v>
          </cell>
        </row>
        <row r="197">
          <cell r="B197">
            <v>3740514551191</v>
          </cell>
          <cell r="C197" t="str">
            <v>Ashir</v>
          </cell>
          <cell r="D197" t="str">
            <v>Sanitation Attendant</v>
          </cell>
          <cell r="E197">
            <v>46149</v>
          </cell>
          <cell r="F197" t="str">
            <v>SB Rawalpindi</v>
          </cell>
          <cell r="G197" t="str">
            <v>07750010162120950010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59EDC-F2FD-4963-8806-F0793C6B1132}">
  <dimension ref="A1:Z1548"/>
  <sheetViews>
    <sheetView tabSelected="1" view="pageBreakPreview" topLeftCell="H1" zoomScale="81" zoomScaleNormal="100" zoomScaleSheetLayoutView="81" workbookViewId="0">
      <pane ySplit="1" topLeftCell="A429" activePane="bottomLeft" state="frozen"/>
      <selection activeCell="N44" sqref="N44"/>
      <selection pane="bottomLeft" activeCell="R2" sqref="R2:R1548"/>
    </sheetView>
  </sheetViews>
  <sheetFormatPr baseColWidth="10" defaultColWidth="8.83203125" defaultRowHeight="15" x14ac:dyDescent="0.2"/>
  <cols>
    <col min="1" max="1" width="6.5" bestFit="1" customWidth="1"/>
    <col min="2" max="2" width="15.83203125" customWidth="1"/>
    <col min="3" max="3" width="18.83203125" customWidth="1"/>
    <col min="4" max="4" width="8.6640625" customWidth="1"/>
    <col min="5" max="5" width="14.1640625" customWidth="1"/>
    <col min="6" max="6" width="15.6640625" customWidth="1"/>
    <col min="7" max="7" width="18.5" customWidth="1"/>
    <col min="8" max="8" width="16.5" customWidth="1"/>
    <col min="9" max="9" width="15.1640625" customWidth="1"/>
    <col min="10" max="10" width="11.1640625" customWidth="1"/>
    <col min="11" max="11" width="28.5" customWidth="1"/>
    <col min="12" max="12" width="27.6640625" customWidth="1"/>
    <col min="13" max="13" width="24.5" customWidth="1"/>
    <col min="14" max="14" width="30" customWidth="1"/>
    <col min="15" max="15" width="22" style="60" customWidth="1"/>
    <col min="16" max="16" width="21.5" customWidth="1"/>
    <col min="17" max="17" width="14.1640625" bestFit="1" customWidth="1"/>
    <col min="18" max="18" width="13.5" bestFit="1" customWidth="1"/>
    <col min="19" max="19" width="25.1640625" bestFit="1" customWidth="1"/>
    <col min="20" max="20" width="17.83203125" bestFit="1" customWidth="1"/>
    <col min="21" max="21" width="28.5" customWidth="1"/>
    <col min="22" max="22" width="23.5" customWidth="1"/>
    <col min="23" max="23" width="40" customWidth="1"/>
    <col min="24" max="25" width="14.5" customWidth="1"/>
    <col min="26" max="26" width="24.1640625" customWidth="1"/>
  </cols>
  <sheetData>
    <row r="1" spans="1:26" ht="50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5452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1" t="s">
        <v>19</v>
      </c>
      <c r="V1" s="1" t="s">
        <v>20</v>
      </c>
      <c r="W1" s="1" t="s">
        <v>21</v>
      </c>
      <c r="X1" s="3" t="s">
        <v>22</v>
      </c>
      <c r="Y1" s="3" t="s">
        <v>23</v>
      </c>
      <c r="Z1" s="1" t="s">
        <v>24</v>
      </c>
    </row>
    <row r="2" spans="1:26" ht="30" customHeight="1" thickBot="1" x14ac:dyDescent="0.25">
      <c r="A2" s="4">
        <v>1</v>
      </c>
      <c r="B2" s="5" t="s">
        <v>25</v>
      </c>
      <c r="C2" s="6">
        <v>3520209405169</v>
      </c>
      <c r="D2" s="6">
        <v>42</v>
      </c>
      <c r="E2" s="7">
        <v>44540</v>
      </c>
      <c r="F2" s="7">
        <v>48192</v>
      </c>
      <c r="G2" s="8">
        <v>32060</v>
      </c>
      <c r="H2" s="9">
        <f t="shared" ref="H2:H65" ca="1" si="0">INT((TODAY()-G2)/365)</f>
        <v>38</v>
      </c>
      <c r="I2" s="6" t="s">
        <v>26</v>
      </c>
      <c r="J2" s="5" t="s">
        <v>27</v>
      </c>
      <c r="K2" s="5"/>
      <c r="L2" s="10" t="s">
        <v>28</v>
      </c>
      <c r="M2" s="10" t="s">
        <v>29</v>
      </c>
      <c r="N2" s="11" t="s">
        <v>30</v>
      </c>
      <c r="O2" s="5">
        <v>20</v>
      </c>
      <c r="P2" s="11" t="s">
        <v>31</v>
      </c>
      <c r="Q2" s="12">
        <v>42522</v>
      </c>
      <c r="R2" s="13">
        <v>0</v>
      </c>
      <c r="S2" s="13" t="str">
        <f>VLOOKUP(C2,'[1]Head Office '!$B$7:$I$98,8,0)</f>
        <v>02880010025080120035</v>
      </c>
      <c r="T2" s="12" t="s">
        <v>32</v>
      </c>
      <c r="U2" s="12" t="s">
        <v>33</v>
      </c>
      <c r="V2" s="12" t="s">
        <v>34</v>
      </c>
      <c r="W2" s="14" t="s">
        <v>35</v>
      </c>
      <c r="X2" s="15" t="s">
        <v>36</v>
      </c>
      <c r="Y2" s="15" t="str">
        <f>VLOOKUP(C2,[2]Final!$J$2:$T$175,11,0)</f>
        <v>nrahmad@live.com</v>
      </c>
      <c r="Z2" s="16" t="s">
        <v>37</v>
      </c>
    </row>
    <row r="3" spans="1:26" ht="30" customHeight="1" thickBot="1" x14ac:dyDescent="0.25">
      <c r="A3" s="17">
        <f>A2+1</f>
        <v>2</v>
      </c>
      <c r="B3" s="18" t="s">
        <v>25</v>
      </c>
      <c r="C3" s="19">
        <v>3520294410711</v>
      </c>
      <c r="D3" s="19">
        <v>43</v>
      </c>
      <c r="E3" s="20">
        <v>43868</v>
      </c>
      <c r="F3" s="20">
        <v>47521</v>
      </c>
      <c r="G3" s="21">
        <v>32069</v>
      </c>
      <c r="H3" s="22">
        <f t="shared" ca="1" si="0"/>
        <v>38</v>
      </c>
      <c r="I3" s="19" t="s">
        <v>26</v>
      </c>
      <c r="J3" s="18" t="s">
        <v>27</v>
      </c>
      <c r="K3" s="18"/>
      <c r="L3" s="23" t="s">
        <v>38</v>
      </c>
      <c r="M3" s="23" t="s">
        <v>39</v>
      </c>
      <c r="N3" s="24" t="s">
        <v>40</v>
      </c>
      <c r="O3" s="18">
        <v>19</v>
      </c>
      <c r="P3" s="24" t="s">
        <v>41</v>
      </c>
      <c r="Q3" s="25">
        <v>43110</v>
      </c>
      <c r="R3" s="13">
        <v>0</v>
      </c>
      <c r="S3" s="26" t="str">
        <f>VLOOKUP(C3,'[1]Head Office '!$B$7:$I$98,8,0)</f>
        <v>02880010049544070016</v>
      </c>
      <c r="T3" s="25" t="s">
        <v>32</v>
      </c>
      <c r="U3" s="25" t="s">
        <v>33</v>
      </c>
      <c r="V3" s="25" t="s">
        <v>42</v>
      </c>
      <c r="W3" s="27" t="s">
        <v>43</v>
      </c>
      <c r="X3" s="28" t="s">
        <v>44</v>
      </c>
      <c r="Y3" s="28" t="str">
        <f>VLOOKUP(C3,[2]Final!$J$2:$T$175,11,0)</f>
        <v>fdsheikh@yahoo.com</v>
      </c>
      <c r="Z3" s="29" t="s">
        <v>37</v>
      </c>
    </row>
    <row r="4" spans="1:26" ht="30" customHeight="1" thickBot="1" x14ac:dyDescent="0.25">
      <c r="A4" s="17">
        <f t="shared" ref="A4:A67" si="1">A3+1</f>
        <v>3</v>
      </c>
      <c r="B4" s="18" t="s">
        <v>25</v>
      </c>
      <c r="C4" s="19">
        <v>3520258457507</v>
      </c>
      <c r="D4" s="19">
        <v>45</v>
      </c>
      <c r="E4" s="20">
        <v>44382</v>
      </c>
      <c r="F4" s="20">
        <v>48034</v>
      </c>
      <c r="G4" s="21">
        <v>33394</v>
      </c>
      <c r="H4" s="22">
        <f t="shared" ca="1" si="0"/>
        <v>35</v>
      </c>
      <c r="I4" s="19" t="s">
        <v>26</v>
      </c>
      <c r="J4" s="18" t="s">
        <v>27</v>
      </c>
      <c r="K4" s="18"/>
      <c r="L4" s="23" t="s">
        <v>45</v>
      </c>
      <c r="M4" s="23" t="s">
        <v>46</v>
      </c>
      <c r="N4" s="24" t="s">
        <v>47</v>
      </c>
      <c r="O4" s="18">
        <v>19</v>
      </c>
      <c r="P4" s="24" t="s">
        <v>48</v>
      </c>
      <c r="Q4" s="25">
        <v>42500</v>
      </c>
      <c r="R4" s="13">
        <v>0</v>
      </c>
      <c r="S4" s="26" t="str">
        <f>VLOOKUP(C4,'[1]Head Office '!$B$7:$I$98,8,0)</f>
        <v>02880010045565410019</v>
      </c>
      <c r="T4" s="25" t="s">
        <v>32</v>
      </c>
      <c r="U4" s="25" t="s">
        <v>33</v>
      </c>
      <c r="V4" s="25" t="s">
        <v>49</v>
      </c>
      <c r="W4" s="27" t="s">
        <v>50</v>
      </c>
      <c r="X4" s="28" t="s">
        <v>51</v>
      </c>
      <c r="Y4" s="28" t="str">
        <f>VLOOKUP(C4,[2]Final!$J$2:$T$175,11,0)</f>
        <v xml:space="preserve">sadamkhokhar240@gmail.com </v>
      </c>
      <c r="Z4" s="29" t="s">
        <v>37</v>
      </c>
    </row>
    <row r="5" spans="1:26" ht="30" customHeight="1" thickBot="1" x14ac:dyDescent="0.25">
      <c r="A5" s="17">
        <f t="shared" si="1"/>
        <v>4</v>
      </c>
      <c r="B5" s="18" t="s">
        <v>25</v>
      </c>
      <c r="C5" s="19">
        <v>3520086525621</v>
      </c>
      <c r="D5" s="19">
        <v>44</v>
      </c>
      <c r="E5" s="20">
        <v>43055</v>
      </c>
      <c r="F5" s="20">
        <v>46707</v>
      </c>
      <c r="G5" s="21">
        <v>34294</v>
      </c>
      <c r="H5" s="22">
        <f t="shared" ca="1" si="0"/>
        <v>32</v>
      </c>
      <c r="I5" s="19" t="s">
        <v>26</v>
      </c>
      <c r="J5" s="18" t="s">
        <v>27</v>
      </c>
      <c r="K5" s="18"/>
      <c r="L5" s="23" t="s">
        <v>52</v>
      </c>
      <c r="M5" s="23" t="s">
        <v>53</v>
      </c>
      <c r="N5" s="24" t="s">
        <v>54</v>
      </c>
      <c r="O5" s="18">
        <v>19</v>
      </c>
      <c r="P5" s="24" t="s">
        <v>55</v>
      </c>
      <c r="Q5" s="25">
        <v>42500</v>
      </c>
      <c r="R5" s="13">
        <v>0</v>
      </c>
      <c r="S5" s="26" t="str">
        <f>VLOOKUP(C5,'[1]Head Office '!$B$7:$I$98,8,0)</f>
        <v>02880010046555670014</v>
      </c>
      <c r="T5" s="25" t="s">
        <v>32</v>
      </c>
      <c r="U5" s="25" t="s">
        <v>33</v>
      </c>
      <c r="V5" s="25" t="s">
        <v>56</v>
      </c>
      <c r="W5" s="27" t="s">
        <v>57</v>
      </c>
      <c r="X5" s="28" t="s">
        <v>58</v>
      </c>
      <c r="Y5" s="28" t="str">
        <f>VLOOKUP(C5,[2]Final!$J$2:$T$175,11,0)</f>
        <v>roshanzameer19@hotmail.com</v>
      </c>
      <c r="Z5" s="29" t="s">
        <v>37</v>
      </c>
    </row>
    <row r="6" spans="1:26" ht="30" customHeight="1" thickBot="1" x14ac:dyDescent="0.25">
      <c r="A6" s="17">
        <f t="shared" si="1"/>
        <v>5</v>
      </c>
      <c r="B6" s="18" t="s">
        <v>25</v>
      </c>
      <c r="C6" s="19">
        <v>3230313997409</v>
      </c>
      <c r="D6" s="19">
        <v>46</v>
      </c>
      <c r="E6" s="20">
        <v>42674</v>
      </c>
      <c r="F6" s="20">
        <v>46326</v>
      </c>
      <c r="G6" s="21">
        <v>29983</v>
      </c>
      <c r="H6" s="22">
        <f t="shared" ca="1" si="0"/>
        <v>44</v>
      </c>
      <c r="I6" s="19" t="s">
        <v>26</v>
      </c>
      <c r="J6" s="18" t="s">
        <v>27</v>
      </c>
      <c r="K6" s="18"/>
      <c r="L6" s="23" t="s">
        <v>59</v>
      </c>
      <c r="M6" s="23" t="s">
        <v>60</v>
      </c>
      <c r="N6" s="24" t="s">
        <v>61</v>
      </c>
      <c r="O6" s="18">
        <v>19</v>
      </c>
      <c r="P6" s="24" t="s">
        <v>62</v>
      </c>
      <c r="Q6" s="25">
        <v>43048</v>
      </c>
      <c r="R6" s="13">
        <v>0</v>
      </c>
      <c r="S6" s="26" t="str">
        <f>VLOOKUP(C6,'[1]Head Office '!$B$7:$I$98,8,0)</f>
        <v>02880010048328110012</v>
      </c>
      <c r="T6" s="25" t="s">
        <v>32</v>
      </c>
      <c r="U6" s="25" t="s">
        <v>33</v>
      </c>
      <c r="V6" s="25" t="s">
        <v>63</v>
      </c>
      <c r="W6" s="27" t="s">
        <v>64</v>
      </c>
      <c r="X6" s="28" t="s">
        <v>65</v>
      </c>
      <c r="Y6" s="28" t="str">
        <f>VLOOKUP(C6,[2]Final!$J$2:$T$175,11,0)</f>
        <v>civilengineer.pmbmc@gmail.com</v>
      </c>
      <c r="Z6" s="29" t="s">
        <v>37</v>
      </c>
    </row>
    <row r="7" spans="1:26" ht="30" customHeight="1" thickBot="1" x14ac:dyDescent="0.25">
      <c r="A7" s="17">
        <f t="shared" si="1"/>
        <v>6</v>
      </c>
      <c r="B7" s="18" t="s">
        <v>25</v>
      </c>
      <c r="C7" s="19">
        <v>3520279405754</v>
      </c>
      <c r="D7" s="19">
        <v>72</v>
      </c>
      <c r="E7" s="20">
        <v>45673</v>
      </c>
      <c r="F7" s="20">
        <v>49325</v>
      </c>
      <c r="G7" s="21">
        <v>33398</v>
      </c>
      <c r="H7" s="22">
        <f t="shared" ca="1" si="0"/>
        <v>35</v>
      </c>
      <c r="I7" s="19" t="s">
        <v>26</v>
      </c>
      <c r="J7" s="18" t="s">
        <v>66</v>
      </c>
      <c r="K7" s="18"/>
      <c r="L7" s="23" t="s">
        <v>67</v>
      </c>
      <c r="M7" s="23" t="s">
        <v>68</v>
      </c>
      <c r="N7" s="24" t="s">
        <v>69</v>
      </c>
      <c r="O7" s="18">
        <v>18</v>
      </c>
      <c r="P7" s="24" t="s">
        <v>70</v>
      </c>
      <c r="Q7" s="25">
        <v>43678</v>
      </c>
      <c r="R7" s="13">
        <v>0</v>
      </c>
      <c r="S7" s="26" t="str">
        <f>VLOOKUP(C7,'[1]Head Office '!$B$7:$I$98,8,0)</f>
        <v>07040010061881370015</v>
      </c>
      <c r="T7" s="25" t="s">
        <v>32</v>
      </c>
      <c r="U7" s="25" t="s">
        <v>33</v>
      </c>
      <c r="V7" s="25" t="s">
        <v>71</v>
      </c>
      <c r="W7" s="27" t="s">
        <v>72</v>
      </c>
      <c r="X7" s="28" t="s">
        <v>73</v>
      </c>
      <c r="Y7" s="28" t="str">
        <f>VLOOKUP(C7,[2]Final!$J$2:$T$175,11,0)</f>
        <v>mariya_iqbal@hotmail.com</v>
      </c>
      <c r="Z7" s="29" t="s">
        <v>37</v>
      </c>
    </row>
    <row r="8" spans="1:26" ht="30" customHeight="1" thickBot="1" x14ac:dyDescent="0.25">
      <c r="A8" s="17">
        <f t="shared" si="1"/>
        <v>7</v>
      </c>
      <c r="B8" s="18" t="s">
        <v>25</v>
      </c>
      <c r="C8" s="19">
        <v>3830242683949</v>
      </c>
      <c r="D8" s="19">
        <v>1452</v>
      </c>
      <c r="E8" s="20">
        <v>43855</v>
      </c>
      <c r="F8" s="20">
        <v>47508</v>
      </c>
      <c r="G8" s="21">
        <v>32823</v>
      </c>
      <c r="H8" s="22">
        <f t="shared" ca="1" si="0"/>
        <v>36</v>
      </c>
      <c r="I8" s="19" t="s">
        <v>26</v>
      </c>
      <c r="J8" s="18" t="s">
        <v>27</v>
      </c>
      <c r="K8" s="18"/>
      <c r="L8" s="23" t="s">
        <v>74</v>
      </c>
      <c r="M8" s="23" t="s">
        <v>75</v>
      </c>
      <c r="N8" s="23" t="s">
        <v>76</v>
      </c>
      <c r="O8" s="18">
        <v>17</v>
      </c>
      <c r="P8" s="24" t="s">
        <v>62</v>
      </c>
      <c r="Q8" s="25">
        <v>44839</v>
      </c>
      <c r="R8" s="13">
        <v>0</v>
      </c>
      <c r="S8" s="26" t="str">
        <f>VLOOKUP(C8,'[1]Head Office '!$B$7:$I$98,8,0)</f>
        <v>02880010101650730015</v>
      </c>
      <c r="T8" s="25" t="s">
        <v>32</v>
      </c>
      <c r="U8" s="25" t="s">
        <v>33</v>
      </c>
      <c r="V8" s="25" t="s">
        <v>77</v>
      </c>
      <c r="W8" s="27" t="s">
        <v>78</v>
      </c>
      <c r="X8" s="28" t="s">
        <v>79</v>
      </c>
      <c r="Y8" s="28" t="str">
        <f>VLOOKUP(C8,[2]Final!$J$2:$T$175,11,0)</f>
        <v>aamirpak5@gmail.com</v>
      </c>
      <c r="Z8" s="29" t="s">
        <v>37</v>
      </c>
    </row>
    <row r="9" spans="1:26" ht="30" customHeight="1" thickBot="1" x14ac:dyDescent="0.25">
      <c r="A9" s="17">
        <f t="shared" si="1"/>
        <v>8</v>
      </c>
      <c r="B9" s="18" t="s">
        <v>25</v>
      </c>
      <c r="C9" s="19">
        <v>3520230926617</v>
      </c>
      <c r="D9" s="19">
        <v>51</v>
      </c>
      <c r="E9" s="20">
        <v>44089</v>
      </c>
      <c r="F9" s="20">
        <v>47741</v>
      </c>
      <c r="G9" s="21">
        <v>33005</v>
      </c>
      <c r="H9" s="22">
        <f t="shared" ca="1" si="0"/>
        <v>36</v>
      </c>
      <c r="I9" s="19" t="s">
        <v>26</v>
      </c>
      <c r="J9" s="18" t="s">
        <v>27</v>
      </c>
      <c r="K9" s="18"/>
      <c r="L9" s="23" t="s">
        <v>80</v>
      </c>
      <c r="M9" s="23" t="s">
        <v>81</v>
      </c>
      <c r="N9" s="23" t="s">
        <v>82</v>
      </c>
      <c r="O9" s="18">
        <v>17</v>
      </c>
      <c r="P9" s="24" t="s">
        <v>83</v>
      </c>
      <c r="Q9" s="25">
        <v>42500</v>
      </c>
      <c r="R9" s="13">
        <v>0</v>
      </c>
      <c r="S9" s="26" t="str">
        <f>VLOOKUP(C9,'[1]Head Office '!$B$7:$I$98,8,0)</f>
        <v>02880010045636690017</v>
      </c>
      <c r="T9" s="25" t="s">
        <v>32</v>
      </c>
      <c r="U9" s="25" t="s">
        <v>33</v>
      </c>
      <c r="V9" s="25" t="s">
        <v>84</v>
      </c>
      <c r="W9" s="27" t="s">
        <v>85</v>
      </c>
      <c r="X9" s="28" t="s">
        <v>86</v>
      </c>
      <c r="Y9" s="28" t="str">
        <f>VLOOKUP(C9,[2]Final!$J$2:$T$175,11,0)</f>
        <v>kashif.6914@gmail.com</v>
      </c>
      <c r="Z9" s="29" t="s">
        <v>37</v>
      </c>
    </row>
    <row r="10" spans="1:26" ht="30" customHeight="1" thickBot="1" x14ac:dyDescent="0.25">
      <c r="A10" s="17">
        <f t="shared" si="1"/>
        <v>9</v>
      </c>
      <c r="B10" s="18" t="s">
        <v>25</v>
      </c>
      <c r="C10" s="19">
        <v>3410141448295</v>
      </c>
      <c r="D10" s="19">
        <v>60</v>
      </c>
      <c r="E10" s="20">
        <v>44231</v>
      </c>
      <c r="F10" s="20">
        <v>47883</v>
      </c>
      <c r="G10" s="21">
        <v>32306</v>
      </c>
      <c r="H10" s="22">
        <f t="shared" ca="1" si="0"/>
        <v>38</v>
      </c>
      <c r="I10" s="19" t="s">
        <v>26</v>
      </c>
      <c r="J10" s="18" t="s">
        <v>27</v>
      </c>
      <c r="K10" s="18"/>
      <c r="L10" s="23" t="s">
        <v>68</v>
      </c>
      <c r="M10" s="23" t="s">
        <v>87</v>
      </c>
      <c r="N10" s="23" t="s">
        <v>88</v>
      </c>
      <c r="O10" s="18">
        <v>17</v>
      </c>
      <c r="P10" s="24" t="s">
        <v>83</v>
      </c>
      <c r="Q10" s="25">
        <v>43588</v>
      </c>
      <c r="R10" s="13">
        <v>0</v>
      </c>
      <c r="S10" s="26" t="str">
        <f>VLOOKUP(C10,'[1]Head Office '!$B$7:$I$98,8,0)</f>
        <v>02880010061659230018</v>
      </c>
      <c r="T10" s="25" t="s">
        <v>32</v>
      </c>
      <c r="U10" s="25" t="s">
        <v>33</v>
      </c>
      <c r="V10" s="25" t="s">
        <v>89</v>
      </c>
      <c r="W10" s="27" t="s">
        <v>90</v>
      </c>
      <c r="X10" s="28" t="s">
        <v>91</v>
      </c>
      <c r="Y10" s="28" t="str">
        <f>VLOOKUP(C10,[2]Final!$J$2:$T$175,11,0)</f>
        <v>iqbalsalamat@gamil.com</v>
      </c>
      <c r="Z10" s="29" t="s">
        <v>37</v>
      </c>
    </row>
    <row r="11" spans="1:26" ht="30" customHeight="1" thickBot="1" x14ac:dyDescent="0.25">
      <c r="A11" s="17">
        <f t="shared" si="1"/>
        <v>10</v>
      </c>
      <c r="B11" s="18" t="s">
        <v>25</v>
      </c>
      <c r="C11" s="19">
        <v>3540425519833</v>
      </c>
      <c r="D11" s="19">
        <v>1707</v>
      </c>
      <c r="E11" s="20">
        <v>45780</v>
      </c>
      <c r="F11" s="20">
        <v>49481</v>
      </c>
      <c r="G11" s="21">
        <v>34195</v>
      </c>
      <c r="H11" s="22">
        <f t="shared" ca="1" si="0"/>
        <v>32</v>
      </c>
      <c r="I11" s="19" t="s">
        <v>26</v>
      </c>
      <c r="J11" s="18" t="s">
        <v>27</v>
      </c>
      <c r="K11" s="18"/>
      <c r="L11" s="23" t="s">
        <v>92</v>
      </c>
      <c r="M11" s="23" t="s">
        <v>93</v>
      </c>
      <c r="N11" s="23" t="s">
        <v>94</v>
      </c>
      <c r="O11" s="18">
        <v>17</v>
      </c>
      <c r="P11" s="24" t="s">
        <v>95</v>
      </c>
      <c r="Q11" s="25">
        <v>45292</v>
      </c>
      <c r="R11" s="13">
        <v>0</v>
      </c>
      <c r="S11" s="26" t="str">
        <f>VLOOKUP(C11,'[1]Head Office '!$B$7:$I$98,8,0)</f>
        <v>02880010137994960017</v>
      </c>
      <c r="T11" s="25" t="s">
        <v>32</v>
      </c>
      <c r="U11" s="25" t="s">
        <v>33</v>
      </c>
      <c r="V11" s="25" t="s">
        <v>96</v>
      </c>
      <c r="W11" s="27" t="s">
        <v>97</v>
      </c>
      <c r="X11" s="28" t="s">
        <v>98</v>
      </c>
      <c r="Y11" s="28" t="str">
        <f>VLOOKUP(C11,[2]Final!$J$2:$T$175,11,0)</f>
        <v>mhassab204@gmail.com</v>
      </c>
      <c r="Z11" s="29" t="s">
        <v>37</v>
      </c>
    </row>
    <row r="12" spans="1:26" ht="30" customHeight="1" thickBot="1" x14ac:dyDescent="0.25">
      <c r="A12" s="17">
        <f t="shared" si="1"/>
        <v>11</v>
      </c>
      <c r="B12" s="18" t="s">
        <v>25</v>
      </c>
      <c r="C12" s="19">
        <v>3520265331633</v>
      </c>
      <c r="D12" s="19">
        <v>1300</v>
      </c>
      <c r="E12" s="20">
        <v>43316</v>
      </c>
      <c r="F12" s="20">
        <v>46969</v>
      </c>
      <c r="G12" s="21">
        <v>28401</v>
      </c>
      <c r="H12" s="22">
        <f t="shared" ca="1" si="0"/>
        <v>48</v>
      </c>
      <c r="I12" s="19" t="s">
        <v>26</v>
      </c>
      <c r="J12" s="18" t="s">
        <v>27</v>
      </c>
      <c r="K12" s="18"/>
      <c r="L12" s="23" t="s">
        <v>99</v>
      </c>
      <c r="M12" s="23" t="s">
        <v>100</v>
      </c>
      <c r="N12" s="23" t="s">
        <v>101</v>
      </c>
      <c r="O12" s="18">
        <v>17</v>
      </c>
      <c r="P12" s="24" t="s">
        <v>102</v>
      </c>
      <c r="Q12" s="25">
        <v>44652</v>
      </c>
      <c r="R12" s="13">
        <v>0</v>
      </c>
      <c r="S12" s="26" t="str">
        <f>VLOOKUP(C12,'[1]Head Office '!$B$7:$I$98,8,0)</f>
        <v>02880010085083630011</v>
      </c>
      <c r="T12" s="25" t="s">
        <v>32</v>
      </c>
      <c r="U12" s="25" t="s">
        <v>33</v>
      </c>
      <c r="V12" s="25" t="s">
        <v>103</v>
      </c>
      <c r="W12" s="27" t="s">
        <v>104</v>
      </c>
      <c r="X12" s="28" t="s">
        <v>105</v>
      </c>
      <c r="Y12" s="28" t="str">
        <f>VLOOKUP(C12,[2]Final!$J$2:$T$175,11,0)</f>
        <v>muhammadalisami@gmail.com</v>
      </c>
      <c r="Z12" s="29" t="s">
        <v>37</v>
      </c>
    </row>
    <row r="13" spans="1:26" ht="30" customHeight="1" thickBot="1" x14ac:dyDescent="0.25">
      <c r="A13" s="17">
        <f t="shared" si="1"/>
        <v>12</v>
      </c>
      <c r="B13" s="18" t="s">
        <v>25</v>
      </c>
      <c r="C13" s="19">
        <v>3520273705001</v>
      </c>
      <c r="D13" s="19">
        <v>1</v>
      </c>
      <c r="E13" s="20">
        <v>44205</v>
      </c>
      <c r="F13" s="20">
        <v>47857</v>
      </c>
      <c r="G13" s="21">
        <v>33665</v>
      </c>
      <c r="H13" s="22">
        <f t="shared" ca="1" si="0"/>
        <v>34</v>
      </c>
      <c r="I13" s="19" t="s">
        <v>26</v>
      </c>
      <c r="J13" s="18" t="s">
        <v>27</v>
      </c>
      <c r="K13" s="18"/>
      <c r="L13" s="23" t="s">
        <v>106</v>
      </c>
      <c r="M13" s="23" t="s">
        <v>107</v>
      </c>
      <c r="N13" s="23" t="s">
        <v>108</v>
      </c>
      <c r="O13" s="18">
        <v>17</v>
      </c>
      <c r="P13" s="24" t="s">
        <v>109</v>
      </c>
      <c r="Q13" s="25">
        <v>44228</v>
      </c>
      <c r="R13" s="13">
        <v>0</v>
      </c>
      <c r="S13" s="26" t="str">
        <f>VLOOKUP(C13,'[1]Head Office '!$B$7:$I$98,8,0)</f>
        <v>05280010044937960019</v>
      </c>
      <c r="T13" s="25" t="s">
        <v>32</v>
      </c>
      <c r="U13" s="25" t="s">
        <v>33</v>
      </c>
      <c r="V13" s="25" t="s">
        <v>110</v>
      </c>
      <c r="W13" s="27" t="s">
        <v>111</v>
      </c>
      <c r="X13" s="28" t="s">
        <v>112</v>
      </c>
      <c r="Y13" s="28" t="str">
        <f>VLOOKUP(C13,[2]Final!$J$2:$T$175,11,0)</f>
        <v>m.ahmad_555@yahoo.com</v>
      </c>
      <c r="Z13" s="29" t="s">
        <v>37</v>
      </c>
    </row>
    <row r="14" spans="1:26" ht="30" customHeight="1" thickBot="1" x14ac:dyDescent="0.25">
      <c r="A14" s="17">
        <f t="shared" si="1"/>
        <v>13</v>
      </c>
      <c r="B14" s="18" t="s">
        <v>25</v>
      </c>
      <c r="C14" s="19">
        <v>3520241082553</v>
      </c>
      <c r="D14" s="19">
        <v>1897</v>
      </c>
      <c r="E14" s="20">
        <v>44994</v>
      </c>
      <c r="F14" s="20">
        <v>48647</v>
      </c>
      <c r="G14" s="21">
        <v>30082</v>
      </c>
      <c r="H14" s="22">
        <f t="shared" ca="1" si="0"/>
        <v>44</v>
      </c>
      <c r="I14" s="19" t="s">
        <v>26</v>
      </c>
      <c r="J14" s="18" t="s">
        <v>27</v>
      </c>
      <c r="K14" s="18"/>
      <c r="L14" s="23" t="s">
        <v>113</v>
      </c>
      <c r="M14" s="23" t="s">
        <v>114</v>
      </c>
      <c r="N14" s="23" t="s">
        <v>115</v>
      </c>
      <c r="O14" s="18">
        <v>17</v>
      </c>
      <c r="P14" s="24" t="s">
        <v>116</v>
      </c>
      <c r="Q14" s="25">
        <v>42968</v>
      </c>
      <c r="R14" s="13">
        <v>0</v>
      </c>
      <c r="S14" s="26" t="str">
        <f>VLOOKUP(C14,'[1]Head Office '!$B$7:$I$98,8,0)</f>
        <v>02880010046629640010</v>
      </c>
      <c r="T14" s="25" t="s">
        <v>32</v>
      </c>
      <c r="U14" s="25" t="s">
        <v>33</v>
      </c>
      <c r="V14" s="25" t="s">
        <v>117</v>
      </c>
      <c r="W14" s="27" t="s">
        <v>118</v>
      </c>
      <c r="X14" s="28" t="s">
        <v>119</v>
      </c>
      <c r="Y14" s="28" t="str">
        <f>VLOOKUP(C14,[2]Final!$J$2:$T$175,11,0)</f>
        <v>baloch.rabnawaz@gmail.com</v>
      </c>
      <c r="Z14" s="29" t="s">
        <v>37</v>
      </c>
    </row>
    <row r="15" spans="1:26" ht="30" customHeight="1" thickBot="1" x14ac:dyDescent="0.25">
      <c r="A15" s="17">
        <f t="shared" si="1"/>
        <v>14</v>
      </c>
      <c r="B15" s="18" t="s">
        <v>25</v>
      </c>
      <c r="C15" s="19">
        <v>3520278022145</v>
      </c>
      <c r="D15" s="19">
        <v>55</v>
      </c>
      <c r="E15" s="20">
        <v>44533</v>
      </c>
      <c r="F15" s="20">
        <v>48185</v>
      </c>
      <c r="G15" s="21">
        <v>33263</v>
      </c>
      <c r="H15" s="22">
        <f t="shared" ca="1" si="0"/>
        <v>35</v>
      </c>
      <c r="I15" s="19" t="s">
        <v>26</v>
      </c>
      <c r="J15" s="18" t="s">
        <v>27</v>
      </c>
      <c r="K15" s="18"/>
      <c r="L15" s="23" t="s">
        <v>120</v>
      </c>
      <c r="M15" s="23" t="s">
        <v>121</v>
      </c>
      <c r="N15" s="23" t="s">
        <v>122</v>
      </c>
      <c r="O15" s="18">
        <v>17</v>
      </c>
      <c r="P15" s="24" t="s">
        <v>41</v>
      </c>
      <c r="Q15" s="25">
        <v>42896</v>
      </c>
      <c r="R15" s="13">
        <v>0</v>
      </c>
      <c r="S15" s="26" t="str">
        <f>VLOOKUP(C15,'[1]Head Office '!$B$7:$I$98,8,0)</f>
        <v>02880010045636930033</v>
      </c>
      <c r="T15" s="25" t="s">
        <v>32</v>
      </c>
      <c r="U15" s="25" t="s">
        <v>33</v>
      </c>
      <c r="V15" s="25" t="s">
        <v>123</v>
      </c>
      <c r="W15" s="27" t="s">
        <v>124</v>
      </c>
      <c r="X15" s="28" t="s">
        <v>125</v>
      </c>
      <c r="Y15" s="28" t="str">
        <f>VLOOKUP(C15,[2]Final!$J$2:$T$175,11,0)</f>
        <v>mmmoeen_525@gmail.com</v>
      </c>
      <c r="Z15" s="29" t="s">
        <v>37</v>
      </c>
    </row>
    <row r="16" spans="1:26" ht="30" customHeight="1" thickBot="1" x14ac:dyDescent="0.25">
      <c r="A16" s="17">
        <f t="shared" si="1"/>
        <v>15</v>
      </c>
      <c r="B16" s="18" t="s">
        <v>25</v>
      </c>
      <c r="C16" s="19">
        <v>3110125338133</v>
      </c>
      <c r="D16" s="19">
        <v>68</v>
      </c>
      <c r="E16" s="20">
        <v>44522</v>
      </c>
      <c r="F16" s="20">
        <v>48174</v>
      </c>
      <c r="G16" s="21">
        <v>33307</v>
      </c>
      <c r="H16" s="22">
        <f t="shared" ca="1" si="0"/>
        <v>35</v>
      </c>
      <c r="I16" s="19" t="s">
        <v>26</v>
      </c>
      <c r="J16" s="18" t="s">
        <v>27</v>
      </c>
      <c r="K16" s="18"/>
      <c r="L16" s="23" t="s">
        <v>126</v>
      </c>
      <c r="M16" s="23" t="s">
        <v>127</v>
      </c>
      <c r="N16" s="23" t="s">
        <v>128</v>
      </c>
      <c r="O16" s="18">
        <v>17</v>
      </c>
      <c r="P16" s="24" t="s">
        <v>55</v>
      </c>
      <c r="Q16" s="25">
        <v>42948</v>
      </c>
      <c r="R16" s="13">
        <v>0</v>
      </c>
      <c r="S16" s="26" t="str">
        <f>VLOOKUP(C16,'[1]Head Office '!$B$7:$I$98,8,0)</f>
        <v>02880010046336480016</v>
      </c>
      <c r="T16" s="25" t="s">
        <v>32</v>
      </c>
      <c r="U16" s="25" t="s">
        <v>33</v>
      </c>
      <c r="V16" s="25" t="s">
        <v>129</v>
      </c>
      <c r="W16" s="27" t="s">
        <v>130</v>
      </c>
      <c r="X16" s="28" t="s">
        <v>131</v>
      </c>
      <c r="Y16" s="28" t="str">
        <f>VLOOKUP(C16,[2]Final!$J$2:$T$175,11,0)</f>
        <v>rizwanshah9919@gmail.com</v>
      </c>
      <c r="Z16" s="29" t="s">
        <v>37</v>
      </c>
    </row>
    <row r="17" spans="1:26" ht="30" customHeight="1" thickBot="1" x14ac:dyDescent="0.25">
      <c r="A17" s="17">
        <f t="shared" si="1"/>
        <v>16</v>
      </c>
      <c r="B17" s="18" t="s">
        <v>25</v>
      </c>
      <c r="C17" s="19">
        <v>3540146081723</v>
      </c>
      <c r="D17" s="19">
        <v>1543</v>
      </c>
      <c r="E17" s="20">
        <v>42660</v>
      </c>
      <c r="F17" s="20">
        <v>46312</v>
      </c>
      <c r="G17" s="21">
        <v>30936</v>
      </c>
      <c r="H17" s="22">
        <f t="shared" ca="1" si="0"/>
        <v>41</v>
      </c>
      <c r="I17" s="19" t="s">
        <v>26</v>
      </c>
      <c r="J17" s="18" t="s">
        <v>27</v>
      </c>
      <c r="K17" s="18"/>
      <c r="L17" s="30" t="s">
        <v>132</v>
      </c>
      <c r="M17" s="30" t="s">
        <v>133</v>
      </c>
      <c r="N17" s="23" t="s">
        <v>134</v>
      </c>
      <c r="O17" s="18">
        <v>17</v>
      </c>
      <c r="P17" s="24" t="s">
        <v>48</v>
      </c>
      <c r="Q17" s="25">
        <v>45292</v>
      </c>
      <c r="R17" s="13">
        <v>0</v>
      </c>
      <c r="S17" s="26" t="str">
        <f>VLOOKUP(C17,'[1]Head Office '!$B$7:$I$98,8,0)</f>
        <v>08760010022743920020</v>
      </c>
      <c r="T17" s="25" t="s">
        <v>32</v>
      </c>
      <c r="U17" s="25" t="s">
        <v>33</v>
      </c>
      <c r="V17" s="25" t="s">
        <v>135</v>
      </c>
      <c r="W17" s="27" t="s">
        <v>136</v>
      </c>
      <c r="X17" s="28" t="s">
        <v>137</v>
      </c>
      <c r="Y17" s="28" t="str">
        <f>VLOOKUP(C17,[2]Final!$J$2:$T$175,11,0)</f>
        <v xml:space="preserve">asim.shahbaz323@gmail.com </v>
      </c>
      <c r="Z17" s="29" t="s">
        <v>37</v>
      </c>
    </row>
    <row r="18" spans="1:26" ht="30" customHeight="1" thickBot="1" x14ac:dyDescent="0.25">
      <c r="A18" s="17">
        <f t="shared" si="1"/>
        <v>17</v>
      </c>
      <c r="B18" s="18" t="s">
        <v>25</v>
      </c>
      <c r="C18" s="19">
        <v>3520163912981</v>
      </c>
      <c r="D18" s="19">
        <v>218</v>
      </c>
      <c r="E18" s="20">
        <v>45973</v>
      </c>
      <c r="F18" s="20">
        <v>49625</v>
      </c>
      <c r="G18" s="21">
        <v>33359</v>
      </c>
      <c r="H18" s="22">
        <f t="shared" ca="1" si="0"/>
        <v>35</v>
      </c>
      <c r="I18" s="19" t="s">
        <v>26</v>
      </c>
      <c r="J18" s="18" t="s">
        <v>27</v>
      </c>
      <c r="K18" s="18"/>
      <c r="L18" s="23" t="s">
        <v>138</v>
      </c>
      <c r="M18" s="23" t="s">
        <v>139</v>
      </c>
      <c r="N18" s="23" t="s">
        <v>140</v>
      </c>
      <c r="O18" s="18">
        <v>17</v>
      </c>
      <c r="P18" s="24" t="s">
        <v>48</v>
      </c>
      <c r="Q18" s="25">
        <v>44287</v>
      </c>
      <c r="R18" s="13">
        <v>0</v>
      </c>
      <c r="S18" s="26" t="str">
        <f>VLOOKUP(C18,'[1]Head Office '!$B$7:$I$98,8,0)</f>
        <v>02880010066371460019</v>
      </c>
      <c r="T18" s="25" t="s">
        <v>32</v>
      </c>
      <c r="U18" s="25" t="s">
        <v>33</v>
      </c>
      <c r="V18" s="25" t="s">
        <v>141</v>
      </c>
      <c r="W18" s="27" t="s">
        <v>142</v>
      </c>
      <c r="X18" s="28" t="s">
        <v>143</v>
      </c>
      <c r="Y18" s="28" t="str">
        <f>VLOOKUP(C18,[2]Final!$J$2:$T$175,11,0)</f>
        <v xml:space="preserve">engrusmanbadar@gmail.com </v>
      </c>
      <c r="Z18" s="29" t="s">
        <v>37</v>
      </c>
    </row>
    <row r="19" spans="1:26" ht="30" customHeight="1" thickBot="1" x14ac:dyDescent="0.25">
      <c r="A19" s="17">
        <f t="shared" si="1"/>
        <v>18</v>
      </c>
      <c r="B19" s="18" t="s">
        <v>25</v>
      </c>
      <c r="C19" s="19">
        <v>3210298220329</v>
      </c>
      <c r="D19" s="19">
        <v>1367</v>
      </c>
      <c r="E19" s="20">
        <v>46167</v>
      </c>
      <c r="F19" s="20">
        <v>49820</v>
      </c>
      <c r="G19" s="21">
        <v>33734</v>
      </c>
      <c r="H19" s="22">
        <f t="shared" ca="1" si="0"/>
        <v>34</v>
      </c>
      <c r="I19" s="19" t="s">
        <v>26</v>
      </c>
      <c r="J19" s="18" t="s">
        <v>27</v>
      </c>
      <c r="K19" s="18"/>
      <c r="L19" s="23" t="s">
        <v>144</v>
      </c>
      <c r="M19" s="23" t="s">
        <v>145</v>
      </c>
      <c r="N19" s="23" t="s">
        <v>146</v>
      </c>
      <c r="O19" s="18">
        <v>17</v>
      </c>
      <c r="P19" s="24" t="s">
        <v>62</v>
      </c>
      <c r="Q19" s="25">
        <v>44662</v>
      </c>
      <c r="R19" s="13">
        <v>0</v>
      </c>
      <c r="S19" s="26" t="str">
        <f>VLOOKUP(C19,'[1]Head Office '!$B$7:$I$98,8,0)</f>
        <v>02880010037434520020</v>
      </c>
      <c r="T19" s="25" t="s">
        <v>32</v>
      </c>
      <c r="U19" s="25" t="s">
        <v>33</v>
      </c>
      <c r="V19" s="25" t="s">
        <v>147</v>
      </c>
      <c r="W19" s="27" t="s">
        <v>148</v>
      </c>
      <c r="X19" s="28" t="s">
        <v>149</v>
      </c>
      <c r="Y19" s="28" t="str">
        <f>VLOOKUP(C19,[2]Final!$J$2:$T$175,11,0)</f>
        <v>engr.barkatbalouch@gmail.com</v>
      </c>
      <c r="Z19" s="29" t="s">
        <v>37</v>
      </c>
    </row>
    <row r="20" spans="1:26" ht="30" customHeight="1" thickBot="1" x14ac:dyDescent="0.25">
      <c r="A20" s="17">
        <f t="shared" si="1"/>
        <v>19</v>
      </c>
      <c r="B20" s="18" t="s">
        <v>25</v>
      </c>
      <c r="C20" s="19">
        <v>3810261106323</v>
      </c>
      <c r="D20" s="19">
        <v>191</v>
      </c>
      <c r="E20" s="20">
        <v>44439</v>
      </c>
      <c r="F20" s="20">
        <v>48091</v>
      </c>
      <c r="G20" s="21">
        <v>34956</v>
      </c>
      <c r="H20" s="22">
        <f t="shared" ca="1" si="0"/>
        <v>30</v>
      </c>
      <c r="I20" s="19" t="s">
        <v>26</v>
      </c>
      <c r="J20" s="18" t="s">
        <v>27</v>
      </c>
      <c r="K20" s="18"/>
      <c r="L20" s="23" t="s">
        <v>150</v>
      </c>
      <c r="M20" s="23" t="s">
        <v>151</v>
      </c>
      <c r="N20" s="24" t="s">
        <v>152</v>
      </c>
      <c r="O20" s="18">
        <v>16</v>
      </c>
      <c r="P20" s="24"/>
      <c r="Q20" s="25">
        <v>42767</v>
      </c>
      <c r="R20" s="13">
        <v>0</v>
      </c>
      <c r="S20" s="26" t="str">
        <f>VLOOKUP(C20,'[1]Bazaar Salary'!$B$6:$J$1193,9,0)</f>
        <v>05700010045907130019</v>
      </c>
      <c r="T20" s="25" t="s">
        <v>32</v>
      </c>
      <c r="U20" s="25" t="s">
        <v>153</v>
      </c>
      <c r="V20" s="25" t="s">
        <v>154</v>
      </c>
      <c r="W20" s="27" t="s">
        <v>155</v>
      </c>
      <c r="X20" s="28" t="s">
        <v>156</v>
      </c>
      <c r="Y20" s="28"/>
      <c r="Z20" s="29" t="s">
        <v>37</v>
      </c>
    </row>
    <row r="21" spans="1:26" ht="30" customHeight="1" thickBot="1" x14ac:dyDescent="0.25">
      <c r="A21" s="17">
        <f t="shared" si="1"/>
        <v>20</v>
      </c>
      <c r="B21" s="18" t="s">
        <v>25</v>
      </c>
      <c r="C21" s="19">
        <v>3420162534671</v>
      </c>
      <c r="D21" s="19">
        <v>189</v>
      </c>
      <c r="E21" s="20">
        <v>44433</v>
      </c>
      <c r="F21" s="20">
        <v>48085</v>
      </c>
      <c r="G21" s="21">
        <v>32010</v>
      </c>
      <c r="H21" s="22">
        <f t="shared" ca="1" si="0"/>
        <v>38</v>
      </c>
      <c r="I21" s="19" t="s">
        <v>26</v>
      </c>
      <c r="J21" s="18" t="s">
        <v>27</v>
      </c>
      <c r="K21" s="18"/>
      <c r="L21" s="23" t="s">
        <v>157</v>
      </c>
      <c r="M21" s="23" t="s">
        <v>158</v>
      </c>
      <c r="N21" s="24" t="s">
        <v>152</v>
      </c>
      <c r="O21" s="18">
        <v>16</v>
      </c>
      <c r="P21" s="24"/>
      <c r="Q21" s="25">
        <v>42036</v>
      </c>
      <c r="R21" s="13">
        <v>0</v>
      </c>
      <c r="S21" s="26" t="str">
        <f>VLOOKUP(C21,'[1]Bazaar Salary'!$B$6:$J$1193,9,0)</f>
        <v>51870020008117450058</v>
      </c>
      <c r="T21" s="25" t="s">
        <v>32</v>
      </c>
      <c r="U21" s="25" t="s">
        <v>159</v>
      </c>
      <c r="V21" s="25" t="s">
        <v>160</v>
      </c>
      <c r="W21" s="27" t="s">
        <v>161</v>
      </c>
      <c r="X21" s="28" t="s">
        <v>162</v>
      </c>
      <c r="Y21" s="28"/>
      <c r="Z21" s="29" t="s">
        <v>37</v>
      </c>
    </row>
    <row r="22" spans="1:26" ht="30" customHeight="1" thickBot="1" x14ac:dyDescent="0.25">
      <c r="A22" s="17">
        <f t="shared" si="1"/>
        <v>21</v>
      </c>
      <c r="B22" s="18" t="s">
        <v>25</v>
      </c>
      <c r="C22" s="19">
        <v>3520191937379</v>
      </c>
      <c r="D22" s="19">
        <v>56</v>
      </c>
      <c r="E22" s="20">
        <v>42586</v>
      </c>
      <c r="F22" s="20">
        <v>46238</v>
      </c>
      <c r="G22" s="21">
        <v>31451</v>
      </c>
      <c r="H22" s="22">
        <f t="shared" ca="1" si="0"/>
        <v>40</v>
      </c>
      <c r="I22" s="19" t="s">
        <v>26</v>
      </c>
      <c r="J22" s="18" t="s">
        <v>27</v>
      </c>
      <c r="K22" s="18"/>
      <c r="L22" s="23" t="s">
        <v>163</v>
      </c>
      <c r="M22" s="23" t="s">
        <v>164</v>
      </c>
      <c r="N22" s="23" t="s">
        <v>165</v>
      </c>
      <c r="O22" s="18">
        <v>16</v>
      </c>
      <c r="P22" s="24" t="s">
        <v>83</v>
      </c>
      <c r="Q22" s="25">
        <v>42896</v>
      </c>
      <c r="R22" s="13">
        <v>0</v>
      </c>
      <c r="S22" s="26" t="str">
        <f>VLOOKUP(C22,'[1]Head Office '!$B$7:$I$98,8,0)</f>
        <v>02880010045632540010</v>
      </c>
      <c r="T22" s="25" t="s">
        <v>32</v>
      </c>
      <c r="U22" s="25" t="s">
        <v>33</v>
      </c>
      <c r="V22" s="25" t="s">
        <v>166</v>
      </c>
      <c r="W22" s="27" t="s">
        <v>167</v>
      </c>
      <c r="X22" s="28" t="s">
        <v>168</v>
      </c>
      <c r="Y22" s="28" t="str">
        <f>VLOOKUP(C22,[2]Final!$J$2:$T$175,11,0)</f>
        <v>ali.pmbmc@gmail.com</v>
      </c>
      <c r="Z22" s="29" t="s">
        <v>37</v>
      </c>
    </row>
    <row r="23" spans="1:26" ht="30" customHeight="1" thickBot="1" x14ac:dyDescent="0.25">
      <c r="A23" s="17">
        <f t="shared" si="1"/>
        <v>22</v>
      </c>
      <c r="B23" s="18" t="s">
        <v>25</v>
      </c>
      <c r="C23" s="19">
        <v>3460235786589</v>
      </c>
      <c r="D23" s="19">
        <v>52</v>
      </c>
      <c r="E23" s="20">
        <v>44700</v>
      </c>
      <c r="F23" s="20">
        <v>48353</v>
      </c>
      <c r="G23" s="21">
        <v>29619</v>
      </c>
      <c r="H23" s="22">
        <f t="shared" ca="1" si="0"/>
        <v>45</v>
      </c>
      <c r="I23" s="19" t="s">
        <v>26</v>
      </c>
      <c r="J23" s="18" t="s">
        <v>27</v>
      </c>
      <c r="K23" s="18"/>
      <c r="L23" s="23" t="s">
        <v>169</v>
      </c>
      <c r="M23" s="23" t="s">
        <v>170</v>
      </c>
      <c r="N23" s="23" t="s">
        <v>171</v>
      </c>
      <c r="O23" s="18">
        <v>16</v>
      </c>
      <c r="P23" s="24" t="s">
        <v>41</v>
      </c>
      <c r="Q23" s="25">
        <v>42614</v>
      </c>
      <c r="R23" s="13">
        <v>0</v>
      </c>
      <c r="S23" s="26" t="str">
        <f>VLOOKUP(C23,'[1]Head Office '!$B$7:$I$98,8,0)</f>
        <v>02880010045637260013</v>
      </c>
      <c r="T23" s="25" t="s">
        <v>32</v>
      </c>
      <c r="U23" s="25" t="s">
        <v>33</v>
      </c>
      <c r="V23" s="25" t="s">
        <v>172</v>
      </c>
      <c r="W23" s="27" t="s">
        <v>173</v>
      </c>
      <c r="X23" s="28" t="s">
        <v>174</v>
      </c>
      <c r="Y23" s="28" t="str">
        <f>VLOOKUP(C23,[2]Final!$J$2:$T$175,11,0)</f>
        <v xml:space="preserve">qshahzad95@gmail.com </v>
      </c>
      <c r="Z23" s="29" t="s">
        <v>37</v>
      </c>
    </row>
    <row r="24" spans="1:26" ht="30" customHeight="1" thickBot="1" x14ac:dyDescent="0.25">
      <c r="A24" s="17">
        <f t="shared" si="1"/>
        <v>23</v>
      </c>
      <c r="B24" s="18" t="s">
        <v>25</v>
      </c>
      <c r="C24" s="19">
        <v>3520254903929</v>
      </c>
      <c r="D24" s="19">
        <v>61</v>
      </c>
      <c r="E24" s="20">
        <v>44044</v>
      </c>
      <c r="F24" s="20">
        <v>47696</v>
      </c>
      <c r="G24" s="21">
        <v>32812</v>
      </c>
      <c r="H24" s="22">
        <f t="shared" ca="1" si="0"/>
        <v>36</v>
      </c>
      <c r="I24" s="19" t="s">
        <v>26</v>
      </c>
      <c r="J24" s="18" t="s">
        <v>27</v>
      </c>
      <c r="K24" s="18"/>
      <c r="L24" s="23" t="s">
        <v>175</v>
      </c>
      <c r="M24" s="23" t="s">
        <v>68</v>
      </c>
      <c r="N24" s="23" t="s">
        <v>176</v>
      </c>
      <c r="O24" s="18">
        <v>16</v>
      </c>
      <c r="P24" s="24" t="s">
        <v>83</v>
      </c>
      <c r="Q24" s="25">
        <v>43647</v>
      </c>
      <c r="R24" s="13">
        <v>0</v>
      </c>
      <c r="S24" s="26" t="str">
        <f>VLOOKUP(C24,'[1]Head Office '!$B$7:$I$98,8,0)</f>
        <v>02880010062251140011</v>
      </c>
      <c r="T24" s="25" t="s">
        <v>32</v>
      </c>
      <c r="U24" s="25" t="s">
        <v>33</v>
      </c>
      <c r="V24" s="25" t="s">
        <v>177</v>
      </c>
      <c r="W24" s="27" t="s">
        <v>178</v>
      </c>
      <c r="X24" s="28" t="s">
        <v>179</v>
      </c>
      <c r="Y24" s="28" t="str">
        <f>VLOOKUP(C24,[2]Final!$J$2:$T$175,11,0)</f>
        <v>umair_iqbal121@hotmail.com</v>
      </c>
      <c r="Z24" s="29" t="s">
        <v>37</v>
      </c>
    </row>
    <row r="25" spans="1:26" ht="30" customHeight="1" thickBot="1" x14ac:dyDescent="0.25">
      <c r="A25" s="17">
        <f t="shared" si="1"/>
        <v>24</v>
      </c>
      <c r="B25" s="18" t="s">
        <v>25</v>
      </c>
      <c r="C25" s="19">
        <v>3450173922885</v>
      </c>
      <c r="D25" s="19">
        <v>1586</v>
      </c>
      <c r="E25" s="20">
        <v>44979</v>
      </c>
      <c r="F25" s="20">
        <v>48632</v>
      </c>
      <c r="G25" s="21">
        <v>32856</v>
      </c>
      <c r="H25" s="22">
        <f t="shared" ca="1" si="0"/>
        <v>36</v>
      </c>
      <c r="I25" s="19" t="s">
        <v>26</v>
      </c>
      <c r="J25" s="18" t="s">
        <v>27</v>
      </c>
      <c r="K25" s="18"/>
      <c r="L25" s="23" t="s">
        <v>180</v>
      </c>
      <c r="M25" s="23" t="s">
        <v>181</v>
      </c>
      <c r="N25" s="23" t="s">
        <v>182</v>
      </c>
      <c r="O25" s="18">
        <v>16</v>
      </c>
      <c r="P25" s="24" t="s">
        <v>183</v>
      </c>
      <c r="Q25" s="25">
        <v>44256</v>
      </c>
      <c r="R25" s="13">
        <v>0</v>
      </c>
      <c r="S25" s="26" t="str">
        <f>VLOOKUP(C25,'[1]Bazaar Salary'!$B$6:$J$1193,9,0)</f>
        <v>05530010070198510018</v>
      </c>
      <c r="T25" s="25" t="s">
        <v>32</v>
      </c>
      <c r="U25" s="25" t="s">
        <v>33</v>
      </c>
      <c r="V25" s="25" t="s">
        <v>172</v>
      </c>
      <c r="W25" s="27" t="s">
        <v>184</v>
      </c>
      <c r="X25" s="28" t="s">
        <v>185</v>
      </c>
      <c r="Y25" s="28" t="str">
        <f>VLOOKUP(C25,[2]Final!$J$2:$T$175,11,0)</f>
        <v>tahirmajeed471@gmail.com</v>
      </c>
      <c r="Z25" s="29" t="s">
        <v>37</v>
      </c>
    </row>
    <row r="26" spans="1:26" ht="30" customHeight="1" thickBot="1" x14ac:dyDescent="0.25">
      <c r="A26" s="17">
        <f t="shared" si="1"/>
        <v>25</v>
      </c>
      <c r="B26" s="18" t="s">
        <v>25</v>
      </c>
      <c r="C26" s="19">
        <v>3410204728161</v>
      </c>
      <c r="D26" s="19">
        <v>53</v>
      </c>
      <c r="E26" s="20">
        <v>42569</v>
      </c>
      <c r="F26" s="20">
        <v>46221</v>
      </c>
      <c r="G26" s="21">
        <v>28925</v>
      </c>
      <c r="H26" s="22">
        <f t="shared" ca="1" si="0"/>
        <v>47</v>
      </c>
      <c r="I26" s="19" t="s">
        <v>26</v>
      </c>
      <c r="J26" s="18" t="s">
        <v>27</v>
      </c>
      <c r="K26" s="18"/>
      <c r="L26" s="23" t="s">
        <v>186</v>
      </c>
      <c r="M26" s="23" t="s">
        <v>187</v>
      </c>
      <c r="N26" s="23" t="s">
        <v>188</v>
      </c>
      <c r="O26" s="18">
        <v>16</v>
      </c>
      <c r="P26" s="24" t="s">
        <v>83</v>
      </c>
      <c r="Q26" s="25">
        <v>42635</v>
      </c>
      <c r="R26" s="13">
        <v>0</v>
      </c>
      <c r="S26" s="26" t="str">
        <f>VLOOKUP(C26,'[1]Head Office '!$B$7:$I$98,8,0)</f>
        <v>02880010045636430017</v>
      </c>
      <c r="T26" s="25" t="s">
        <v>32</v>
      </c>
      <c r="U26" s="25" t="s">
        <v>33</v>
      </c>
      <c r="V26" s="25" t="s">
        <v>166</v>
      </c>
      <c r="W26" s="27" t="s">
        <v>189</v>
      </c>
      <c r="X26" s="28" t="s">
        <v>190</v>
      </c>
      <c r="Y26" s="28" t="str">
        <f>VLOOKUP(C26,[2]Final!$J$2:$T$175,11,0)</f>
        <v xml:space="preserve">salman.pmbmc@gmail.com </v>
      </c>
      <c r="Z26" s="29" t="s">
        <v>37</v>
      </c>
    </row>
    <row r="27" spans="1:26" ht="30" customHeight="1" thickBot="1" x14ac:dyDescent="0.25">
      <c r="A27" s="17">
        <f t="shared" si="1"/>
        <v>26</v>
      </c>
      <c r="B27" s="18" t="s">
        <v>25</v>
      </c>
      <c r="C27" s="19">
        <v>3520011249097</v>
      </c>
      <c r="D27" s="19">
        <v>1273</v>
      </c>
      <c r="E27" s="20">
        <v>45085</v>
      </c>
      <c r="F27" s="20">
        <v>48738</v>
      </c>
      <c r="G27" s="21">
        <v>34770</v>
      </c>
      <c r="H27" s="22">
        <f t="shared" ca="1" si="0"/>
        <v>31</v>
      </c>
      <c r="I27" s="19" t="s">
        <v>26</v>
      </c>
      <c r="J27" s="18" t="s">
        <v>27</v>
      </c>
      <c r="K27" s="18"/>
      <c r="L27" s="23" t="s">
        <v>191</v>
      </c>
      <c r="M27" s="23" t="s">
        <v>192</v>
      </c>
      <c r="N27" s="23" t="s">
        <v>193</v>
      </c>
      <c r="O27" s="18">
        <v>16</v>
      </c>
      <c r="P27" s="24" t="s">
        <v>70</v>
      </c>
      <c r="Q27" s="25">
        <v>44652</v>
      </c>
      <c r="R27" s="13">
        <v>0</v>
      </c>
      <c r="S27" s="26" t="str">
        <f>VLOOKUP(C27,'[1]Head Office '!$B$7:$I$98,8,0)</f>
        <v>02880010083863700013</v>
      </c>
      <c r="T27" s="25" t="s">
        <v>32</v>
      </c>
      <c r="U27" s="25" t="s">
        <v>33</v>
      </c>
      <c r="V27" s="25" t="s">
        <v>172</v>
      </c>
      <c r="W27" s="27" t="s">
        <v>194</v>
      </c>
      <c r="X27" s="28" t="s">
        <v>195</v>
      </c>
      <c r="Y27" s="28" t="str">
        <f>VLOOKUP(C27,[2]Final!$J$2:$T$175,11,0)</f>
        <v>hashirkaleem1@gmail.com</v>
      </c>
      <c r="Z27" s="29" t="s">
        <v>37</v>
      </c>
    </row>
    <row r="28" spans="1:26" ht="30" customHeight="1" thickBot="1" x14ac:dyDescent="0.25">
      <c r="A28" s="17">
        <f t="shared" si="1"/>
        <v>27</v>
      </c>
      <c r="B28" s="18" t="s">
        <v>25</v>
      </c>
      <c r="C28" s="19">
        <v>3330259267193</v>
      </c>
      <c r="D28" s="19">
        <v>71</v>
      </c>
      <c r="E28" s="20">
        <v>43712</v>
      </c>
      <c r="F28" s="20" t="s">
        <v>196</v>
      </c>
      <c r="G28" s="21">
        <v>32732</v>
      </c>
      <c r="H28" s="22">
        <f t="shared" ca="1" si="0"/>
        <v>36</v>
      </c>
      <c r="I28" s="19" t="s">
        <v>26</v>
      </c>
      <c r="J28" s="18" t="s">
        <v>27</v>
      </c>
      <c r="K28" s="18" t="s">
        <v>197</v>
      </c>
      <c r="L28" s="23" t="s">
        <v>198</v>
      </c>
      <c r="M28" s="23" t="s">
        <v>199</v>
      </c>
      <c r="N28" s="23" t="s">
        <v>193</v>
      </c>
      <c r="O28" s="18">
        <v>16</v>
      </c>
      <c r="P28" s="24" t="s">
        <v>70</v>
      </c>
      <c r="Q28" s="25">
        <v>43661</v>
      </c>
      <c r="R28" s="13">
        <v>0</v>
      </c>
      <c r="S28" s="26" t="str">
        <f>VLOOKUP(C28,'[1]Head Office '!$B$7:$I$98,8,0)</f>
        <v>02880010063023520012</v>
      </c>
      <c r="T28" s="25" t="s">
        <v>32</v>
      </c>
      <c r="U28" s="25" t="s">
        <v>33</v>
      </c>
      <c r="V28" s="25" t="s">
        <v>200</v>
      </c>
      <c r="W28" s="27" t="s">
        <v>201</v>
      </c>
      <c r="X28" s="28" t="s">
        <v>202</v>
      </c>
      <c r="Y28" s="28" t="str">
        <f>VLOOKUP(C28,[2]Final!$J$2:$T$175,11,0)</f>
        <v xml:space="preserve">wasim.pmbmc@gmail.com </v>
      </c>
      <c r="Z28" s="29" t="s">
        <v>37</v>
      </c>
    </row>
    <row r="29" spans="1:26" ht="30" customHeight="1" thickBot="1" x14ac:dyDescent="0.25">
      <c r="A29" s="17">
        <f t="shared" si="1"/>
        <v>28</v>
      </c>
      <c r="B29" s="18" t="s">
        <v>25</v>
      </c>
      <c r="C29" s="19">
        <v>3110468804103</v>
      </c>
      <c r="D29" s="19">
        <v>63</v>
      </c>
      <c r="E29" s="20">
        <v>45226</v>
      </c>
      <c r="F29" s="20">
        <v>48879</v>
      </c>
      <c r="G29" s="21">
        <v>30839</v>
      </c>
      <c r="H29" s="22">
        <f t="shared" ca="1" si="0"/>
        <v>42</v>
      </c>
      <c r="I29" s="19" t="s">
        <v>26</v>
      </c>
      <c r="J29" s="18" t="s">
        <v>27</v>
      </c>
      <c r="K29" s="18"/>
      <c r="L29" s="23" t="s">
        <v>203</v>
      </c>
      <c r="M29" s="23" t="s">
        <v>204</v>
      </c>
      <c r="N29" s="23" t="s">
        <v>205</v>
      </c>
      <c r="O29" s="18">
        <v>16</v>
      </c>
      <c r="P29" s="24" t="s">
        <v>83</v>
      </c>
      <c r="Q29" s="25">
        <v>42524</v>
      </c>
      <c r="R29" s="13">
        <v>0</v>
      </c>
      <c r="S29" s="26" t="str">
        <f>VLOOKUP(C29,'[1]Head Office '!$B$7:$I$98,8,0)</f>
        <v>02880010045631890010</v>
      </c>
      <c r="T29" s="25" t="s">
        <v>32</v>
      </c>
      <c r="U29" s="25" t="s">
        <v>33</v>
      </c>
      <c r="V29" s="25" t="s">
        <v>206</v>
      </c>
      <c r="W29" s="27" t="s">
        <v>207</v>
      </c>
      <c r="X29" s="28" t="s">
        <v>208</v>
      </c>
      <c r="Y29" s="28" t="str">
        <f>VLOOKUP(C29,[2]Final!$J$2:$T$175,11,0)</f>
        <v>imrankafeel47@gmail.com</v>
      </c>
      <c r="Z29" s="29" t="s">
        <v>37</v>
      </c>
    </row>
    <row r="30" spans="1:26" ht="30" customHeight="1" thickBot="1" x14ac:dyDescent="0.25">
      <c r="A30" s="17">
        <f t="shared" si="1"/>
        <v>29</v>
      </c>
      <c r="B30" s="18" t="s">
        <v>25</v>
      </c>
      <c r="C30" s="19">
        <v>3520261508085</v>
      </c>
      <c r="D30" s="19">
        <v>227</v>
      </c>
      <c r="E30" s="20">
        <v>44617</v>
      </c>
      <c r="F30" s="20">
        <v>413511</v>
      </c>
      <c r="G30" s="21">
        <v>34018</v>
      </c>
      <c r="H30" s="22">
        <f t="shared" ca="1" si="0"/>
        <v>33</v>
      </c>
      <c r="I30" s="19" t="s">
        <v>26</v>
      </c>
      <c r="J30" s="18" t="s">
        <v>27</v>
      </c>
      <c r="K30" s="18"/>
      <c r="L30" s="23" t="s">
        <v>209</v>
      </c>
      <c r="M30" s="23" t="s">
        <v>210</v>
      </c>
      <c r="N30" s="23" t="s">
        <v>211</v>
      </c>
      <c r="O30" s="18">
        <v>16</v>
      </c>
      <c r="P30" s="24" t="s">
        <v>212</v>
      </c>
      <c r="Q30" s="25">
        <v>44287</v>
      </c>
      <c r="R30" s="13">
        <v>0</v>
      </c>
      <c r="S30" s="26" t="str">
        <f>VLOOKUP(C30,'[1]Head Office '!$B$7:$I$98,8,0)</f>
        <v>07890010073538210011</v>
      </c>
      <c r="T30" s="25" t="s">
        <v>32</v>
      </c>
      <c r="U30" s="25" t="s">
        <v>33</v>
      </c>
      <c r="V30" s="25" t="s">
        <v>213</v>
      </c>
      <c r="W30" s="27" t="s">
        <v>214</v>
      </c>
      <c r="X30" s="28" t="s">
        <v>215</v>
      </c>
      <c r="Y30" s="28" t="str">
        <f>VLOOKUP(C30,[2]Final!$J$2:$T$175,11,0)</f>
        <v xml:space="preserve">faisaltariqjournalist@gmail.com </v>
      </c>
      <c r="Z30" s="29" t="s">
        <v>37</v>
      </c>
    </row>
    <row r="31" spans="1:26" ht="30" customHeight="1" thickBot="1" x14ac:dyDescent="0.25">
      <c r="A31" s="17">
        <f t="shared" si="1"/>
        <v>30</v>
      </c>
      <c r="B31" s="18" t="s">
        <v>25</v>
      </c>
      <c r="C31" s="19">
        <v>3310087519217</v>
      </c>
      <c r="D31" s="19">
        <v>156</v>
      </c>
      <c r="E31" s="20">
        <v>44769</v>
      </c>
      <c r="F31" s="20">
        <v>48422</v>
      </c>
      <c r="G31" s="21">
        <v>32035</v>
      </c>
      <c r="H31" s="22">
        <f t="shared" ca="1" si="0"/>
        <v>38</v>
      </c>
      <c r="I31" s="19" t="s">
        <v>26</v>
      </c>
      <c r="J31" s="18" t="s">
        <v>27</v>
      </c>
      <c r="K31" s="18"/>
      <c r="L31" s="23" t="s">
        <v>216</v>
      </c>
      <c r="M31" s="23" t="s">
        <v>217</v>
      </c>
      <c r="N31" s="24" t="s">
        <v>218</v>
      </c>
      <c r="O31" s="18">
        <v>16</v>
      </c>
      <c r="P31" s="24"/>
      <c r="Q31" s="25">
        <v>41876</v>
      </c>
      <c r="R31" s="13">
        <v>0</v>
      </c>
      <c r="S31" s="26" t="str">
        <f>VLOOKUP(C31,'[1]Bazaar Salary'!$B$6:$J$1193,9,0)</f>
        <v>02260010065759760013</v>
      </c>
      <c r="T31" s="25" t="s">
        <v>32</v>
      </c>
      <c r="U31" s="25" t="s">
        <v>219</v>
      </c>
      <c r="V31" s="25" t="s">
        <v>220</v>
      </c>
      <c r="W31" s="27" t="s">
        <v>221</v>
      </c>
      <c r="X31" s="28" t="s">
        <v>222</v>
      </c>
      <c r="Y31" s="28"/>
      <c r="Z31" s="29" t="s">
        <v>37</v>
      </c>
    </row>
    <row r="32" spans="1:26" ht="30" customHeight="1" thickBot="1" x14ac:dyDescent="0.25">
      <c r="A32" s="17">
        <f t="shared" si="1"/>
        <v>31</v>
      </c>
      <c r="B32" s="18" t="s">
        <v>25</v>
      </c>
      <c r="C32" s="19">
        <v>3520292336747</v>
      </c>
      <c r="D32" s="19">
        <v>115</v>
      </c>
      <c r="E32" s="20">
        <v>44607</v>
      </c>
      <c r="F32" s="20">
        <v>48259</v>
      </c>
      <c r="G32" s="21">
        <v>30921</v>
      </c>
      <c r="H32" s="22">
        <f t="shared" ca="1" si="0"/>
        <v>41</v>
      </c>
      <c r="I32" s="19" t="s">
        <v>26</v>
      </c>
      <c r="J32" s="18" t="s">
        <v>27</v>
      </c>
      <c r="K32" s="18"/>
      <c r="L32" s="23" t="s">
        <v>223</v>
      </c>
      <c r="M32" s="23" t="s">
        <v>224</v>
      </c>
      <c r="N32" s="24" t="s">
        <v>152</v>
      </c>
      <c r="O32" s="18">
        <v>16</v>
      </c>
      <c r="P32" s="24"/>
      <c r="Q32" s="25">
        <v>41825</v>
      </c>
      <c r="R32" s="13">
        <v>0</v>
      </c>
      <c r="S32" s="26" t="str">
        <f>VLOOKUP(C32,'[1]Bazaar Salary'!$B$6:$J$1193,9,0)</f>
        <v>02880010045812820014</v>
      </c>
      <c r="T32" s="25" t="s">
        <v>32</v>
      </c>
      <c r="U32" s="25" t="s">
        <v>225</v>
      </c>
      <c r="V32" s="25" t="s">
        <v>226</v>
      </c>
      <c r="W32" s="27" t="s">
        <v>227</v>
      </c>
      <c r="X32" s="28" t="s">
        <v>228</v>
      </c>
      <c r="Y32" s="28"/>
      <c r="Z32" s="29" t="s">
        <v>37</v>
      </c>
    </row>
    <row r="33" spans="1:26" ht="30" customHeight="1" thickBot="1" x14ac:dyDescent="0.25">
      <c r="A33" s="17">
        <f t="shared" si="1"/>
        <v>32</v>
      </c>
      <c r="B33" s="18" t="s">
        <v>25</v>
      </c>
      <c r="C33" s="19">
        <v>3220250595479</v>
      </c>
      <c r="D33" s="19">
        <v>208</v>
      </c>
      <c r="E33" s="20">
        <v>43385</v>
      </c>
      <c r="F33" s="20" t="s">
        <v>196</v>
      </c>
      <c r="G33" s="21">
        <v>33343</v>
      </c>
      <c r="H33" s="22">
        <f t="shared" ca="1" si="0"/>
        <v>35</v>
      </c>
      <c r="I33" s="19" t="s">
        <v>26</v>
      </c>
      <c r="J33" s="18" t="s">
        <v>27</v>
      </c>
      <c r="K33" s="18" t="s">
        <v>197</v>
      </c>
      <c r="L33" s="24" t="s">
        <v>229</v>
      </c>
      <c r="M33" s="23" t="s">
        <v>230</v>
      </c>
      <c r="N33" s="24" t="s">
        <v>152</v>
      </c>
      <c r="O33" s="18">
        <v>16</v>
      </c>
      <c r="P33" s="24"/>
      <c r="Q33" s="25">
        <v>42506</v>
      </c>
      <c r="R33" s="13">
        <v>0</v>
      </c>
      <c r="S33" s="26" t="str">
        <f>VLOOKUP(C33,'[1]Bazaar Salary'!$B$6:$J$1193,9,0)</f>
        <v>51400020067616330016</v>
      </c>
      <c r="T33" s="25" t="s">
        <v>32</v>
      </c>
      <c r="U33" s="25" t="s">
        <v>231</v>
      </c>
      <c r="V33" s="25" t="s">
        <v>232</v>
      </c>
      <c r="W33" s="27" t="s">
        <v>233</v>
      </c>
      <c r="X33" s="28" t="s">
        <v>234</v>
      </c>
      <c r="Y33" s="28"/>
      <c r="Z33" s="29" t="s">
        <v>37</v>
      </c>
    </row>
    <row r="34" spans="1:26" ht="30" customHeight="1" thickBot="1" x14ac:dyDescent="0.25">
      <c r="A34" s="17">
        <f t="shared" si="1"/>
        <v>33</v>
      </c>
      <c r="B34" s="18" t="s">
        <v>25</v>
      </c>
      <c r="C34" s="19">
        <v>3120299285327</v>
      </c>
      <c r="D34" s="19">
        <v>210</v>
      </c>
      <c r="E34" s="20">
        <v>43750</v>
      </c>
      <c r="F34" s="20">
        <v>47403</v>
      </c>
      <c r="G34" s="21">
        <v>32827</v>
      </c>
      <c r="H34" s="22">
        <f t="shared" ca="1" si="0"/>
        <v>36</v>
      </c>
      <c r="I34" s="19" t="s">
        <v>26</v>
      </c>
      <c r="J34" s="18" t="s">
        <v>27</v>
      </c>
      <c r="K34" s="18"/>
      <c r="L34" s="23" t="s">
        <v>235</v>
      </c>
      <c r="M34" s="23" t="s">
        <v>236</v>
      </c>
      <c r="N34" s="24" t="s">
        <v>152</v>
      </c>
      <c r="O34" s="18">
        <v>16</v>
      </c>
      <c r="P34" s="24"/>
      <c r="Q34" s="25">
        <v>41440</v>
      </c>
      <c r="R34" s="13">
        <v>0</v>
      </c>
      <c r="S34" s="26" t="str">
        <f>VLOOKUP(C34,'[1]Bazaar Salary'!$B$6:$J$1193,9,0)</f>
        <v>09630010045752150015</v>
      </c>
      <c r="T34" s="25" t="s">
        <v>32</v>
      </c>
      <c r="U34" s="25" t="s">
        <v>237</v>
      </c>
      <c r="V34" s="25" t="s">
        <v>206</v>
      </c>
      <c r="W34" s="27" t="s">
        <v>238</v>
      </c>
      <c r="X34" s="28" t="s">
        <v>239</v>
      </c>
      <c r="Y34" s="28"/>
      <c r="Z34" s="29" t="s">
        <v>37</v>
      </c>
    </row>
    <row r="35" spans="1:26" ht="30" customHeight="1" thickBot="1" x14ac:dyDescent="0.25">
      <c r="A35" s="17">
        <f t="shared" si="1"/>
        <v>34</v>
      </c>
      <c r="B35" s="18" t="s">
        <v>25</v>
      </c>
      <c r="C35" s="19">
        <v>3330321980343</v>
      </c>
      <c r="D35" s="19">
        <v>1265</v>
      </c>
      <c r="E35" s="20">
        <v>45219</v>
      </c>
      <c r="F35" s="20">
        <v>48872</v>
      </c>
      <c r="G35" s="21">
        <v>28730</v>
      </c>
      <c r="H35" s="22">
        <f t="shared" ca="1" si="0"/>
        <v>47</v>
      </c>
      <c r="I35" s="19" t="s">
        <v>26</v>
      </c>
      <c r="J35" s="18" t="s">
        <v>27</v>
      </c>
      <c r="K35" s="18"/>
      <c r="L35" s="23" t="s">
        <v>240</v>
      </c>
      <c r="M35" s="23" t="s">
        <v>241</v>
      </c>
      <c r="N35" s="24" t="s">
        <v>218</v>
      </c>
      <c r="O35" s="18">
        <v>16</v>
      </c>
      <c r="P35" s="24"/>
      <c r="Q35" s="25">
        <v>41093</v>
      </c>
      <c r="R35" s="13">
        <v>0</v>
      </c>
      <c r="S35" s="26" t="str">
        <f>VLOOKUP(C35,'[1]Bazaar Salary'!$B$6:$J$1193,9,0)</f>
        <v>04060010018419870016</v>
      </c>
      <c r="T35" s="25" t="s">
        <v>32</v>
      </c>
      <c r="U35" s="25" t="s">
        <v>242</v>
      </c>
      <c r="V35" s="25" t="s">
        <v>243</v>
      </c>
      <c r="W35" s="27" t="s">
        <v>244</v>
      </c>
      <c r="X35" s="28" t="s">
        <v>245</v>
      </c>
      <c r="Y35" s="28"/>
      <c r="Z35" s="29" t="s">
        <v>37</v>
      </c>
    </row>
    <row r="36" spans="1:26" ht="30" customHeight="1" thickBot="1" x14ac:dyDescent="0.25">
      <c r="A36" s="17">
        <f t="shared" si="1"/>
        <v>35</v>
      </c>
      <c r="B36" s="18" t="s">
        <v>25</v>
      </c>
      <c r="C36" s="19">
        <v>3430103839123</v>
      </c>
      <c r="D36" s="19">
        <v>176</v>
      </c>
      <c r="E36" s="20">
        <v>44665</v>
      </c>
      <c r="F36" s="20">
        <v>48318</v>
      </c>
      <c r="G36" s="21">
        <v>32926</v>
      </c>
      <c r="H36" s="22">
        <f t="shared" ca="1" si="0"/>
        <v>36</v>
      </c>
      <c r="I36" s="19" t="s">
        <v>26</v>
      </c>
      <c r="J36" s="18" t="s">
        <v>27</v>
      </c>
      <c r="K36" s="18"/>
      <c r="L36" s="23" t="s">
        <v>246</v>
      </c>
      <c r="M36" s="23" t="s">
        <v>247</v>
      </c>
      <c r="N36" s="24" t="s">
        <v>218</v>
      </c>
      <c r="O36" s="18">
        <v>16</v>
      </c>
      <c r="P36" s="24"/>
      <c r="Q36" s="25">
        <v>42614</v>
      </c>
      <c r="R36" s="13">
        <v>0</v>
      </c>
      <c r="S36" s="26" t="str">
        <f>VLOOKUP(C36,'[1]Bazaar Salary'!$B$6:$J$1193,9,0)</f>
        <v>07940010045933240017</v>
      </c>
      <c r="T36" s="25" t="s">
        <v>32</v>
      </c>
      <c r="U36" s="25" t="s">
        <v>248</v>
      </c>
      <c r="V36" s="25" t="s">
        <v>249</v>
      </c>
      <c r="W36" s="27" t="s">
        <v>250</v>
      </c>
      <c r="X36" s="28" t="s">
        <v>251</v>
      </c>
      <c r="Y36" s="28"/>
      <c r="Z36" s="29" t="s">
        <v>37</v>
      </c>
    </row>
    <row r="37" spans="1:26" ht="30" customHeight="1" thickBot="1" x14ac:dyDescent="0.25">
      <c r="A37" s="17">
        <f t="shared" si="1"/>
        <v>36</v>
      </c>
      <c r="B37" s="18" t="s">
        <v>25</v>
      </c>
      <c r="C37" s="19">
        <v>3520218380405</v>
      </c>
      <c r="D37" s="19">
        <v>139</v>
      </c>
      <c r="E37" s="20">
        <v>45877</v>
      </c>
      <c r="F37" s="20">
        <v>45877</v>
      </c>
      <c r="G37" s="21">
        <v>31522</v>
      </c>
      <c r="H37" s="22">
        <f t="shared" ca="1" si="0"/>
        <v>40</v>
      </c>
      <c r="I37" s="19" t="s">
        <v>26</v>
      </c>
      <c r="J37" s="18" t="s">
        <v>27</v>
      </c>
      <c r="K37" s="18"/>
      <c r="L37" s="23" t="s">
        <v>252</v>
      </c>
      <c r="M37" s="23" t="s">
        <v>253</v>
      </c>
      <c r="N37" s="24" t="s">
        <v>152</v>
      </c>
      <c r="O37" s="18">
        <v>16</v>
      </c>
      <c r="P37" s="24"/>
      <c r="Q37" s="25">
        <v>42200</v>
      </c>
      <c r="R37" s="13">
        <v>0</v>
      </c>
      <c r="S37" s="26" t="str">
        <f>VLOOKUP(C37,'[1]Bazaar Salary'!$B$6:$J$1193,9,0)</f>
        <v>07040010046381050016</v>
      </c>
      <c r="T37" s="25" t="s">
        <v>32</v>
      </c>
      <c r="U37" s="25" t="s">
        <v>254</v>
      </c>
      <c r="V37" s="25" t="s">
        <v>255</v>
      </c>
      <c r="W37" s="27" t="s">
        <v>256</v>
      </c>
      <c r="X37" s="28" t="s">
        <v>257</v>
      </c>
      <c r="Y37" s="28"/>
      <c r="Z37" s="29" t="s">
        <v>37</v>
      </c>
    </row>
    <row r="38" spans="1:26" ht="30" customHeight="1" thickBot="1" x14ac:dyDescent="0.25">
      <c r="A38" s="17">
        <f t="shared" si="1"/>
        <v>37</v>
      </c>
      <c r="B38" s="18" t="s">
        <v>25</v>
      </c>
      <c r="C38" s="19">
        <v>3520252460451</v>
      </c>
      <c r="D38" s="19">
        <v>121</v>
      </c>
      <c r="E38" s="20">
        <v>43033</v>
      </c>
      <c r="F38" s="20">
        <v>46685</v>
      </c>
      <c r="G38" s="21">
        <v>32076</v>
      </c>
      <c r="H38" s="22">
        <f t="shared" ca="1" si="0"/>
        <v>38</v>
      </c>
      <c r="I38" s="19" t="s">
        <v>26</v>
      </c>
      <c r="J38" s="18" t="s">
        <v>27</v>
      </c>
      <c r="K38" s="18"/>
      <c r="L38" s="23" t="s">
        <v>258</v>
      </c>
      <c r="M38" s="23" t="s">
        <v>259</v>
      </c>
      <c r="N38" s="24" t="s">
        <v>218</v>
      </c>
      <c r="O38" s="18">
        <v>16</v>
      </c>
      <c r="P38" s="24"/>
      <c r="Q38" s="25">
        <v>41729</v>
      </c>
      <c r="R38" s="13">
        <v>0</v>
      </c>
      <c r="S38" s="26" t="str">
        <f>VLOOKUP(C38,'[1]Bazaar Salary'!$B$6:$J$1193,9,0)</f>
        <v>05400010045772810014</v>
      </c>
      <c r="T38" s="25" t="s">
        <v>32</v>
      </c>
      <c r="U38" s="25" t="s">
        <v>254</v>
      </c>
      <c r="V38" s="25" t="s">
        <v>232</v>
      </c>
      <c r="W38" s="27" t="s">
        <v>260</v>
      </c>
      <c r="X38" s="28" t="s">
        <v>261</v>
      </c>
      <c r="Y38" s="28"/>
      <c r="Z38" s="29" t="s">
        <v>37</v>
      </c>
    </row>
    <row r="39" spans="1:26" ht="30" customHeight="1" thickBot="1" x14ac:dyDescent="0.25">
      <c r="A39" s="17">
        <f t="shared" si="1"/>
        <v>38</v>
      </c>
      <c r="B39" s="18" t="s">
        <v>25</v>
      </c>
      <c r="C39" s="19">
        <v>3820190911287</v>
      </c>
      <c r="D39" s="19">
        <v>169</v>
      </c>
      <c r="E39" s="20">
        <v>43048</v>
      </c>
      <c r="F39" s="20">
        <v>46700</v>
      </c>
      <c r="G39" s="21">
        <v>31711</v>
      </c>
      <c r="H39" s="22">
        <f t="shared" ca="1" si="0"/>
        <v>39</v>
      </c>
      <c r="I39" s="19" t="s">
        <v>26</v>
      </c>
      <c r="J39" s="18" t="s">
        <v>27</v>
      </c>
      <c r="K39" s="18"/>
      <c r="L39" s="24" t="s">
        <v>262</v>
      </c>
      <c r="M39" s="23" t="s">
        <v>263</v>
      </c>
      <c r="N39" s="24" t="s">
        <v>152</v>
      </c>
      <c r="O39" s="18">
        <v>14</v>
      </c>
      <c r="P39" s="24"/>
      <c r="Q39" s="25">
        <v>43176</v>
      </c>
      <c r="R39" s="13">
        <v>0</v>
      </c>
      <c r="S39" s="26" t="str">
        <f>VLOOKUP(C39,'[1]Bazaar Salary'!$B$6:$J$1193,9,0)</f>
        <v>01220010051003800042</v>
      </c>
      <c r="T39" s="25" t="s">
        <v>32</v>
      </c>
      <c r="U39" s="25" t="s">
        <v>264</v>
      </c>
      <c r="V39" s="25" t="s">
        <v>265</v>
      </c>
      <c r="W39" s="27" t="s">
        <v>266</v>
      </c>
      <c r="X39" s="28" t="s">
        <v>267</v>
      </c>
      <c r="Y39" s="28"/>
      <c r="Z39" s="29" t="s">
        <v>37</v>
      </c>
    </row>
    <row r="40" spans="1:26" ht="30" customHeight="1" thickBot="1" x14ac:dyDescent="0.25">
      <c r="A40" s="17">
        <f t="shared" si="1"/>
        <v>39</v>
      </c>
      <c r="B40" s="18" t="s">
        <v>25</v>
      </c>
      <c r="C40" s="19">
        <v>3110129505065</v>
      </c>
      <c r="D40" s="19">
        <v>1596</v>
      </c>
      <c r="E40" s="20">
        <v>44796</v>
      </c>
      <c r="F40" s="20">
        <v>48449</v>
      </c>
      <c r="G40" s="21">
        <v>34429</v>
      </c>
      <c r="H40" s="22">
        <f t="shared" ca="1" si="0"/>
        <v>32</v>
      </c>
      <c r="I40" s="19" t="s">
        <v>26</v>
      </c>
      <c r="J40" s="18" t="s">
        <v>27</v>
      </c>
      <c r="K40" s="18"/>
      <c r="L40" s="23" t="s">
        <v>268</v>
      </c>
      <c r="M40" s="23" t="s">
        <v>269</v>
      </c>
      <c r="N40" s="24" t="s">
        <v>152</v>
      </c>
      <c r="O40" s="18">
        <v>14</v>
      </c>
      <c r="P40" s="24"/>
      <c r="Q40" s="25">
        <v>45809</v>
      </c>
      <c r="R40" s="13">
        <v>0</v>
      </c>
      <c r="S40" s="26" t="str">
        <f>VLOOKUP(C40,'[1]Bazaar Salary'!$B$6:$J$1193,9,0)</f>
        <v>10660010129372540014</v>
      </c>
      <c r="T40" s="25" t="s">
        <v>32</v>
      </c>
      <c r="U40" s="25" t="s">
        <v>270</v>
      </c>
      <c r="V40" s="25" t="s">
        <v>271</v>
      </c>
      <c r="W40" s="27" t="s">
        <v>272</v>
      </c>
      <c r="X40" s="28" t="s">
        <v>273</v>
      </c>
      <c r="Y40" s="28"/>
      <c r="Z40" s="29" t="s">
        <v>37</v>
      </c>
    </row>
    <row r="41" spans="1:26" ht="30" customHeight="1" thickBot="1" x14ac:dyDescent="0.25">
      <c r="A41" s="17">
        <f t="shared" si="1"/>
        <v>40</v>
      </c>
      <c r="B41" s="18" t="s">
        <v>25</v>
      </c>
      <c r="C41" s="19">
        <v>3320255554173</v>
      </c>
      <c r="D41" s="19">
        <v>193</v>
      </c>
      <c r="E41" s="20">
        <v>42313</v>
      </c>
      <c r="F41" s="20">
        <v>45966</v>
      </c>
      <c r="G41" s="21">
        <v>32309</v>
      </c>
      <c r="H41" s="22">
        <f t="shared" ca="1" si="0"/>
        <v>38</v>
      </c>
      <c r="I41" s="19" t="s">
        <v>26</v>
      </c>
      <c r="J41" s="18" t="s">
        <v>27</v>
      </c>
      <c r="K41" s="18"/>
      <c r="L41" s="23" t="s">
        <v>274</v>
      </c>
      <c r="M41" s="23" t="s">
        <v>275</v>
      </c>
      <c r="N41" s="24" t="s">
        <v>152</v>
      </c>
      <c r="O41" s="18">
        <v>14</v>
      </c>
      <c r="P41" s="24"/>
      <c r="Q41" s="25">
        <v>42500</v>
      </c>
      <c r="R41" s="13">
        <v>0</v>
      </c>
      <c r="S41" s="26" t="str">
        <f>VLOOKUP(C41,'[1]Bazaar Salary'!$B$6:$J$1193,9,0)</f>
        <v>02880010045889700012</v>
      </c>
      <c r="T41" s="25" t="s">
        <v>32</v>
      </c>
      <c r="U41" s="25" t="s">
        <v>276</v>
      </c>
      <c r="V41" s="25" t="s">
        <v>265</v>
      </c>
      <c r="W41" s="27" t="s">
        <v>277</v>
      </c>
      <c r="X41" s="28" t="s">
        <v>278</v>
      </c>
      <c r="Y41" s="28"/>
      <c r="Z41" s="29" t="s">
        <v>37</v>
      </c>
    </row>
    <row r="42" spans="1:26" ht="30" customHeight="1" thickBot="1" x14ac:dyDescent="0.25">
      <c r="A42" s="17">
        <f t="shared" si="1"/>
        <v>41</v>
      </c>
      <c r="B42" s="18" t="s">
        <v>25</v>
      </c>
      <c r="C42" s="19">
        <v>3520250513049</v>
      </c>
      <c r="D42" s="19">
        <v>1196</v>
      </c>
      <c r="E42" s="20">
        <v>44139</v>
      </c>
      <c r="F42" s="20">
        <v>47791</v>
      </c>
      <c r="G42" s="21">
        <v>35676</v>
      </c>
      <c r="H42" s="22">
        <f t="shared" ca="1" si="0"/>
        <v>28</v>
      </c>
      <c r="I42" s="19" t="s">
        <v>26</v>
      </c>
      <c r="J42" s="18" t="s">
        <v>27</v>
      </c>
      <c r="K42" s="18"/>
      <c r="L42" s="23" t="s">
        <v>279</v>
      </c>
      <c r="M42" s="23" t="s">
        <v>280</v>
      </c>
      <c r="N42" s="24" t="s">
        <v>152</v>
      </c>
      <c r="O42" s="18">
        <v>14</v>
      </c>
      <c r="P42" s="24"/>
      <c r="Q42" s="25">
        <v>44256</v>
      </c>
      <c r="R42" s="13">
        <v>0</v>
      </c>
      <c r="S42" s="26" t="str">
        <f>VLOOKUP(C42,'[1]Bazaar Salary'!$B$6:$J$1193,9,0)</f>
        <v>05320010078651400010</v>
      </c>
      <c r="T42" s="25" t="s">
        <v>32</v>
      </c>
      <c r="U42" s="25" t="s">
        <v>281</v>
      </c>
      <c r="V42" s="25" t="s">
        <v>265</v>
      </c>
      <c r="W42" s="27" t="s">
        <v>282</v>
      </c>
      <c r="X42" s="28" t="s">
        <v>283</v>
      </c>
      <c r="Y42" s="28"/>
      <c r="Z42" s="29" t="s">
        <v>37</v>
      </c>
    </row>
    <row r="43" spans="1:26" ht="30" customHeight="1" thickBot="1" x14ac:dyDescent="0.25">
      <c r="A43" s="17">
        <f t="shared" si="1"/>
        <v>42</v>
      </c>
      <c r="B43" s="18" t="s">
        <v>25</v>
      </c>
      <c r="C43" s="19">
        <v>3520263901423</v>
      </c>
      <c r="D43" s="19">
        <v>1589</v>
      </c>
      <c r="E43" s="20">
        <v>43385</v>
      </c>
      <c r="F43" s="20">
        <v>47038</v>
      </c>
      <c r="G43" s="21">
        <v>36800</v>
      </c>
      <c r="H43" s="22">
        <f t="shared" ca="1" si="0"/>
        <v>25</v>
      </c>
      <c r="I43" s="19" t="s">
        <v>26</v>
      </c>
      <c r="J43" s="18" t="s">
        <v>27</v>
      </c>
      <c r="K43" s="18"/>
      <c r="L43" s="23" t="s">
        <v>284</v>
      </c>
      <c r="M43" s="23" t="s">
        <v>285</v>
      </c>
      <c r="N43" s="24" t="s">
        <v>152</v>
      </c>
      <c r="O43" s="18">
        <v>14</v>
      </c>
      <c r="P43" s="24"/>
      <c r="Q43" s="25">
        <v>45748</v>
      </c>
      <c r="R43" s="13">
        <v>0</v>
      </c>
      <c r="S43" s="26" t="str">
        <f>VLOOKUP(C43,'[1]Bazaar Salary'!$B$6:$J$1193,9,0)</f>
        <v>03910010128791570010</v>
      </c>
      <c r="T43" s="25" t="s">
        <v>32</v>
      </c>
      <c r="U43" s="25" t="s">
        <v>286</v>
      </c>
      <c r="V43" s="25" t="s">
        <v>287</v>
      </c>
      <c r="W43" s="27" t="s">
        <v>288</v>
      </c>
      <c r="X43" s="28" t="s">
        <v>289</v>
      </c>
      <c r="Y43" s="28"/>
      <c r="Z43" s="29" t="s">
        <v>37</v>
      </c>
    </row>
    <row r="44" spans="1:26" ht="30" customHeight="1" thickBot="1" x14ac:dyDescent="0.25">
      <c r="A44" s="17">
        <f t="shared" si="1"/>
        <v>43</v>
      </c>
      <c r="B44" s="18" t="s">
        <v>25</v>
      </c>
      <c r="C44" s="19">
        <v>3210403617661</v>
      </c>
      <c r="D44" s="19">
        <v>495</v>
      </c>
      <c r="E44" s="20">
        <v>45356</v>
      </c>
      <c r="F44" s="20">
        <v>49008</v>
      </c>
      <c r="G44" s="21">
        <v>35167</v>
      </c>
      <c r="H44" s="22">
        <f t="shared" ca="1" si="0"/>
        <v>30</v>
      </c>
      <c r="I44" s="19" t="s">
        <v>26</v>
      </c>
      <c r="J44" s="18" t="s">
        <v>27</v>
      </c>
      <c r="K44" s="18"/>
      <c r="L44" s="23" t="s">
        <v>290</v>
      </c>
      <c r="M44" s="23" t="s">
        <v>291</v>
      </c>
      <c r="N44" s="24" t="s">
        <v>152</v>
      </c>
      <c r="O44" s="18">
        <v>14</v>
      </c>
      <c r="P44" s="24"/>
      <c r="Q44" s="25">
        <v>42515</v>
      </c>
      <c r="R44" s="13">
        <v>0</v>
      </c>
      <c r="S44" s="26" t="str">
        <f>VLOOKUP(C44,'[1]Bazaar Salary'!$B$6:$J$1193,9,0)</f>
        <v>00720010046056810010</v>
      </c>
      <c r="T44" s="25" t="s">
        <v>32</v>
      </c>
      <c r="U44" s="25" t="s">
        <v>292</v>
      </c>
      <c r="V44" s="25" t="s">
        <v>293</v>
      </c>
      <c r="W44" s="27" t="s">
        <v>294</v>
      </c>
      <c r="X44" s="28" t="s">
        <v>295</v>
      </c>
      <c r="Y44" s="28"/>
      <c r="Z44" s="29" t="s">
        <v>37</v>
      </c>
    </row>
    <row r="45" spans="1:26" ht="30" customHeight="1" thickBot="1" x14ac:dyDescent="0.25">
      <c r="A45" s="17">
        <f t="shared" si="1"/>
        <v>44</v>
      </c>
      <c r="B45" s="18" t="s">
        <v>25</v>
      </c>
      <c r="C45" s="19">
        <v>3460403926377</v>
      </c>
      <c r="D45" s="19">
        <v>140</v>
      </c>
      <c r="E45" s="20">
        <v>42696</v>
      </c>
      <c r="F45" s="20">
        <v>46348</v>
      </c>
      <c r="G45" s="21">
        <v>32910</v>
      </c>
      <c r="H45" s="22">
        <f t="shared" ca="1" si="0"/>
        <v>36</v>
      </c>
      <c r="I45" s="19" t="s">
        <v>26</v>
      </c>
      <c r="J45" s="18" t="s">
        <v>27</v>
      </c>
      <c r="K45" s="18"/>
      <c r="L45" s="23" t="s">
        <v>296</v>
      </c>
      <c r="M45" s="23" t="s">
        <v>297</v>
      </c>
      <c r="N45" s="24" t="s">
        <v>218</v>
      </c>
      <c r="O45" s="18">
        <v>14</v>
      </c>
      <c r="P45" s="24"/>
      <c r="Q45" s="25">
        <v>41979</v>
      </c>
      <c r="R45" s="13">
        <v>0</v>
      </c>
      <c r="S45" s="26" t="str">
        <f>VLOOKUP(C45,'[1]Bazaar Salary'!$B$6:$J$1193,9,0)</f>
        <v>09410010046436710010</v>
      </c>
      <c r="T45" s="25" t="s">
        <v>32</v>
      </c>
      <c r="U45" s="25" t="s">
        <v>298</v>
      </c>
      <c r="V45" s="25" t="s">
        <v>287</v>
      </c>
      <c r="W45" s="27" t="s">
        <v>299</v>
      </c>
      <c r="X45" s="28" t="s">
        <v>300</v>
      </c>
      <c r="Y45" s="28"/>
      <c r="Z45" s="29" t="s">
        <v>37</v>
      </c>
    </row>
    <row r="46" spans="1:26" ht="30" customHeight="1" thickBot="1" x14ac:dyDescent="0.25">
      <c r="A46" s="17">
        <f t="shared" si="1"/>
        <v>45</v>
      </c>
      <c r="B46" s="18" t="s">
        <v>25</v>
      </c>
      <c r="C46" s="19">
        <v>3410120751211</v>
      </c>
      <c r="D46" s="19">
        <v>111</v>
      </c>
      <c r="E46" s="20">
        <v>44214</v>
      </c>
      <c r="F46" s="20">
        <v>47866</v>
      </c>
      <c r="G46" s="21">
        <v>30322</v>
      </c>
      <c r="H46" s="22">
        <f t="shared" ca="1" si="0"/>
        <v>43</v>
      </c>
      <c r="I46" s="19" t="s">
        <v>26</v>
      </c>
      <c r="J46" s="18" t="s">
        <v>27</v>
      </c>
      <c r="K46" s="18"/>
      <c r="L46" s="23" t="s">
        <v>301</v>
      </c>
      <c r="M46" s="23" t="s">
        <v>302</v>
      </c>
      <c r="N46" s="24" t="s">
        <v>218</v>
      </c>
      <c r="O46" s="18">
        <v>14</v>
      </c>
      <c r="P46" s="24"/>
      <c r="Q46" s="25">
        <v>42502</v>
      </c>
      <c r="R46" s="13">
        <v>0</v>
      </c>
      <c r="S46" s="26" t="str">
        <f>VLOOKUP(C46,'[1]Bazaar Salary'!$B$6:$J$1193,9,0)</f>
        <v>01530010030676740013</v>
      </c>
      <c r="T46" s="25" t="s">
        <v>32</v>
      </c>
      <c r="U46" s="25" t="s">
        <v>303</v>
      </c>
      <c r="V46" s="25" t="s">
        <v>265</v>
      </c>
      <c r="W46" s="27" t="s">
        <v>304</v>
      </c>
      <c r="X46" s="28" t="s">
        <v>305</v>
      </c>
      <c r="Y46" s="28"/>
      <c r="Z46" s="29" t="s">
        <v>37</v>
      </c>
    </row>
    <row r="47" spans="1:26" ht="30" customHeight="1" thickBot="1" x14ac:dyDescent="0.25">
      <c r="A47" s="17">
        <f t="shared" si="1"/>
        <v>46</v>
      </c>
      <c r="B47" s="18" t="s">
        <v>25</v>
      </c>
      <c r="C47" s="19">
        <v>3510185113255</v>
      </c>
      <c r="D47" s="19">
        <v>1271</v>
      </c>
      <c r="E47" s="20">
        <v>44482</v>
      </c>
      <c r="F47" s="20">
        <v>48134</v>
      </c>
      <c r="G47" s="21">
        <v>33818</v>
      </c>
      <c r="H47" s="22">
        <f t="shared" ca="1" si="0"/>
        <v>33</v>
      </c>
      <c r="I47" s="19" t="s">
        <v>26</v>
      </c>
      <c r="J47" s="18" t="s">
        <v>27</v>
      </c>
      <c r="K47" s="18"/>
      <c r="L47" s="23" t="s">
        <v>306</v>
      </c>
      <c r="M47" s="23" t="s">
        <v>307</v>
      </c>
      <c r="N47" s="24" t="s">
        <v>308</v>
      </c>
      <c r="O47" s="18">
        <v>14</v>
      </c>
      <c r="P47" s="24"/>
      <c r="Q47" s="25">
        <v>44652</v>
      </c>
      <c r="R47" s="13">
        <v>0</v>
      </c>
      <c r="S47" s="26" t="str">
        <f>VLOOKUP(C47,'[1]Bazaar Salary'!$B$6:$J$1193,9,0)</f>
        <v>04770010083010330015</v>
      </c>
      <c r="T47" s="25" t="s">
        <v>32</v>
      </c>
      <c r="U47" s="25" t="s">
        <v>309</v>
      </c>
      <c r="V47" s="25" t="s">
        <v>310</v>
      </c>
      <c r="W47" s="27" t="s">
        <v>311</v>
      </c>
      <c r="X47" s="28" t="s">
        <v>312</v>
      </c>
      <c r="Y47" s="28"/>
      <c r="Z47" s="29" t="s">
        <v>37</v>
      </c>
    </row>
    <row r="48" spans="1:26" ht="30" customHeight="1" thickBot="1" x14ac:dyDescent="0.25">
      <c r="A48" s="17">
        <f t="shared" si="1"/>
        <v>47</v>
      </c>
      <c r="B48" s="18" t="s">
        <v>25</v>
      </c>
      <c r="C48" s="19">
        <v>3520234304283</v>
      </c>
      <c r="D48" s="19">
        <v>1896</v>
      </c>
      <c r="E48" s="20">
        <v>44672</v>
      </c>
      <c r="F48" s="20">
        <v>48325</v>
      </c>
      <c r="G48" s="21">
        <v>33443</v>
      </c>
      <c r="H48" s="22">
        <f t="shared" ca="1" si="0"/>
        <v>34</v>
      </c>
      <c r="I48" s="19" t="s">
        <v>26</v>
      </c>
      <c r="J48" s="18" t="s">
        <v>27</v>
      </c>
      <c r="K48" s="18"/>
      <c r="L48" s="23" t="s">
        <v>313</v>
      </c>
      <c r="M48" s="23" t="s">
        <v>314</v>
      </c>
      <c r="N48" s="23" t="s">
        <v>315</v>
      </c>
      <c r="O48" s="18">
        <v>14</v>
      </c>
      <c r="P48" s="24" t="s">
        <v>48</v>
      </c>
      <c r="Q48" s="25">
        <v>44256</v>
      </c>
      <c r="R48" s="13">
        <v>0</v>
      </c>
      <c r="S48" s="26" t="str">
        <f>VLOOKUP(C48,'[1]Bazaar Salary'!$B$6:$J$1193,9,0)</f>
        <v>02880010070163850015</v>
      </c>
      <c r="T48" s="25" t="s">
        <v>32</v>
      </c>
      <c r="U48" s="25" t="s">
        <v>33</v>
      </c>
      <c r="V48" s="25" t="s">
        <v>265</v>
      </c>
      <c r="W48" s="27" t="s">
        <v>316</v>
      </c>
      <c r="X48" s="28" t="s">
        <v>317</v>
      </c>
      <c r="Y48" s="28" t="str">
        <f>VLOOKUP(C48,[2]Final!$J$2:$T$175,11,0)</f>
        <v>abdulhafeez.pmbmc@gmail.com</v>
      </c>
      <c r="Z48" s="29" t="s">
        <v>37</v>
      </c>
    </row>
    <row r="49" spans="1:26" ht="30" customHeight="1" thickBot="1" x14ac:dyDescent="0.25">
      <c r="A49" s="17">
        <f t="shared" si="1"/>
        <v>48</v>
      </c>
      <c r="B49" s="18" t="s">
        <v>25</v>
      </c>
      <c r="C49" s="19">
        <v>3520261954861</v>
      </c>
      <c r="D49" s="19">
        <v>10</v>
      </c>
      <c r="E49" s="20">
        <v>43549</v>
      </c>
      <c r="F49" s="20">
        <v>47202</v>
      </c>
      <c r="G49" s="21">
        <v>36766</v>
      </c>
      <c r="H49" s="22">
        <f t="shared" ca="1" si="0"/>
        <v>25</v>
      </c>
      <c r="I49" s="19" t="s">
        <v>26</v>
      </c>
      <c r="J49" s="18" t="s">
        <v>27</v>
      </c>
      <c r="K49" s="18"/>
      <c r="L49" s="23" t="s">
        <v>318</v>
      </c>
      <c r="M49" s="23" t="s">
        <v>319</v>
      </c>
      <c r="N49" s="23" t="s">
        <v>315</v>
      </c>
      <c r="O49" s="18">
        <v>14</v>
      </c>
      <c r="P49" s="24" t="s">
        <v>70</v>
      </c>
      <c r="Q49" s="25">
        <v>44228</v>
      </c>
      <c r="R49" s="13">
        <v>0</v>
      </c>
      <c r="S49" s="26" t="str">
        <f>VLOOKUP(C49,'[1]Head Office '!$B$7:$I$98,8,0)</f>
        <v>02880010074072250017</v>
      </c>
      <c r="T49" s="25" t="s">
        <v>32</v>
      </c>
      <c r="U49" s="25" t="s">
        <v>33</v>
      </c>
      <c r="V49" s="25" t="s">
        <v>320</v>
      </c>
      <c r="W49" s="27" t="s">
        <v>321</v>
      </c>
      <c r="X49" s="28" t="s">
        <v>322</v>
      </c>
      <c r="Y49" s="28" t="str">
        <f>VLOOKUP(C49,[2]Final!$J$2:$T$175,11,0)</f>
        <v>rizwanrajpoot2550@gmail.com</v>
      </c>
      <c r="Z49" s="29" t="s">
        <v>37</v>
      </c>
    </row>
    <row r="50" spans="1:26" ht="30" customHeight="1" thickBot="1" x14ac:dyDescent="0.25">
      <c r="A50" s="17">
        <f t="shared" si="1"/>
        <v>49</v>
      </c>
      <c r="B50" s="18" t="s">
        <v>25</v>
      </c>
      <c r="C50" s="19">
        <v>3520245744217</v>
      </c>
      <c r="D50" s="19">
        <v>1344</v>
      </c>
      <c r="E50" s="20">
        <v>44447</v>
      </c>
      <c r="F50" s="20">
        <v>48099</v>
      </c>
      <c r="G50" s="21">
        <v>37567</v>
      </c>
      <c r="H50" s="22">
        <f t="shared" ca="1" si="0"/>
        <v>23</v>
      </c>
      <c r="I50" s="19" t="s">
        <v>26</v>
      </c>
      <c r="J50" s="18" t="s">
        <v>27</v>
      </c>
      <c r="K50" s="18"/>
      <c r="L50" s="23" t="s">
        <v>323</v>
      </c>
      <c r="M50" s="23" t="s">
        <v>324</v>
      </c>
      <c r="N50" s="23" t="s">
        <v>315</v>
      </c>
      <c r="O50" s="18">
        <v>14</v>
      </c>
      <c r="P50" s="24" t="s">
        <v>48</v>
      </c>
      <c r="Q50" s="25">
        <v>44652</v>
      </c>
      <c r="R50" s="13">
        <v>0</v>
      </c>
      <c r="S50" s="26" t="str">
        <f>VLOOKUP(C50,'[1]Head Office '!$B$7:$I$98,8,0)</f>
        <v>10080010089549770010</v>
      </c>
      <c r="T50" s="25" t="s">
        <v>32</v>
      </c>
      <c r="U50" s="25" t="s">
        <v>33</v>
      </c>
      <c r="V50" s="25" t="s">
        <v>172</v>
      </c>
      <c r="W50" s="27" t="s">
        <v>325</v>
      </c>
      <c r="X50" s="28" t="s">
        <v>326</v>
      </c>
      <c r="Y50" s="28" t="str">
        <f>VLOOKUP(C50,[2]Final!$J$2:$T$175,11,0)</f>
        <v>khokharzain139@gmail.com</v>
      </c>
      <c r="Z50" s="29" t="s">
        <v>37</v>
      </c>
    </row>
    <row r="51" spans="1:26" ht="30" customHeight="1" thickBot="1" x14ac:dyDescent="0.25">
      <c r="A51" s="17">
        <f t="shared" si="1"/>
        <v>50</v>
      </c>
      <c r="B51" s="18" t="s">
        <v>25</v>
      </c>
      <c r="C51" s="19">
        <v>3520173617314</v>
      </c>
      <c r="D51" s="19">
        <v>1301</v>
      </c>
      <c r="E51" s="20">
        <v>44861</v>
      </c>
      <c r="F51" s="20">
        <v>48514</v>
      </c>
      <c r="G51" s="21">
        <v>33798</v>
      </c>
      <c r="H51" s="22">
        <f t="shared" ca="1" si="0"/>
        <v>33</v>
      </c>
      <c r="I51" s="19" t="s">
        <v>26</v>
      </c>
      <c r="J51" s="18" t="s">
        <v>66</v>
      </c>
      <c r="K51" s="18"/>
      <c r="L51" s="23" t="s">
        <v>327</v>
      </c>
      <c r="M51" s="23" t="s">
        <v>328</v>
      </c>
      <c r="N51" s="23" t="s">
        <v>329</v>
      </c>
      <c r="O51" s="18">
        <v>14</v>
      </c>
      <c r="P51" s="24" t="s">
        <v>48</v>
      </c>
      <c r="Q51" s="25">
        <v>44652</v>
      </c>
      <c r="R51" s="13">
        <v>0</v>
      </c>
      <c r="S51" s="26" t="str">
        <f>VLOOKUP(C51,'[1]Head Office '!$B$7:$I$98,8,0)</f>
        <v>02880010086020360011</v>
      </c>
      <c r="T51" s="25" t="s">
        <v>32</v>
      </c>
      <c r="U51" s="25" t="s">
        <v>33</v>
      </c>
      <c r="V51" s="25" t="s">
        <v>320</v>
      </c>
      <c r="W51" s="27" t="s">
        <v>330</v>
      </c>
      <c r="X51" s="28" t="s">
        <v>331</v>
      </c>
      <c r="Y51" s="28" t="str">
        <f>VLOOKUP(C51,[2]Final!$J$2:$T$175,11,0)</f>
        <v>fatimanaqvi2017@gmail.com</v>
      </c>
      <c r="Z51" s="29" t="s">
        <v>37</v>
      </c>
    </row>
    <row r="52" spans="1:26" ht="30" customHeight="1" thickBot="1" x14ac:dyDescent="0.25">
      <c r="A52" s="17">
        <f t="shared" si="1"/>
        <v>51</v>
      </c>
      <c r="B52" s="18" t="s">
        <v>25</v>
      </c>
      <c r="C52" s="19">
        <v>3520202337837</v>
      </c>
      <c r="D52" s="19">
        <v>1521</v>
      </c>
      <c r="E52" s="20">
        <v>42957</v>
      </c>
      <c r="F52" s="20">
        <v>46609</v>
      </c>
      <c r="G52" s="21">
        <v>36361</v>
      </c>
      <c r="H52" s="22">
        <f t="shared" ca="1" si="0"/>
        <v>26</v>
      </c>
      <c r="I52" s="19" t="s">
        <v>26</v>
      </c>
      <c r="J52" s="18" t="s">
        <v>27</v>
      </c>
      <c r="K52" s="18"/>
      <c r="L52" s="23" t="s">
        <v>332</v>
      </c>
      <c r="M52" s="23" t="s">
        <v>333</v>
      </c>
      <c r="N52" s="23" t="s">
        <v>334</v>
      </c>
      <c r="O52" s="18">
        <v>14</v>
      </c>
      <c r="P52" s="24" t="s">
        <v>109</v>
      </c>
      <c r="Q52" s="25">
        <v>45292</v>
      </c>
      <c r="R52" s="13">
        <v>0</v>
      </c>
      <c r="S52" s="26" t="str">
        <f>VLOOKUP(C52,'[1]Head Office '!$B$7:$I$98,8,0)</f>
        <v>02880010112266690011</v>
      </c>
      <c r="T52" s="25" t="s">
        <v>32</v>
      </c>
      <c r="U52" s="25" t="s">
        <v>33</v>
      </c>
      <c r="V52" s="25" t="s">
        <v>335</v>
      </c>
      <c r="W52" s="27" t="s">
        <v>336</v>
      </c>
      <c r="X52" s="28" t="s">
        <v>337</v>
      </c>
      <c r="Y52" s="28" t="str">
        <f>VLOOKUP(C52,[2]Final!$J$2:$T$175,11,0)</f>
        <v>hassanshami0301@gmail.com</v>
      </c>
      <c r="Z52" s="29" t="s">
        <v>37</v>
      </c>
    </row>
    <row r="53" spans="1:26" ht="30" customHeight="1" thickBot="1" x14ac:dyDescent="0.25">
      <c r="A53" s="17">
        <f t="shared" si="1"/>
        <v>52</v>
      </c>
      <c r="B53" s="18" t="s">
        <v>25</v>
      </c>
      <c r="C53" s="19">
        <v>3520285698727</v>
      </c>
      <c r="D53" s="19">
        <v>220</v>
      </c>
      <c r="E53" s="20">
        <v>43054</v>
      </c>
      <c r="F53" s="20">
        <v>46706</v>
      </c>
      <c r="G53" s="21">
        <v>34770</v>
      </c>
      <c r="H53" s="22">
        <f t="shared" ca="1" si="0"/>
        <v>31</v>
      </c>
      <c r="I53" s="19" t="s">
        <v>26</v>
      </c>
      <c r="J53" s="18" t="s">
        <v>27</v>
      </c>
      <c r="K53" s="18"/>
      <c r="L53" s="23" t="s">
        <v>338</v>
      </c>
      <c r="M53" s="23" t="s">
        <v>339</v>
      </c>
      <c r="N53" s="23" t="s">
        <v>334</v>
      </c>
      <c r="O53" s="18">
        <v>14</v>
      </c>
      <c r="P53" s="24" t="s">
        <v>48</v>
      </c>
      <c r="Q53" s="25">
        <v>44256</v>
      </c>
      <c r="R53" s="13">
        <v>0</v>
      </c>
      <c r="S53" s="26" t="str">
        <f>VLOOKUP(C53,'[1]Bazaar Salary'!$B$6:$J$1193,9,0)</f>
        <v>02880010064821250016</v>
      </c>
      <c r="T53" s="25" t="s">
        <v>32</v>
      </c>
      <c r="U53" s="25" t="s">
        <v>33</v>
      </c>
      <c r="V53" s="25" t="s">
        <v>340</v>
      </c>
      <c r="W53" s="27" t="s">
        <v>341</v>
      </c>
      <c r="X53" s="28" t="s">
        <v>342</v>
      </c>
      <c r="Y53" s="28" t="str">
        <f>VLOOKUP(C53,[2]Final!$J$2:$T$175,11,0)</f>
        <v>Moonjutt307@gmail.com</v>
      </c>
      <c r="Z53" s="29" t="s">
        <v>37</v>
      </c>
    </row>
    <row r="54" spans="1:26" ht="30" customHeight="1" thickBot="1" x14ac:dyDescent="0.25">
      <c r="A54" s="17">
        <f t="shared" si="1"/>
        <v>53</v>
      </c>
      <c r="B54" s="18" t="s">
        <v>25</v>
      </c>
      <c r="C54" s="19">
        <v>3520209670236</v>
      </c>
      <c r="D54" s="19">
        <v>1562</v>
      </c>
      <c r="E54" s="20">
        <v>43838</v>
      </c>
      <c r="F54" s="20">
        <v>47491</v>
      </c>
      <c r="G54" s="21">
        <v>32363</v>
      </c>
      <c r="H54" s="22">
        <f t="shared" ca="1" si="0"/>
        <v>37</v>
      </c>
      <c r="I54" s="19" t="s">
        <v>26</v>
      </c>
      <c r="J54" s="18" t="s">
        <v>66</v>
      </c>
      <c r="K54" s="18"/>
      <c r="L54" s="23" t="s">
        <v>343</v>
      </c>
      <c r="M54" s="23" t="s">
        <v>344</v>
      </c>
      <c r="N54" s="23" t="s">
        <v>345</v>
      </c>
      <c r="O54" s="18">
        <v>14</v>
      </c>
      <c r="P54" s="24" t="s">
        <v>70</v>
      </c>
      <c r="Q54" s="25">
        <v>45292</v>
      </c>
      <c r="R54" s="13">
        <v>0</v>
      </c>
      <c r="S54" s="26" t="str">
        <f>VLOOKUP(C54,'[1]Bazaar Salary'!$B$6:$J$1193,9,0)</f>
        <v>07890010055396250014</v>
      </c>
      <c r="T54" s="25" t="s">
        <v>32</v>
      </c>
      <c r="U54" s="25" t="s">
        <v>33</v>
      </c>
      <c r="V54" s="25" t="s">
        <v>346</v>
      </c>
      <c r="W54" s="27" t="s">
        <v>347</v>
      </c>
      <c r="X54" s="28" t="s">
        <v>348</v>
      </c>
      <c r="Y54" s="28" t="str">
        <f>VLOOKUP(C54,[2]Final!$J$2:$T$175,11,0)</f>
        <v>saba1.pmbmc@gmail.com</v>
      </c>
      <c r="Z54" s="29" t="s">
        <v>37</v>
      </c>
    </row>
    <row r="55" spans="1:26" ht="30" customHeight="1" thickBot="1" x14ac:dyDescent="0.25">
      <c r="A55" s="17">
        <f t="shared" si="1"/>
        <v>54</v>
      </c>
      <c r="B55" s="18" t="s">
        <v>25</v>
      </c>
      <c r="C55" s="19">
        <v>3530264533005</v>
      </c>
      <c r="D55" s="19">
        <v>83</v>
      </c>
      <c r="E55" s="20">
        <v>43458</v>
      </c>
      <c r="F55" s="20">
        <v>47111</v>
      </c>
      <c r="G55" s="21">
        <v>36434</v>
      </c>
      <c r="H55" s="22">
        <f t="shared" ca="1" si="0"/>
        <v>26</v>
      </c>
      <c r="I55" s="19" t="s">
        <v>26</v>
      </c>
      <c r="J55" s="18" t="s">
        <v>27</v>
      </c>
      <c r="K55" s="18"/>
      <c r="L55" s="23" t="s">
        <v>349</v>
      </c>
      <c r="M55" s="23" t="s">
        <v>350</v>
      </c>
      <c r="N55" s="23" t="s">
        <v>351</v>
      </c>
      <c r="O55" s="18">
        <v>14</v>
      </c>
      <c r="P55" s="24" t="s">
        <v>55</v>
      </c>
      <c r="Q55" s="25">
        <v>44256</v>
      </c>
      <c r="R55" s="13">
        <v>0</v>
      </c>
      <c r="S55" s="26" t="str">
        <f>VLOOKUP(C55,'[1]Head Office '!$B$7:$I$98,8,0)</f>
        <v>57890010058748360015</v>
      </c>
      <c r="T55" s="25" t="s">
        <v>32</v>
      </c>
      <c r="U55" s="25" t="s">
        <v>33</v>
      </c>
      <c r="V55" s="25" t="s">
        <v>172</v>
      </c>
      <c r="W55" s="27" t="s">
        <v>352</v>
      </c>
      <c r="X55" s="28" t="s">
        <v>353</v>
      </c>
      <c r="Y55" s="28" t="str">
        <f>VLOOKUP(C55,[2]Final!$J$2:$T$175,11,0)</f>
        <v>husnain.malik5455@gmail.com</v>
      </c>
      <c r="Z55" s="29" t="s">
        <v>37</v>
      </c>
    </row>
    <row r="56" spans="1:26" ht="30" customHeight="1" thickBot="1" x14ac:dyDescent="0.25">
      <c r="A56" s="17">
        <f t="shared" si="1"/>
        <v>55</v>
      </c>
      <c r="B56" s="18" t="s">
        <v>25</v>
      </c>
      <c r="C56" s="19">
        <v>3840478286727</v>
      </c>
      <c r="D56" s="19">
        <v>178</v>
      </c>
      <c r="E56" s="20">
        <v>43749</v>
      </c>
      <c r="F56" s="20">
        <v>47402</v>
      </c>
      <c r="G56" s="21">
        <v>30678</v>
      </c>
      <c r="H56" s="22">
        <f t="shared" ca="1" si="0"/>
        <v>42</v>
      </c>
      <c r="I56" s="19" t="s">
        <v>26</v>
      </c>
      <c r="J56" s="18" t="s">
        <v>27</v>
      </c>
      <c r="K56" s="18"/>
      <c r="L56" s="23" t="s">
        <v>354</v>
      </c>
      <c r="M56" s="23" t="s">
        <v>355</v>
      </c>
      <c r="N56" s="23" t="s">
        <v>351</v>
      </c>
      <c r="O56" s="18">
        <v>14</v>
      </c>
      <c r="P56" s="24" t="s">
        <v>55</v>
      </c>
      <c r="Q56" s="25">
        <v>42503</v>
      </c>
      <c r="R56" s="13">
        <v>0</v>
      </c>
      <c r="S56" s="26" t="str">
        <f>VLOOKUP(C56,'[1]Bazaar Salary'!$B$6:$J$1193,9,0)</f>
        <v>06150010000897910022</v>
      </c>
      <c r="T56" s="25" t="s">
        <v>32</v>
      </c>
      <c r="U56" s="25" t="s">
        <v>33</v>
      </c>
      <c r="V56" s="25" t="s">
        <v>265</v>
      </c>
      <c r="W56" s="27" t="s">
        <v>356</v>
      </c>
      <c r="X56" s="28" t="s">
        <v>357</v>
      </c>
      <c r="Y56" s="28" t="str">
        <f>VLOOKUP(C56,[2]Final!$J$2:$T$175,11,0)</f>
        <v>zeshanawan5214@gmail.com</v>
      </c>
      <c r="Z56" s="29" t="s">
        <v>37</v>
      </c>
    </row>
    <row r="57" spans="1:26" ht="30" customHeight="1" thickBot="1" x14ac:dyDescent="0.25">
      <c r="A57" s="17">
        <f t="shared" si="1"/>
        <v>56</v>
      </c>
      <c r="B57" s="18" t="s">
        <v>25</v>
      </c>
      <c r="C57" s="19">
        <v>3230332099783</v>
      </c>
      <c r="D57" s="19">
        <v>84</v>
      </c>
      <c r="E57" s="20">
        <v>44423</v>
      </c>
      <c r="F57" s="20">
        <v>48075</v>
      </c>
      <c r="G57" s="21">
        <v>33464</v>
      </c>
      <c r="H57" s="22">
        <f t="shared" ca="1" si="0"/>
        <v>34</v>
      </c>
      <c r="I57" s="19" t="s">
        <v>26</v>
      </c>
      <c r="J57" s="18" t="s">
        <v>27</v>
      </c>
      <c r="K57" s="18"/>
      <c r="L57" s="23" t="s">
        <v>358</v>
      </c>
      <c r="M57" s="23" t="s">
        <v>359</v>
      </c>
      <c r="N57" s="23" t="s">
        <v>360</v>
      </c>
      <c r="O57" s="18">
        <v>14</v>
      </c>
      <c r="P57" s="24" t="s">
        <v>62</v>
      </c>
      <c r="Q57" s="25">
        <v>44287</v>
      </c>
      <c r="R57" s="13">
        <v>0</v>
      </c>
      <c r="S57" s="26" t="str">
        <f>VLOOKUP(C57,'[1]Head Office '!$B$7:$I$98,8,0)</f>
        <v>02880010079711300025</v>
      </c>
      <c r="T57" s="25" t="s">
        <v>32</v>
      </c>
      <c r="U57" s="25" t="s">
        <v>33</v>
      </c>
      <c r="V57" s="25" t="s">
        <v>129</v>
      </c>
      <c r="W57" s="27" t="s">
        <v>361</v>
      </c>
      <c r="X57" s="28" t="s">
        <v>362</v>
      </c>
      <c r="Y57" s="28" t="str">
        <f>VLOOKUP(C57,[2]Final!$J$2:$T$175,11,0)</f>
        <v>zeewaqar1992pmbmc@gmail.com</v>
      </c>
      <c r="Z57" s="29" t="s">
        <v>37</v>
      </c>
    </row>
    <row r="58" spans="1:26" ht="30" customHeight="1" thickBot="1" x14ac:dyDescent="0.25">
      <c r="A58" s="17">
        <f t="shared" si="1"/>
        <v>57</v>
      </c>
      <c r="B58" s="18" t="s">
        <v>25</v>
      </c>
      <c r="C58" s="19">
        <v>3650249841357</v>
      </c>
      <c r="D58" s="19">
        <v>1502</v>
      </c>
      <c r="E58" s="20">
        <v>42940</v>
      </c>
      <c r="F58" s="20">
        <v>46592</v>
      </c>
      <c r="G58" s="21">
        <v>33512</v>
      </c>
      <c r="H58" s="22">
        <f t="shared" ca="1" si="0"/>
        <v>34</v>
      </c>
      <c r="I58" s="19" t="s">
        <v>26</v>
      </c>
      <c r="J58" s="18" t="s">
        <v>27</v>
      </c>
      <c r="K58" s="18"/>
      <c r="L58" s="23" t="s">
        <v>363</v>
      </c>
      <c r="M58" s="23" t="s">
        <v>364</v>
      </c>
      <c r="N58" s="23" t="s">
        <v>365</v>
      </c>
      <c r="O58" s="18">
        <v>14</v>
      </c>
      <c r="P58" s="24" t="s">
        <v>62</v>
      </c>
      <c r="Q58" s="25">
        <v>44652</v>
      </c>
      <c r="R58" s="13">
        <v>0</v>
      </c>
      <c r="S58" s="26" t="str">
        <f>VLOOKUP(C58,'[1]Bazaar Salary'!$B$6:$J$1193,9,0)</f>
        <v>03530010094536780014</v>
      </c>
      <c r="T58" s="25" t="s">
        <v>32</v>
      </c>
      <c r="U58" s="25" t="s">
        <v>33</v>
      </c>
      <c r="V58" s="25" t="s">
        <v>172</v>
      </c>
      <c r="W58" s="27" t="s">
        <v>366</v>
      </c>
      <c r="X58" s="28" t="s">
        <v>367</v>
      </c>
      <c r="Y58" s="28" t="str">
        <f>VLOOKUP(C58,[2]Final!$J$2:$T$175,11,0)</f>
        <v>z.a.warraich190@gmail.com</v>
      </c>
      <c r="Z58" s="29" t="s">
        <v>37</v>
      </c>
    </row>
    <row r="59" spans="1:26" ht="30" customHeight="1" thickBot="1" x14ac:dyDescent="0.25">
      <c r="A59" s="17">
        <f t="shared" si="1"/>
        <v>58</v>
      </c>
      <c r="B59" s="18" t="s">
        <v>25</v>
      </c>
      <c r="C59" s="19">
        <v>3210277365551</v>
      </c>
      <c r="D59" s="19">
        <v>1520</v>
      </c>
      <c r="E59" s="20">
        <v>44371</v>
      </c>
      <c r="F59" s="20">
        <v>48023</v>
      </c>
      <c r="G59" s="21">
        <v>34064</v>
      </c>
      <c r="H59" s="22">
        <f t="shared" ca="1" si="0"/>
        <v>33</v>
      </c>
      <c r="I59" s="19" t="s">
        <v>26</v>
      </c>
      <c r="J59" s="18" t="s">
        <v>27</v>
      </c>
      <c r="K59" s="18"/>
      <c r="L59" s="23" t="s">
        <v>368</v>
      </c>
      <c r="M59" s="23" t="s">
        <v>369</v>
      </c>
      <c r="N59" s="24" t="s">
        <v>152</v>
      </c>
      <c r="O59" s="18">
        <v>14</v>
      </c>
      <c r="P59" s="24"/>
      <c r="Q59" s="25">
        <v>45292</v>
      </c>
      <c r="R59" s="13">
        <v>0</v>
      </c>
      <c r="S59" s="26" t="str">
        <f>VLOOKUP(C59,'[1]Bazaar Salary'!$B$6:$J$1193,9,0)</f>
        <v>00720010037769870014</v>
      </c>
      <c r="T59" s="25" t="s">
        <v>32</v>
      </c>
      <c r="U59" s="25" t="s">
        <v>370</v>
      </c>
      <c r="V59" s="25" t="s">
        <v>371</v>
      </c>
      <c r="W59" s="27" t="s">
        <v>372</v>
      </c>
      <c r="X59" s="28" t="s">
        <v>373</v>
      </c>
      <c r="Y59" s="28"/>
      <c r="Z59" s="29" t="s">
        <v>37</v>
      </c>
    </row>
    <row r="60" spans="1:26" ht="30" customHeight="1" thickBot="1" x14ac:dyDescent="0.25">
      <c r="A60" s="17">
        <f t="shared" si="1"/>
        <v>59</v>
      </c>
      <c r="B60" s="18" t="s">
        <v>25</v>
      </c>
      <c r="C60" s="19">
        <v>3520222176083</v>
      </c>
      <c r="D60" s="19">
        <v>129</v>
      </c>
      <c r="E60" s="20">
        <v>43255</v>
      </c>
      <c r="F60" s="20">
        <v>46908</v>
      </c>
      <c r="G60" s="21">
        <v>33714</v>
      </c>
      <c r="H60" s="22">
        <f t="shared" ca="1" si="0"/>
        <v>34</v>
      </c>
      <c r="I60" s="19" t="s">
        <v>26</v>
      </c>
      <c r="J60" s="18" t="s">
        <v>27</v>
      </c>
      <c r="K60" s="18"/>
      <c r="L60" s="23" t="s">
        <v>374</v>
      </c>
      <c r="M60" s="23" t="s">
        <v>375</v>
      </c>
      <c r="N60" s="23" t="s">
        <v>308</v>
      </c>
      <c r="O60" s="18">
        <v>14</v>
      </c>
      <c r="P60" s="24"/>
      <c r="Q60" s="25">
        <v>42768</v>
      </c>
      <c r="R60" s="13">
        <v>0</v>
      </c>
      <c r="S60" s="26" t="str">
        <f>VLOOKUP(C60,'[1]Bazaar Salary'!$B$6:$J$1193,9,0)</f>
        <v>05400010045774880017</v>
      </c>
      <c r="T60" s="25" t="s">
        <v>32</v>
      </c>
      <c r="U60" s="25" t="s">
        <v>376</v>
      </c>
      <c r="V60" s="25" t="s">
        <v>377</v>
      </c>
      <c r="W60" s="27" t="s">
        <v>378</v>
      </c>
      <c r="X60" s="28" t="s">
        <v>379</v>
      </c>
      <c r="Y60" s="28"/>
      <c r="Z60" s="29" t="s">
        <v>37</v>
      </c>
    </row>
    <row r="61" spans="1:26" ht="30" customHeight="1" thickBot="1" x14ac:dyDescent="0.25">
      <c r="A61" s="17">
        <f t="shared" si="1"/>
        <v>60</v>
      </c>
      <c r="B61" s="18" t="s">
        <v>25</v>
      </c>
      <c r="C61" s="19">
        <v>3110266573759</v>
      </c>
      <c r="D61" s="19">
        <v>1187</v>
      </c>
      <c r="E61" s="20">
        <v>43853</v>
      </c>
      <c r="F61" s="20">
        <v>47506</v>
      </c>
      <c r="G61" s="21">
        <v>35923</v>
      </c>
      <c r="H61" s="22">
        <f t="shared" ca="1" si="0"/>
        <v>28</v>
      </c>
      <c r="I61" s="19" t="s">
        <v>26</v>
      </c>
      <c r="J61" s="18" t="s">
        <v>27</v>
      </c>
      <c r="K61" s="18"/>
      <c r="L61" s="23" t="s">
        <v>380</v>
      </c>
      <c r="M61" s="23" t="s">
        <v>381</v>
      </c>
      <c r="N61" s="24" t="s">
        <v>308</v>
      </c>
      <c r="O61" s="18">
        <v>14</v>
      </c>
      <c r="P61" s="24"/>
      <c r="Q61" s="25">
        <v>44287</v>
      </c>
      <c r="R61" s="13">
        <v>0</v>
      </c>
      <c r="S61" s="26" t="str">
        <f>VLOOKUP(C61,'[1]Bazaar Salary'!$B$6:$J$1193,9,0)</f>
        <v>00570010067414100014</v>
      </c>
      <c r="T61" s="25" t="s">
        <v>32</v>
      </c>
      <c r="U61" s="25" t="s">
        <v>376</v>
      </c>
      <c r="V61" s="25" t="s">
        <v>265</v>
      </c>
      <c r="W61" s="27" t="s">
        <v>382</v>
      </c>
      <c r="X61" s="28" t="s">
        <v>383</v>
      </c>
      <c r="Y61" s="28"/>
      <c r="Z61" s="29" t="s">
        <v>37</v>
      </c>
    </row>
    <row r="62" spans="1:26" ht="30" customHeight="1" thickBot="1" x14ac:dyDescent="0.25">
      <c r="A62" s="17">
        <f t="shared" si="1"/>
        <v>61</v>
      </c>
      <c r="B62" s="18" t="s">
        <v>25</v>
      </c>
      <c r="C62" s="19">
        <v>3840339778763</v>
      </c>
      <c r="D62" s="19">
        <v>180</v>
      </c>
      <c r="E62" s="20">
        <v>44067</v>
      </c>
      <c r="F62" s="20">
        <v>47719</v>
      </c>
      <c r="G62" s="21">
        <v>32797</v>
      </c>
      <c r="H62" s="22">
        <f t="shared" ca="1" si="0"/>
        <v>36</v>
      </c>
      <c r="I62" s="19" t="s">
        <v>26</v>
      </c>
      <c r="J62" s="18" t="s">
        <v>27</v>
      </c>
      <c r="K62" s="18"/>
      <c r="L62" s="23" t="s">
        <v>384</v>
      </c>
      <c r="M62" s="23" t="s">
        <v>385</v>
      </c>
      <c r="N62" s="24" t="s">
        <v>152</v>
      </c>
      <c r="O62" s="18">
        <v>14</v>
      </c>
      <c r="P62" s="24"/>
      <c r="Q62" s="25">
        <v>42786</v>
      </c>
      <c r="R62" s="13">
        <v>0</v>
      </c>
      <c r="S62" s="26" t="str">
        <f>VLOOKUP(C62,'[1]Bazaar Salary'!$B$6:$J$1193,9,0)</f>
        <v>01220010045804760019</v>
      </c>
      <c r="T62" s="25" t="s">
        <v>32</v>
      </c>
      <c r="U62" s="25" t="s">
        <v>386</v>
      </c>
      <c r="V62" s="25" t="s">
        <v>265</v>
      </c>
      <c r="W62" s="27" t="s">
        <v>387</v>
      </c>
      <c r="X62" s="28" t="s">
        <v>388</v>
      </c>
      <c r="Y62" s="28"/>
      <c r="Z62" s="29" t="s">
        <v>37</v>
      </c>
    </row>
    <row r="63" spans="1:26" ht="30" customHeight="1" thickBot="1" x14ac:dyDescent="0.25">
      <c r="A63" s="17">
        <f t="shared" si="1"/>
        <v>62</v>
      </c>
      <c r="B63" s="18" t="s">
        <v>25</v>
      </c>
      <c r="C63" s="19">
        <v>3220247848205</v>
      </c>
      <c r="D63" s="19">
        <v>1608</v>
      </c>
      <c r="E63" s="20">
        <v>45169</v>
      </c>
      <c r="F63" s="20">
        <v>48822</v>
      </c>
      <c r="G63" s="21">
        <v>33694</v>
      </c>
      <c r="H63" s="22">
        <f t="shared" ca="1" si="0"/>
        <v>34</v>
      </c>
      <c r="I63" s="19" t="s">
        <v>26</v>
      </c>
      <c r="J63" s="18" t="s">
        <v>27</v>
      </c>
      <c r="K63" s="18"/>
      <c r="L63" s="23" t="s">
        <v>389</v>
      </c>
      <c r="M63" s="23" t="s">
        <v>390</v>
      </c>
      <c r="N63" s="24" t="s">
        <v>308</v>
      </c>
      <c r="O63" s="18">
        <v>14</v>
      </c>
      <c r="P63" s="24"/>
      <c r="Q63" s="25">
        <v>45748</v>
      </c>
      <c r="R63" s="13">
        <v>0</v>
      </c>
      <c r="S63" s="26" t="str">
        <f>VLOOKUP(C63,'[1]Bazaar Salary'!$B$6:$J$1193,9,0)</f>
        <v>07170010095689780012</v>
      </c>
      <c r="T63" s="25" t="s">
        <v>32</v>
      </c>
      <c r="U63" s="25" t="s">
        <v>391</v>
      </c>
      <c r="V63" s="25" t="s">
        <v>392</v>
      </c>
      <c r="W63" s="27" t="s">
        <v>393</v>
      </c>
      <c r="X63" s="28" t="s">
        <v>394</v>
      </c>
      <c r="Y63" s="28"/>
      <c r="Z63" s="29" t="s">
        <v>37</v>
      </c>
    </row>
    <row r="64" spans="1:26" ht="30" customHeight="1" thickBot="1" x14ac:dyDescent="0.25">
      <c r="A64" s="17">
        <f t="shared" si="1"/>
        <v>63</v>
      </c>
      <c r="B64" s="18" t="s">
        <v>25</v>
      </c>
      <c r="C64" s="19">
        <v>3650121892727</v>
      </c>
      <c r="D64" s="19">
        <v>1365</v>
      </c>
      <c r="E64" s="20">
        <v>44661</v>
      </c>
      <c r="F64" s="20">
        <v>48314</v>
      </c>
      <c r="G64" s="21">
        <v>32855</v>
      </c>
      <c r="H64" s="22">
        <f t="shared" ca="1" si="0"/>
        <v>36</v>
      </c>
      <c r="I64" s="19" t="s">
        <v>26</v>
      </c>
      <c r="J64" s="18" t="s">
        <v>27</v>
      </c>
      <c r="K64" s="18"/>
      <c r="L64" s="23" t="s">
        <v>395</v>
      </c>
      <c r="M64" s="23" t="s">
        <v>127</v>
      </c>
      <c r="N64" s="24" t="s">
        <v>308</v>
      </c>
      <c r="O64" s="18">
        <v>14</v>
      </c>
      <c r="P64" s="24"/>
      <c r="Q64" s="25">
        <v>44677</v>
      </c>
      <c r="R64" s="13">
        <v>0</v>
      </c>
      <c r="S64" s="26" t="str">
        <f>VLOOKUP(C64,'[1]Bazaar Salary'!$B$6:$J$1193,9,0)</f>
        <v>04750010094896470016</v>
      </c>
      <c r="T64" s="25" t="s">
        <v>32</v>
      </c>
      <c r="U64" s="25" t="s">
        <v>237</v>
      </c>
      <c r="V64" s="25" t="s">
        <v>265</v>
      </c>
      <c r="W64" s="27" t="s">
        <v>396</v>
      </c>
      <c r="X64" s="28" t="s">
        <v>397</v>
      </c>
      <c r="Y64" s="28"/>
      <c r="Z64" s="29" t="s">
        <v>37</v>
      </c>
    </row>
    <row r="65" spans="1:26" ht="30" customHeight="1" thickBot="1" x14ac:dyDescent="0.25">
      <c r="A65" s="17">
        <f t="shared" si="1"/>
        <v>64</v>
      </c>
      <c r="B65" s="18" t="s">
        <v>25</v>
      </c>
      <c r="C65" s="19">
        <v>3620375100139</v>
      </c>
      <c r="D65" s="19">
        <v>1323</v>
      </c>
      <c r="E65" s="20">
        <v>43238</v>
      </c>
      <c r="F65" s="20">
        <v>46891</v>
      </c>
      <c r="G65" s="21">
        <v>34263</v>
      </c>
      <c r="H65" s="22">
        <f t="shared" ca="1" si="0"/>
        <v>32</v>
      </c>
      <c r="I65" s="19" t="s">
        <v>26</v>
      </c>
      <c r="J65" s="18" t="s">
        <v>27</v>
      </c>
      <c r="K65" s="18"/>
      <c r="L65" s="23" t="s">
        <v>398</v>
      </c>
      <c r="M65" s="23" t="s">
        <v>399</v>
      </c>
      <c r="N65" s="24" t="s">
        <v>218</v>
      </c>
      <c r="O65" s="18">
        <v>14</v>
      </c>
      <c r="P65" s="24"/>
      <c r="Q65" s="25">
        <v>43179</v>
      </c>
      <c r="R65" s="13">
        <v>0</v>
      </c>
      <c r="S65" s="26" t="str">
        <f>VLOOKUP(C65,'[1]Bazaar Salary'!$B$6:$J$1193,9,0)</f>
        <v>08390010050744190032</v>
      </c>
      <c r="T65" s="25" t="s">
        <v>32</v>
      </c>
      <c r="U65" s="25" t="s">
        <v>237</v>
      </c>
      <c r="V65" s="25" t="s">
        <v>213</v>
      </c>
      <c r="W65" s="27" t="s">
        <v>400</v>
      </c>
      <c r="X65" s="28" t="s">
        <v>401</v>
      </c>
      <c r="Y65" s="28"/>
      <c r="Z65" s="29" t="s">
        <v>37</v>
      </c>
    </row>
    <row r="66" spans="1:26" ht="30" customHeight="1" thickBot="1" x14ac:dyDescent="0.25">
      <c r="A66" s="17">
        <f t="shared" si="1"/>
        <v>65</v>
      </c>
      <c r="B66" s="18" t="s">
        <v>25</v>
      </c>
      <c r="C66" s="19">
        <v>3220326994451</v>
      </c>
      <c r="D66" s="19">
        <v>207</v>
      </c>
      <c r="E66" s="20">
        <v>44303</v>
      </c>
      <c r="F66" s="20">
        <v>47955</v>
      </c>
      <c r="G66" s="21">
        <v>33613</v>
      </c>
      <c r="H66" s="22">
        <f t="shared" ref="H66:H129" ca="1" si="2">INT((TODAY()-G66)/365)</f>
        <v>34</v>
      </c>
      <c r="I66" s="19" t="s">
        <v>26</v>
      </c>
      <c r="J66" s="18" t="s">
        <v>27</v>
      </c>
      <c r="K66" s="18"/>
      <c r="L66" s="23" t="s">
        <v>402</v>
      </c>
      <c r="M66" s="23" t="s">
        <v>403</v>
      </c>
      <c r="N66" s="24" t="s">
        <v>152</v>
      </c>
      <c r="O66" s="18">
        <v>14</v>
      </c>
      <c r="P66" s="24"/>
      <c r="Q66" s="25">
        <v>42517</v>
      </c>
      <c r="R66" s="13">
        <v>0</v>
      </c>
      <c r="S66" s="26" t="str">
        <f>VLOOKUP(C66,'[1]Bazaar Salary'!$B$6:$J$1193,9,0)</f>
        <v>00720010046148270019</v>
      </c>
      <c r="T66" s="25" t="s">
        <v>32</v>
      </c>
      <c r="U66" s="25" t="s">
        <v>404</v>
      </c>
      <c r="V66" s="25" t="s">
        <v>405</v>
      </c>
      <c r="W66" s="27" t="s">
        <v>406</v>
      </c>
      <c r="X66" s="28" t="s">
        <v>407</v>
      </c>
      <c r="Y66" s="28"/>
      <c r="Z66" s="29" t="s">
        <v>37</v>
      </c>
    </row>
    <row r="67" spans="1:26" ht="30" customHeight="1" thickBot="1" x14ac:dyDescent="0.25">
      <c r="A67" s="17">
        <f t="shared" si="1"/>
        <v>66</v>
      </c>
      <c r="B67" s="18" t="s">
        <v>25</v>
      </c>
      <c r="C67" s="19">
        <v>3650188177203</v>
      </c>
      <c r="D67" s="19">
        <v>1252</v>
      </c>
      <c r="E67" s="20">
        <v>42208</v>
      </c>
      <c r="F67" s="20">
        <v>45861</v>
      </c>
      <c r="G67" s="21">
        <v>34536</v>
      </c>
      <c r="H67" s="22">
        <f t="shared" ca="1" si="2"/>
        <v>31</v>
      </c>
      <c r="I67" s="19" t="s">
        <v>26</v>
      </c>
      <c r="J67" s="18" t="s">
        <v>27</v>
      </c>
      <c r="K67" s="18"/>
      <c r="L67" s="23" t="s">
        <v>408</v>
      </c>
      <c r="M67" s="23" t="s">
        <v>409</v>
      </c>
      <c r="N67" s="24" t="s">
        <v>152</v>
      </c>
      <c r="O67" s="18">
        <v>14</v>
      </c>
      <c r="P67" s="24"/>
      <c r="Q67" s="25">
        <v>44287</v>
      </c>
      <c r="R67" s="13">
        <v>0</v>
      </c>
      <c r="S67" s="26" t="str">
        <f>VLOOKUP(C67,'[1]Bazaar Salary'!$B$6:$J$1193,9,0)</f>
        <v>03530010079447020010</v>
      </c>
      <c r="T67" s="25" t="s">
        <v>32</v>
      </c>
      <c r="U67" s="25" t="s">
        <v>410</v>
      </c>
      <c r="V67" s="25" t="s">
        <v>405</v>
      </c>
      <c r="W67" s="27" t="s">
        <v>411</v>
      </c>
      <c r="X67" s="28" t="s">
        <v>412</v>
      </c>
      <c r="Y67" s="28"/>
      <c r="Z67" s="29" t="s">
        <v>37</v>
      </c>
    </row>
    <row r="68" spans="1:26" ht="30" customHeight="1" thickBot="1" x14ac:dyDescent="0.25">
      <c r="A68" s="17">
        <f t="shared" ref="A68:A131" si="3">A67+1</f>
        <v>67</v>
      </c>
      <c r="B68" s="18" t="s">
        <v>25</v>
      </c>
      <c r="C68" s="19">
        <v>3520216185519</v>
      </c>
      <c r="D68" s="19">
        <v>143</v>
      </c>
      <c r="E68" s="20">
        <v>43636</v>
      </c>
      <c r="F68" s="20">
        <v>47289</v>
      </c>
      <c r="G68" s="21">
        <v>32397</v>
      </c>
      <c r="H68" s="22">
        <f t="shared" ca="1" si="2"/>
        <v>37</v>
      </c>
      <c r="I68" s="19" t="s">
        <v>26</v>
      </c>
      <c r="J68" s="18" t="s">
        <v>27</v>
      </c>
      <c r="K68" s="18"/>
      <c r="L68" s="23" t="s">
        <v>413</v>
      </c>
      <c r="M68" s="23" t="s">
        <v>414</v>
      </c>
      <c r="N68" s="24" t="s">
        <v>218</v>
      </c>
      <c r="O68" s="18">
        <v>14</v>
      </c>
      <c r="P68" s="24"/>
      <c r="Q68" s="25">
        <v>42948</v>
      </c>
      <c r="R68" s="13">
        <v>0</v>
      </c>
      <c r="S68" s="26" t="str">
        <f>VLOOKUP(C68,'[1]Bazaar Salary'!$B$6:$J$1193,9,0)</f>
        <v>03910010045816860019</v>
      </c>
      <c r="T68" s="25" t="s">
        <v>32</v>
      </c>
      <c r="U68" s="25" t="s">
        <v>415</v>
      </c>
      <c r="V68" s="25" t="s">
        <v>416</v>
      </c>
      <c r="W68" s="27" t="s">
        <v>417</v>
      </c>
      <c r="X68" s="28" t="s">
        <v>418</v>
      </c>
      <c r="Y68" s="28"/>
      <c r="Z68" s="29" t="s">
        <v>37</v>
      </c>
    </row>
    <row r="69" spans="1:26" ht="30" customHeight="1" thickBot="1" x14ac:dyDescent="0.25">
      <c r="A69" s="17">
        <f t="shared" si="3"/>
        <v>68</v>
      </c>
      <c r="B69" s="18" t="s">
        <v>25</v>
      </c>
      <c r="C69" s="19">
        <v>6110132428405</v>
      </c>
      <c r="D69" s="19"/>
      <c r="E69" s="20">
        <v>42627</v>
      </c>
      <c r="F69" s="20">
        <v>46279</v>
      </c>
      <c r="G69" s="21">
        <v>33915</v>
      </c>
      <c r="H69" s="22">
        <f t="shared" ca="1" si="2"/>
        <v>33</v>
      </c>
      <c r="I69" s="19" t="s">
        <v>26</v>
      </c>
      <c r="J69" s="18" t="s">
        <v>27</v>
      </c>
      <c r="K69" s="18"/>
      <c r="L69" s="23" t="s">
        <v>419</v>
      </c>
      <c r="M69" s="23" t="s">
        <v>420</v>
      </c>
      <c r="N69" s="23" t="s">
        <v>308</v>
      </c>
      <c r="O69" s="18">
        <v>14</v>
      </c>
      <c r="P69" s="24"/>
      <c r="Q69" s="31">
        <v>45809</v>
      </c>
      <c r="R69" s="13">
        <v>0</v>
      </c>
      <c r="S69" s="26" t="str">
        <f>VLOOKUP(C69,'[1]Bazaar Salary'!$B$6:$J$1193,9,0)</f>
        <v>09470010031493150012</v>
      </c>
      <c r="T69" s="25" t="s">
        <v>32</v>
      </c>
      <c r="U69" s="25" t="s">
        <v>421</v>
      </c>
      <c r="V69" s="25" t="s">
        <v>340</v>
      </c>
      <c r="W69" s="27" t="s">
        <v>422</v>
      </c>
      <c r="X69" s="28" t="s">
        <v>423</v>
      </c>
      <c r="Y69" s="28"/>
      <c r="Z69" s="29" t="s">
        <v>37</v>
      </c>
    </row>
    <row r="70" spans="1:26" ht="30" customHeight="1" thickBot="1" x14ac:dyDescent="0.25">
      <c r="A70" s="17">
        <f t="shared" si="3"/>
        <v>69</v>
      </c>
      <c r="B70" s="18" t="s">
        <v>25</v>
      </c>
      <c r="C70" s="19">
        <v>3740555801825</v>
      </c>
      <c r="D70" s="19">
        <v>192</v>
      </c>
      <c r="E70" s="20">
        <v>43673</v>
      </c>
      <c r="F70" s="20">
        <v>47326</v>
      </c>
      <c r="G70" s="21">
        <v>32508</v>
      </c>
      <c r="H70" s="22">
        <f t="shared" ca="1" si="2"/>
        <v>37</v>
      </c>
      <c r="I70" s="19" t="s">
        <v>26</v>
      </c>
      <c r="J70" s="18" t="s">
        <v>27</v>
      </c>
      <c r="K70" s="18"/>
      <c r="L70" s="23" t="s">
        <v>424</v>
      </c>
      <c r="M70" s="23" t="s">
        <v>425</v>
      </c>
      <c r="N70" s="24" t="s">
        <v>152</v>
      </c>
      <c r="O70" s="18">
        <v>14</v>
      </c>
      <c r="P70" s="24"/>
      <c r="Q70" s="25">
        <v>42767</v>
      </c>
      <c r="R70" s="13">
        <v>0</v>
      </c>
      <c r="S70" s="26" t="str">
        <f>VLOOKUP(C70,'[1]Bazaar Salary'!$B$6:$J$1193,9,0)</f>
        <v>05700010020146120019</v>
      </c>
      <c r="T70" s="25" t="s">
        <v>32</v>
      </c>
      <c r="U70" s="25" t="s">
        <v>421</v>
      </c>
      <c r="V70" s="25" t="s">
        <v>377</v>
      </c>
      <c r="W70" s="27" t="s">
        <v>426</v>
      </c>
      <c r="X70" s="28" t="s">
        <v>427</v>
      </c>
      <c r="Y70" s="28"/>
      <c r="Z70" s="29" t="s">
        <v>37</v>
      </c>
    </row>
    <row r="71" spans="1:26" ht="30" customHeight="1" thickBot="1" x14ac:dyDescent="0.25">
      <c r="A71" s="17">
        <f t="shared" si="3"/>
        <v>70</v>
      </c>
      <c r="B71" s="18" t="s">
        <v>25</v>
      </c>
      <c r="C71" s="19">
        <v>3520202739219</v>
      </c>
      <c r="D71" s="19">
        <v>165</v>
      </c>
      <c r="E71" s="20">
        <v>43444</v>
      </c>
      <c r="F71" s="20">
        <v>47097</v>
      </c>
      <c r="G71" s="21">
        <v>32780</v>
      </c>
      <c r="H71" s="22">
        <f t="shared" ca="1" si="2"/>
        <v>36</v>
      </c>
      <c r="I71" s="19" t="s">
        <v>26</v>
      </c>
      <c r="J71" s="18" t="s">
        <v>27</v>
      </c>
      <c r="K71" s="18"/>
      <c r="L71" s="23" t="s">
        <v>428</v>
      </c>
      <c r="M71" s="23" t="s">
        <v>429</v>
      </c>
      <c r="N71" s="24" t="s">
        <v>152</v>
      </c>
      <c r="O71" s="18">
        <v>14</v>
      </c>
      <c r="P71" s="24"/>
      <c r="Q71" s="25">
        <v>41753</v>
      </c>
      <c r="R71" s="13">
        <v>0</v>
      </c>
      <c r="S71" s="26" t="str">
        <f>VLOOKUP(C71,'[1]Bazaar Salary'!$B$6:$J$1193,9,0)</f>
        <v>03910010045798510010</v>
      </c>
      <c r="T71" s="25" t="s">
        <v>32</v>
      </c>
      <c r="U71" s="25" t="s">
        <v>430</v>
      </c>
      <c r="V71" s="25" t="s">
        <v>431</v>
      </c>
      <c r="W71" s="27" t="s">
        <v>432</v>
      </c>
      <c r="X71" s="28" t="s">
        <v>433</v>
      </c>
      <c r="Y71" s="28"/>
      <c r="Z71" s="29" t="s">
        <v>37</v>
      </c>
    </row>
    <row r="72" spans="1:26" ht="30" customHeight="1" thickBot="1" x14ac:dyDescent="0.25">
      <c r="A72" s="17">
        <f t="shared" si="3"/>
        <v>71</v>
      </c>
      <c r="B72" s="18" t="s">
        <v>25</v>
      </c>
      <c r="C72" s="19">
        <v>3520230474337</v>
      </c>
      <c r="D72" s="19">
        <v>126</v>
      </c>
      <c r="E72" s="20">
        <v>43060</v>
      </c>
      <c r="F72" s="20">
        <v>46712</v>
      </c>
      <c r="G72" s="21">
        <v>31348</v>
      </c>
      <c r="H72" s="22">
        <f t="shared" ca="1" si="2"/>
        <v>40</v>
      </c>
      <c r="I72" s="19" t="s">
        <v>26</v>
      </c>
      <c r="J72" s="18" t="s">
        <v>27</v>
      </c>
      <c r="K72" s="18"/>
      <c r="L72" s="23" t="s">
        <v>258</v>
      </c>
      <c r="M72" s="23" t="s">
        <v>434</v>
      </c>
      <c r="N72" s="24" t="s">
        <v>218</v>
      </c>
      <c r="O72" s="18">
        <v>14</v>
      </c>
      <c r="P72" s="24"/>
      <c r="Q72" s="25">
        <v>43077</v>
      </c>
      <c r="R72" s="13">
        <v>0</v>
      </c>
      <c r="S72" s="26" t="str">
        <f>VLOOKUP(C72,'[1]Bazaar Salary'!$B$6:$J$1193,9,0)</f>
        <v>04810010048833980013</v>
      </c>
      <c r="T72" s="25" t="s">
        <v>32</v>
      </c>
      <c r="U72" s="25" t="s">
        <v>430</v>
      </c>
      <c r="V72" s="25" t="s">
        <v>265</v>
      </c>
      <c r="W72" s="27" t="s">
        <v>435</v>
      </c>
      <c r="X72" s="28" t="s">
        <v>436</v>
      </c>
      <c r="Y72" s="28"/>
      <c r="Z72" s="29" t="s">
        <v>37</v>
      </c>
    </row>
    <row r="73" spans="1:26" ht="30" customHeight="1" thickBot="1" x14ac:dyDescent="0.25">
      <c r="A73" s="17">
        <f t="shared" si="3"/>
        <v>72</v>
      </c>
      <c r="B73" s="18" t="s">
        <v>25</v>
      </c>
      <c r="C73" s="19">
        <v>3840138854381</v>
      </c>
      <c r="D73" s="19">
        <v>199</v>
      </c>
      <c r="E73" s="20">
        <v>44301</v>
      </c>
      <c r="F73" s="20">
        <v>47953</v>
      </c>
      <c r="G73" s="21">
        <v>33099</v>
      </c>
      <c r="H73" s="22">
        <f t="shared" ca="1" si="2"/>
        <v>35</v>
      </c>
      <c r="I73" s="19" t="s">
        <v>26</v>
      </c>
      <c r="J73" s="18" t="s">
        <v>27</v>
      </c>
      <c r="K73" s="18"/>
      <c r="L73" s="23" t="s">
        <v>437</v>
      </c>
      <c r="M73" s="23" t="s">
        <v>438</v>
      </c>
      <c r="N73" s="24" t="s">
        <v>152</v>
      </c>
      <c r="O73" s="18">
        <v>14</v>
      </c>
      <c r="P73" s="24"/>
      <c r="Q73" s="25">
        <v>42948</v>
      </c>
      <c r="R73" s="13">
        <v>0</v>
      </c>
      <c r="S73" s="26" t="str">
        <f>VLOOKUP(C73,'[1]Bazaar Salary'!$B$6:$J$1193,9,0)</f>
        <v>51300020045869130017</v>
      </c>
      <c r="T73" s="25" t="s">
        <v>32</v>
      </c>
      <c r="U73" s="25" t="s">
        <v>248</v>
      </c>
      <c r="V73" s="25" t="s">
        <v>265</v>
      </c>
      <c r="W73" s="27" t="s">
        <v>439</v>
      </c>
      <c r="X73" s="28" t="s">
        <v>440</v>
      </c>
      <c r="Y73" s="28"/>
      <c r="Z73" s="29" t="s">
        <v>37</v>
      </c>
    </row>
    <row r="74" spans="1:26" ht="30" customHeight="1" thickBot="1" x14ac:dyDescent="0.25">
      <c r="A74" s="17">
        <f t="shared" si="3"/>
        <v>73</v>
      </c>
      <c r="B74" s="18" t="s">
        <v>25</v>
      </c>
      <c r="C74" s="19">
        <v>3520210306269</v>
      </c>
      <c r="D74" s="19">
        <v>138</v>
      </c>
      <c r="E74" s="20">
        <v>42367</v>
      </c>
      <c r="F74" s="20">
        <v>46020</v>
      </c>
      <c r="G74" s="21">
        <v>28552</v>
      </c>
      <c r="H74" s="22">
        <f t="shared" ca="1" si="2"/>
        <v>48</v>
      </c>
      <c r="I74" s="19" t="s">
        <v>26</v>
      </c>
      <c r="J74" s="18" t="s">
        <v>27</v>
      </c>
      <c r="K74" s="18"/>
      <c r="L74" s="23" t="s">
        <v>441</v>
      </c>
      <c r="M74" s="23" t="s">
        <v>442</v>
      </c>
      <c r="N74" s="24" t="s">
        <v>152</v>
      </c>
      <c r="O74" s="18">
        <v>14</v>
      </c>
      <c r="P74" s="24"/>
      <c r="Q74" s="25">
        <v>42195</v>
      </c>
      <c r="R74" s="13">
        <v>0</v>
      </c>
      <c r="S74" s="26" t="str">
        <f>VLOOKUP(C74,'[1]Bazaar Salary'!$B$6:$J$1193,9,0)</f>
        <v>08100010045925480010</v>
      </c>
      <c r="T74" s="25" t="s">
        <v>32</v>
      </c>
      <c r="U74" s="25" t="s">
        <v>443</v>
      </c>
      <c r="V74" s="25" t="s">
        <v>405</v>
      </c>
      <c r="W74" s="27" t="s">
        <v>444</v>
      </c>
      <c r="X74" s="28" t="s">
        <v>445</v>
      </c>
      <c r="Y74" s="28"/>
      <c r="Z74" s="29" t="s">
        <v>37</v>
      </c>
    </row>
    <row r="75" spans="1:26" ht="30" customHeight="1" thickBot="1" x14ac:dyDescent="0.25">
      <c r="A75" s="17">
        <f t="shared" si="3"/>
        <v>74</v>
      </c>
      <c r="B75" s="18" t="s">
        <v>25</v>
      </c>
      <c r="C75" s="19">
        <v>3520221351139</v>
      </c>
      <c r="D75" s="19">
        <v>201</v>
      </c>
      <c r="E75" s="20">
        <v>44642</v>
      </c>
      <c r="F75" s="20">
        <v>48295</v>
      </c>
      <c r="G75" s="21">
        <v>30514</v>
      </c>
      <c r="H75" s="22">
        <f t="shared" ca="1" si="2"/>
        <v>42</v>
      </c>
      <c r="I75" s="19" t="s">
        <v>26</v>
      </c>
      <c r="J75" s="18" t="s">
        <v>27</v>
      </c>
      <c r="K75" s="18"/>
      <c r="L75" s="23" t="s">
        <v>446</v>
      </c>
      <c r="M75" s="23" t="s">
        <v>447</v>
      </c>
      <c r="N75" s="24" t="s">
        <v>152</v>
      </c>
      <c r="O75" s="18">
        <v>14</v>
      </c>
      <c r="P75" s="24"/>
      <c r="Q75" s="25">
        <v>42782</v>
      </c>
      <c r="R75" s="13">
        <v>0</v>
      </c>
      <c r="S75" s="26" t="str">
        <f>VLOOKUP(C75,'[1]Bazaar Salary'!$B$6:$J$1193,9,0)</f>
        <v>02880010045924540011</v>
      </c>
      <c r="T75" s="25" t="s">
        <v>32</v>
      </c>
      <c r="U75" s="25" t="s">
        <v>448</v>
      </c>
      <c r="V75" s="25" t="s">
        <v>265</v>
      </c>
      <c r="W75" s="27" t="s">
        <v>449</v>
      </c>
      <c r="X75" s="28" t="s">
        <v>450</v>
      </c>
      <c r="Y75" s="28"/>
      <c r="Z75" s="29" t="s">
        <v>37</v>
      </c>
    </row>
    <row r="76" spans="1:26" ht="30" customHeight="1" thickBot="1" x14ac:dyDescent="0.25">
      <c r="A76" s="17">
        <f t="shared" si="3"/>
        <v>75</v>
      </c>
      <c r="B76" s="18" t="s">
        <v>25</v>
      </c>
      <c r="C76" s="19">
        <v>3520299929445</v>
      </c>
      <c r="D76" s="19">
        <v>181</v>
      </c>
      <c r="E76" s="20">
        <v>43235</v>
      </c>
      <c r="F76" s="20">
        <v>46888</v>
      </c>
      <c r="G76" s="21">
        <v>34558</v>
      </c>
      <c r="H76" s="22">
        <f t="shared" ca="1" si="2"/>
        <v>31</v>
      </c>
      <c r="I76" s="19" t="s">
        <v>26</v>
      </c>
      <c r="J76" s="18" t="s">
        <v>27</v>
      </c>
      <c r="K76" s="18"/>
      <c r="L76" s="23" t="s">
        <v>451</v>
      </c>
      <c r="M76" s="23" t="s">
        <v>452</v>
      </c>
      <c r="N76" s="24" t="s">
        <v>152</v>
      </c>
      <c r="O76" s="18">
        <v>14</v>
      </c>
      <c r="P76" s="24"/>
      <c r="Q76" s="25">
        <v>42948</v>
      </c>
      <c r="R76" s="13">
        <v>0</v>
      </c>
      <c r="S76" s="26" t="str">
        <f>VLOOKUP(C76,'[1]Bazaar Salary'!$B$6:$J$1193,9,0)</f>
        <v>01530010045808570010</v>
      </c>
      <c r="T76" s="25" t="s">
        <v>32</v>
      </c>
      <c r="U76" s="25" t="s">
        <v>254</v>
      </c>
      <c r="V76" s="25" t="s">
        <v>172</v>
      </c>
      <c r="W76" s="27" t="s">
        <v>453</v>
      </c>
      <c r="X76" s="28" t="s">
        <v>454</v>
      </c>
      <c r="Y76" s="28"/>
      <c r="Z76" s="29" t="s">
        <v>37</v>
      </c>
    </row>
    <row r="77" spans="1:26" ht="30" customHeight="1" thickBot="1" x14ac:dyDescent="0.25">
      <c r="A77" s="17">
        <f t="shared" si="3"/>
        <v>76</v>
      </c>
      <c r="B77" s="18" t="s">
        <v>25</v>
      </c>
      <c r="C77" s="19">
        <v>3520289876563</v>
      </c>
      <c r="D77" s="19">
        <v>1272</v>
      </c>
      <c r="E77" s="20">
        <v>44627</v>
      </c>
      <c r="F77" s="20">
        <v>48280</v>
      </c>
      <c r="G77" s="21">
        <v>33826</v>
      </c>
      <c r="H77" s="22">
        <f t="shared" ca="1" si="2"/>
        <v>33</v>
      </c>
      <c r="I77" s="19" t="s">
        <v>26</v>
      </c>
      <c r="J77" s="18" t="s">
        <v>27</v>
      </c>
      <c r="K77" s="18"/>
      <c r="L77" s="23" t="s">
        <v>455</v>
      </c>
      <c r="M77" s="23" t="s">
        <v>456</v>
      </c>
      <c r="N77" s="23" t="s">
        <v>457</v>
      </c>
      <c r="O77" s="18">
        <v>12</v>
      </c>
      <c r="P77" s="24"/>
      <c r="Q77" s="25">
        <v>42005</v>
      </c>
      <c r="R77" s="13">
        <v>0</v>
      </c>
      <c r="S77" s="26" t="str">
        <f>VLOOKUP(C77,'[1]Bazaar Salary'!$B$6:$J$1193,9,0)</f>
        <v>01530010045915910011</v>
      </c>
      <c r="T77" s="25" t="s">
        <v>32</v>
      </c>
      <c r="U77" s="25" t="s">
        <v>458</v>
      </c>
      <c r="V77" s="25" t="s">
        <v>459</v>
      </c>
      <c r="W77" s="27" t="s">
        <v>460</v>
      </c>
      <c r="X77" s="28" t="s">
        <v>461</v>
      </c>
      <c r="Y77" s="28"/>
      <c r="Z77" s="29" t="s">
        <v>37</v>
      </c>
    </row>
    <row r="78" spans="1:26" ht="30" customHeight="1" thickBot="1" x14ac:dyDescent="0.25">
      <c r="A78" s="17">
        <f t="shared" si="3"/>
        <v>77</v>
      </c>
      <c r="B78" s="18" t="s">
        <v>25</v>
      </c>
      <c r="C78" s="19">
        <v>3520278004741</v>
      </c>
      <c r="D78" s="19">
        <v>141</v>
      </c>
      <c r="E78" s="20">
        <v>44384</v>
      </c>
      <c r="F78" s="20">
        <v>48036</v>
      </c>
      <c r="G78" s="21">
        <v>35093</v>
      </c>
      <c r="H78" s="22">
        <f t="shared" ca="1" si="2"/>
        <v>30</v>
      </c>
      <c r="I78" s="19" t="s">
        <v>26</v>
      </c>
      <c r="J78" s="18" t="s">
        <v>27</v>
      </c>
      <c r="K78" s="18"/>
      <c r="L78" s="23" t="s">
        <v>462</v>
      </c>
      <c r="M78" s="23" t="s">
        <v>463</v>
      </c>
      <c r="N78" s="23" t="s">
        <v>457</v>
      </c>
      <c r="O78" s="18">
        <v>12</v>
      </c>
      <c r="P78" s="24"/>
      <c r="Q78" s="25">
        <v>42074</v>
      </c>
      <c r="R78" s="13">
        <v>0</v>
      </c>
      <c r="S78" s="26" t="str">
        <f>VLOOKUP(C78,'[1]Bazaar Salary'!$B$6:$J$1193,9,0)</f>
        <v>02880010045892940010</v>
      </c>
      <c r="T78" s="25" t="s">
        <v>32</v>
      </c>
      <c r="U78" s="25" t="s">
        <v>458</v>
      </c>
      <c r="V78" s="25" t="s">
        <v>206</v>
      </c>
      <c r="W78" s="27" t="s">
        <v>464</v>
      </c>
      <c r="X78" s="28" t="s">
        <v>465</v>
      </c>
      <c r="Y78" s="28"/>
      <c r="Z78" s="29" t="s">
        <v>37</v>
      </c>
    </row>
    <row r="79" spans="1:26" ht="30" customHeight="1" thickBot="1" x14ac:dyDescent="0.25">
      <c r="A79" s="17">
        <f t="shared" si="3"/>
        <v>78</v>
      </c>
      <c r="B79" s="18" t="s">
        <v>25</v>
      </c>
      <c r="C79" s="19">
        <v>3410145220243</v>
      </c>
      <c r="D79" s="19">
        <v>166</v>
      </c>
      <c r="E79" s="20">
        <v>43752</v>
      </c>
      <c r="F79" s="20">
        <v>47405</v>
      </c>
      <c r="G79" s="21">
        <v>32293</v>
      </c>
      <c r="H79" s="22">
        <f t="shared" ca="1" si="2"/>
        <v>38</v>
      </c>
      <c r="I79" s="19" t="s">
        <v>26</v>
      </c>
      <c r="J79" s="18" t="s">
        <v>27</v>
      </c>
      <c r="K79" s="18"/>
      <c r="L79" s="23" t="s">
        <v>466</v>
      </c>
      <c r="M79" s="23" t="s">
        <v>467</v>
      </c>
      <c r="N79" s="24" t="s">
        <v>468</v>
      </c>
      <c r="O79" s="18">
        <v>12</v>
      </c>
      <c r="P79" s="24"/>
      <c r="Q79" s="25">
        <v>41207</v>
      </c>
      <c r="R79" s="13">
        <v>0</v>
      </c>
      <c r="S79" s="26" t="str">
        <f>VLOOKUP(C79,'[1]Bazaar Salary'!$B$6:$J$1193,9,0)</f>
        <v>07300010045690960010</v>
      </c>
      <c r="T79" s="25" t="s">
        <v>32</v>
      </c>
      <c r="U79" s="25" t="s">
        <v>469</v>
      </c>
      <c r="V79" s="25" t="s">
        <v>470</v>
      </c>
      <c r="W79" s="27" t="s">
        <v>471</v>
      </c>
      <c r="X79" s="28" t="s">
        <v>472</v>
      </c>
      <c r="Y79" s="28"/>
      <c r="Z79" s="29" t="s">
        <v>37</v>
      </c>
    </row>
    <row r="80" spans="1:26" ht="30" customHeight="1" thickBot="1" x14ac:dyDescent="0.25">
      <c r="A80" s="17">
        <f t="shared" si="3"/>
        <v>79</v>
      </c>
      <c r="B80" s="18" t="s">
        <v>25</v>
      </c>
      <c r="C80" s="19">
        <v>3520247395435</v>
      </c>
      <c r="D80" s="19">
        <v>144</v>
      </c>
      <c r="E80" s="20">
        <v>44831</v>
      </c>
      <c r="F80" s="20">
        <v>48484</v>
      </c>
      <c r="G80" s="21">
        <v>31636</v>
      </c>
      <c r="H80" s="22">
        <f t="shared" ca="1" si="2"/>
        <v>39</v>
      </c>
      <c r="I80" s="19" t="s">
        <v>26</v>
      </c>
      <c r="J80" s="18" t="s">
        <v>27</v>
      </c>
      <c r="K80" s="18"/>
      <c r="L80" s="23" t="s">
        <v>473</v>
      </c>
      <c r="M80" s="23" t="s">
        <v>474</v>
      </c>
      <c r="N80" s="24" t="s">
        <v>457</v>
      </c>
      <c r="O80" s="18">
        <v>12</v>
      </c>
      <c r="P80" s="24"/>
      <c r="Q80" s="25">
        <v>41989</v>
      </c>
      <c r="R80" s="13">
        <v>0</v>
      </c>
      <c r="S80" s="26" t="str">
        <f>VLOOKUP(C80,'[1]Bazaar Salary'!$B$6:$J$1193,9,0)</f>
        <v>05420010045826550010</v>
      </c>
      <c r="T80" s="25" t="s">
        <v>32</v>
      </c>
      <c r="U80" s="25" t="s">
        <v>281</v>
      </c>
      <c r="V80" s="25" t="s">
        <v>265</v>
      </c>
      <c r="W80" s="27" t="s">
        <v>475</v>
      </c>
      <c r="X80" s="28" t="s">
        <v>476</v>
      </c>
      <c r="Y80" s="28"/>
      <c r="Z80" s="29" t="s">
        <v>37</v>
      </c>
    </row>
    <row r="81" spans="1:26" ht="30" customHeight="1" thickBot="1" x14ac:dyDescent="0.25">
      <c r="A81" s="17">
        <f t="shared" si="3"/>
        <v>80</v>
      </c>
      <c r="B81" s="18" t="s">
        <v>25</v>
      </c>
      <c r="C81" s="19">
        <v>3520233314109</v>
      </c>
      <c r="D81" s="19">
        <v>135</v>
      </c>
      <c r="E81" s="20">
        <v>43551</v>
      </c>
      <c r="F81" s="20">
        <v>47204</v>
      </c>
      <c r="G81" s="21">
        <v>32373</v>
      </c>
      <c r="H81" s="22">
        <f t="shared" ca="1" si="2"/>
        <v>37</v>
      </c>
      <c r="I81" s="19" t="s">
        <v>26</v>
      </c>
      <c r="J81" s="18" t="s">
        <v>27</v>
      </c>
      <c r="K81" s="18"/>
      <c r="L81" s="23" t="s">
        <v>477</v>
      </c>
      <c r="M81" s="23" t="s">
        <v>478</v>
      </c>
      <c r="N81" s="23" t="s">
        <v>457</v>
      </c>
      <c r="O81" s="18">
        <v>12</v>
      </c>
      <c r="P81" s="24"/>
      <c r="Q81" s="25">
        <v>42552</v>
      </c>
      <c r="R81" s="13">
        <v>0</v>
      </c>
      <c r="S81" s="26" t="str">
        <f>VLOOKUP(C81,'[1]Bazaar Salary'!$B$6:$J$1193,9,0)</f>
        <v>02880010045873910011</v>
      </c>
      <c r="T81" s="25" t="s">
        <v>32</v>
      </c>
      <c r="U81" s="25" t="s">
        <v>281</v>
      </c>
      <c r="V81" s="25" t="s">
        <v>265</v>
      </c>
      <c r="W81" s="27" t="s">
        <v>479</v>
      </c>
      <c r="X81" s="28" t="s">
        <v>480</v>
      </c>
      <c r="Y81" s="28"/>
      <c r="Z81" s="29" t="s">
        <v>37</v>
      </c>
    </row>
    <row r="82" spans="1:26" ht="30" customHeight="1" thickBot="1" x14ac:dyDescent="0.25">
      <c r="A82" s="17">
        <f t="shared" si="3"/>
        <v>81</v>
      </c>
      <c r="B82" s="18" t="s">
        <v>25</v>
      </c>
      <c r="C82" s="19">
        <v>3520255540089</v>
      </c>
      <c r="D82" s="19">
        <v>200</v>
      </c>
      <c r="E82" s="20">
        <v>43145</v>
      </c>
      <c r="F82" s="20">
        <v>46797</v>
      </c>
      <c r="G82" s="21">
        <v>31014</v>
      </c>
      <c r="H82" s="22">
        <f t="shared" ca="1" si="2"/>
        <v>41</v>
      </c>
      <c r="I82" s="19" t="s">
        <v>26</v>
      </c>
      <c r="J82" s="18" t="s">
        <v>27</v>
      </c>
      <c r="K82" s="18"/>
      <c r="L82" s="24" t="s">
        <v>481</v>
      </c>
      <c r="M82" s="23" t="s">
        <v>482</v>
      </c>
      <c r="N82" s="24" t="s">
        <v>457</v>
      </c>
      <c r="O82" s="18">
        <v>12</v>
      </c>
      <c r="P82" s="24"/>
      <c r="Q82" s="25">
        <v>40795</v>
      </c>
      <c r="R82" s="13">
        <v>0</v>
      </c>
      <c r="S82" s="26" t="str">
        <f>VLOOKUP(C82,'[1]Bazaar Salary'!$B$6:$J$1193,9,0)</f>
        <v>05400010045870290011</v>
      </c>
      <c r="T82" s="25" t="s">
        <v>32</v>
      </c>
      <c r="U82" s="25" t="s">
        <v>483</v>
      </c>
      <c r="V82" s="25" t="s">
        <v>310</v>
      </c>
      <c r="W82" s="27" t="s">
        <v>484</v>
      </c>
      <c r="X82" s="28" t="s">
        <v>485</v>
      </c>
      <c r="Y82" s="28"/>
      <c r="Z82" s="29" t="s">
        <v>37</v>
      </c>
    </row>
    <row r="83" spans="1:26" ht="30" customHeight="1" thickBot="1" x14ac:dyDescent="0.25">
      <c r="A83" s="17">
        <f t="shared" si="3"/>
        <v>82</v>
      </c>
      <c r="B83" s="18" t="s">
        <v>25</v>
      </c>
      <c r="C83" s="19">
        <v>3110443214567</v>
      </c>
      <c r="D83" s="19">
        <v>125</v>
      </c>
      <c r="E83" s="20">
        <v>45019</v>
      </c>
      <c r="F83" s="20">
        <v>48672</v>
      </c>
      <c r="G83" s="21">
        <v>30317</v>
      </c>
      <c r="H83" s="22">
        <f t="shared" ca="1" si="2"/>
        <v>43</v>
      </c>
      <c r="I83" s="19" t="s">
        <v>26</v>
      </c>
      <c r="J83" s="18" t="s">
        <v>27</v>
      </c>
      <c r="K83" s="18"/>
      <c r="L83" s="23" t="s">
        <v>486</v>
      </c>
      <c r="M83" s="23" t="s">
        <v>204</v>
      </c>
      <c r="N83" s="23" t="s">
        <v>457</v>
      </c>
      <c r="O83" s="18">
        <v>12</v>
      </c>
      <c r="P83" s="24" t="s">
        <v>487</v>
      </c>
      <c r="Q83" s="25">
        <v>40918</v>
      </c>
      <c r="R83" s="13">
        <v>0</v>
      </c>
      <c r="S83" s="26" t="str">
        <f>VLOOKUP(C83,'[1]Bazaar Salary'!$B$6:$J$1193,9,0)</f>
        <v>01530010045860110018</v>
      </c>
      <c r="T83" s="25" t="s">
        <v>32</v>
      </c>
      <c r="U83" s="25" t="s">
        <v>33</v>
      </c>
      <c r="V83" s="25" t="s">
        <v>206</v>
      </c>
      <c r="W83" s="27" t="s">
        <v>488</v>
      </c>
      <c r="X83" s="28" t="s">
        <v>489</v>
      </c>
      <c r="Y83" s="28" t="str">
        <f>VLOOKUP(C83,[2]Final!$J$2:$T$175,11,0)</f>
        <v>kafeelahmad986@gmail.com</v>
      </c>
      <c r="Z83" s="29" t="s">
        <v>37</v>
      </c>
    </row>
    <row r="84" spans="1:26" ht="30" customHeight="1" thickBot="1" x14ac:dyDescent="0.25">
      <c r="A84" s="17">
        <f t="shared" si="3"/>
        <v>83</v>
      </c>
      <c r="B84" s="18" t="s">
        <v>25</v>
      </c>
      <c r="C84" s="19">
        <v>3510257029431</v>
      </c>
      <c r="D84" s="19">
        <v>173</v>
      </c>
      <c r="E84" s="20">
        <v>44508</v>
      </c>
      <c r="F84" s="20">
        <v>48160</v>
      </c>
      <c r="G84" s="21">
        <v>32136</v>
      </c>
      <c r="H84" s="22">
        <f t="shared" ca="1" si="2"/>
        <v>38</v>
      </c>
      <c r="I84" s="19" t="s">
        <v>26</v>
      </c>
      <c r="J84" s="18" t="s">
        <v>27</v>
      </c>
      <c r="K84" s="18"/>
      <c r="L84" s="23" t="s">
        <v>490</v>
      </c>
      <c r="M84" s="23" t="s">
        <v>491</v>
      </c>
      <c r="N84" s="23" t="s">
        <v>457</v>
      </c>
      <c r="O84" s="18">
        <v>12</v>
      </c>
      <c r="P84" s="24"/>
      <c r="Q84" s="25">
        <v>41913</v>
      </c>
      <c r="R84" s="13">
        <v>0</v>
      </c>
      <c r="S84" s="26" t="str">
        <f>VLOOKUP(C84,'[1]Bazaar Salary'!$B$6:$J$1193,9,0)</f>
        <v>05390010045698720014</v>
      </c>
      <c r="T84" s="25" t="s">
        <v>32</v>
      </c>
      <c r="U84" s="25" t="s">
        <v>225</v>
      </c>
      <c r="V84" s="25" t="s">
        <v>492</v>
      </c>
      <c r="W84" s="27" t="s">
        <v>493</v>
      </c>
      <c r="X84" s="28" t="s">
        <v>494</v>
      </c>
      <c r="Y84" s="28"/>
      <c r="Z84" s="29" t="s">
        <v>37</v>
      </c>
    </row>
    <row r="85" spans="1:26" ht="30" customHeight="1" thickBot="1" x14ac:dyDescent="0.25">
      <c r="A85" s="17">
        <f t="shared" si="3"/>
        <v>84</v>
      </c>
      <c r="B85" s="18" t="s">
        <v>25</v>
      </c>
      <c r="C85" s="19">
        <v>3510279508419</v>
      </c>
      <c r="D85" s="19">
        <v>168</v>
      </c>
      <c r="E85" s="20">
        <v>44145</v>
      </c>
      <c r="F85" s="20">
        <v>47797</v>
      </c>
      <c r="G85" s="21">
        <v>33128</v>
      </c>
      <c r="H85" s="22">
        <f t="shared" ca="1" si="2"/>
        <v>35</v>
      </c>
      <c r="I85" s="19" t="s">
        <v>26</v>
      </c>
      <c r="J85" s="18" t="s">
        <v>27</v>
      </c>
      <c r="K85" s="18"/>
      <c r="L85" s="23" t="s">
        <v>495</v>
      </c>
      <c r="M85" s="23" t="s">
        <v>496</v>
      </c>
      <c r="N85" s="24" t="s">
        <v>457</v>
      </c>
      <c r="O85" s="18">
        <v>12</v>
      </c>
      <c r="P85" s="24"/>
      <c r="Q85" s="25">
        <v>41913</v>
      </c>
      <c r="R85" s="13">
        <v>0</v>
      </c>
      <c r="S85" s="26" t="str">
        <f>VLOOKUP(C85,'[1]Bazaar Salary'!$B$6:$J$1193,9,0)</f>
        <v>05390010045769830016</v>
      </c>
      <c r="T85" s="25" t="s">
        <v>32</v>
      </c>
      <c r="U85" s="25" t="s">
        <v>225</v>
      </c>
      <c r="V85" s="25" t="s">
        <v>265</v>
      </c>
      <c r="W85" s="27" t="s">
        <v>497</v>
      </c>
      <c r="X85" s="28" t="s">
        <v>498</v>
      </c>
      <c r="Y85" s="28"/>
      <c r="Z85" s="29" t="s">
        <v>37</v>
      </c>
    </row>
    <row r="86" spans="1:26" ht="30" customHeight="1" thickBot="1" x14ac:dyDescent="0.25">
      <c r="A86" s="17">
        <f t="shared" si="3"/>
        <v>85</v>
      </c>
      <c r="B86" s="18" t="s">
        <v>25</v>
      </c>
      <c r="C86" s="19">
        <v>3830120284865</v>
      </c>
      <c r="D86" s="19">
        <v>204</v>
      </c>
      <c r="E86" s="20">
        <v>44519</v>
      </c>
      <c r="F86" s="20">
        <v>48171</v>
      </c>
      <c r="G86" s="21">
        <v>32623</v>
      </c>
      <c r="H86" s="22">
        <f t="shared" ca="1" si="2"/>
        <v>37</v>
      </c>
      <c r="I86" s="19" t="s">
        <v>26</v>
      </c>
      <c r="J86" s="18" t="s">
        <v>27</v>
      </c>
      <c r="K86" s="18"/>
      <c r="L86" s="23" t="s">
        <v>499</v>
      </c>
      <c r="M86" s="23" t="s">
        <v>500</v>
      </c>
      <c r="N86" s="24" t="s">
        <v>468</v>
      </c>
      <c r="O86" s="18">
        <v>12</v>
      </c>
      <c r="P86" s="24"/>
      <c r="Q86" s="25">
        <v>41989</v>
      </c>
      <c r="R86" s="13">
        <v>0</v>
      </c>
      <c r="S86" s="26" t="str">
        <f>VLOOKUP(C86,'[1]Bazaar Salary'!$B$6:$J$1193,9,0)</f>
        <v>09410010045980070016</v>
      </c>
      <c r="T86" s="25" t="s">
        <v>32</v>
      </c>
      <c r="U86" s="25" t="s">
        <v>501</v>
      </c>
      <c r="V86" s="25" t="s">
        <v>405</v>
      </c>
      <c r="W86" s="27" t="s">
        <v>502</v>
      </c>
      <c r="X86" s="28" t="s">
        <v>503</v>
      </c>
      <c r="Y86" s="28"/>
      <c r="Z86" s="29" t="s">
        <v>37</v>
      </c>
    </row>
    <row r="87" spans="1:26" ht="30" customHeight="1" thickBot="1" x14ac:dyDescent="0.25">
      <c r="A87" s="17">
        <f t="shared" si="3"/>
        <v>86</v>
      </c>
      <c r="B87" s="18" t="s">
        <v>25</v>
      </c>
      <c r="C87" s="19">
        <v>3330356831985</v>
      </c>
      <c r="D87" s="19">
        <v>164</v>
      </c>
      <c r="E87" s="20">
        <v>43861</v>
      </c>
      <c r="F87" s="20">
        <v>47514</v>
      </c>
      <c r="G87" s="21">
        <v>32620</v>
      </c>
      <c r="H87" s="22">
        <f t="shared" ca="1" si="2"/>
        <v>37</v>
      </c>
      <c r="I87" s="19" t="s">
        <v>26</v>
      </c>
      <c r="J87" s="18" t="s">
        <v>27</v>
      </c>
      <c r="K87" s="18"/>
      <c r="L87" s="23" t="s">
        <v>504</v>
      </c>
      <c r="M87" s="23" t="s">
        <v>505</v>
      </c>
      <c r="N87" s="23" t="s">
        <v>457</v>
      </c>
      <c r="O87" s="18">
        <v>12</v>
      </c>
      <c r="P87" s="24"/>
      <c r="Q87" s="25">
        <v>41306</v>
      </c>
      <c r="R87" s="13">
        <v>0</v>
      </c>
      <c r="S87" s="26" t="str">
        <f>VLOOKUP(C87,'[1]Bazaar Salary'!$B$6:$J$1193,9,0)</f>
        <v>04060010045720500017</v>
      </c>
      <c r="T87" s="25" t="s">
        <v>32</v>
      </c>
      <c r="U87" s="25" t="s">
        <v>506</v>
      </c>
      <c r="V87" s="25" t="s">
        <v>507</v>
      </c>
      <c r="W87" s="27" t="s">
        <v>508</v>
      </c>
      <c r="X87" s="28" t="s">
        <v>509</v>
      </c>
      <c r="Y87" s="28"/>
      <c r="Z87" s="29" t="s">
        <v>37</v>
      </c>
    </row>
    <row r="88" spans="1:26" ht="30" customHeight="1" thickBot="1" x14ac:dyDescent="0.25">
      <c r="A88" s="17">
        <f t="shared" si="3"/>
        <v>87</v>
      </c>
      <c r="B88" s="18" t="s">
        <v>25</v>
      </c>
      <c r="C88" s="19">
        <v>3840182779815</v>
      </c>
      <c r="D88" s="19">
        <v>198</v>
      </c>
      <c r="E88" s="20">
        <v>44404</v>
      </c>
      <c r="F88" s="20">
        <v>48056</v>
      </c>
      <c r="G88" s="21">
        <v>29560</v>
      </c>
      <c r="H88" s="22">
        <f t="shared" ca="1" si="2"/>
        <v>45</v>
      </c>
      <c r="I88" s="19" t="s">
        <v>26</v>
      </c>
      <c r="J88" s="18" t="s">
        <v>27</v>
      </c>
      <c r="K88" s="18"/>
      <c r="L88" s="23" t="s">
        <v>510</v>
      </c>
      <c r="M88" s="23" t="s">
        <v>511</v>
      </c>
      <c r="N88" s="23" t="s">
        <v>457</v>
      </c>
      <c r="O88" s="18">
        <v>12</v>
      </c>
      <c r="P88" s="24"/>
      <c r="Q88" s="25">
        <v>41837</v>
      </c>
      <c r="R88" s="13">
        <v>0</v>
      </c>
      <c r="S88" s="26" t="str">
        <f>VLOOKUP(C88,'[1]Bazaar Salary'!$B$6:$J$1193,9,0)</f>
        <v>00520010040436580023</v>
      </c>
      <c r="T88" s="25" t="s">
        <v>32</v>
      </c>
      <c r="U88" s="25" t="s">
        <v>512</v>
      </c>
      <c r="V88" s="25" t="s">
        <v>513</v>
      </c>
      <c r="W88" s="27" t="s">
        <v>514</v>
      </c>
      <c r="X88" s="28" t="s">
        <v>515</v>
      </c>
      <c r="Y88" s="28"/>
      <c r="Z88" s="29" t="s">
        <v>37</v>
      </c>
    </row>
    <row r="89" spans="1:26" ht="30" customHeight="1" thickBot="1" x14ac:dyDescent="0.25">
      <c r="A89" s="17">
        <f t="shared" si="3"/>
        <v>88</v>
      </c>
      <c r="B89" s="18" t="s">
        <v>25</v>
      </c>
      <c r="C89" s="19">
        <v>3520245210941</v>
      </c>
      <c r="D89" s="19">
        <v>1845</v>
      </c>
      <c r="E89" s="20">
        <v>42997</v>
      </c>
      <c r="F89" s="20">
        <v>46649</v>
      </c>
      <c r="G89" s="21">
        <v>36375</v>
      </c>
      <c r="H89" s="22">
        <f t="shared" ca="1" si="2"/>
        <v>26</v>
      </c>
      <c r="I89" s="19" t="s">
        <v>26</v>
      </c>
      <c r="J89" s="18" t="s">
        <v>27</v>
      </c>
      <c r="K89" s="18"/>
      <c r="L89" s="23" t="s">
        <v>516</v>
      </c>
      <c r="M89" s="23" t="s">
        <v>517</v>
      </c>
      <c r="N89" s="23" t="s">
        <v>457</v>
      </c>
      <c r="O89" s="18">
        <v>11</v>
      </c>
      <c r="P89" s="24"/>
      <c r="Q89" s="25">
        <v>45748</v>
      </c>
      <c r="R89" s="13">
        <v>0</v>
      </c>
      <c r="S89" s="26" t="str">
        <f>VLOOKUP(C89,'[1]Bazaar Salary'!$B$6:$J$1193,9,0)</f>
        <v>07890010048964810022</v>
      </c>
      <c r="T89" s="25" t="s">
        <v>32</v>
      </c>
      <c r="U89" s="25" t="s">
        <v>458</v>
      </c>
      <c r="V89" s="25" t="s">
        <v>518</v>
      </c>
      <c r="W89" s="27" t="s">
        <v>519</v>
      </c>
      <c r="X89" s="28" t="s">
        <v>520</v>
      </c>
      <c r="Y89" s="28"/>
      <c r="Z89" s="29" t="s">
        <v>37</v>
      </c>
    </row>
    <row r="90" spans="1:26" ht="30" customHeight="1" thickBot="1" x14ac:dyDescent="0.25">
      <c r="A90" s="17">
        <f t="shared" si="3"/>
        <v>89</v>
      </c>
      <c r="B90" s="18" t="s">
        <v>25</v>
      </c>
      <c r="C90" s="19">
        <v>3520238378453</v>
      </c>
      <c r="D90" s="19">
        <v>1815</v>
      </c>
      <c r="E90" s="20">
        <v>43255</v>
      </c>
      <c r="F90" s="20">
        <v>46908</v>
      </c>
      <c r="G90" s="21">
        <v>36206</v>
      </c>
      <c r="H90" s="22">
        <f t="shared" ca="1" si="2"/>
        <v>27</v>
      </c>
      <c r="I90" s="19" t="s">
        <v>26</v>
      </c>
      <c r="J90" s="18" t="s">
        <v>27</v>
      </c>
      <c r="K90" s="18"/>
      <c r="L90" s="23" t="s">
        <v>521</v>
      </c>
      <c r="M90" s="23" t="s">
        <v>522</v>
      </c>
      <c r="N90" s="23" t="s">
        <v>457</v>
      </c>
      <c r="O90" s="18">
        <v>11</v>
      </c>
      <c r="P90" s="24"/>
      <c r="Q90" s="25">
        <v>45748</v>
      </c>
      <c r="R90" s="13">
        <v>0</v>
      </c>
      <c r="S90" s="26" t="str">
        <f>VLOOKUP(C90,'[1]Bazaar Salary'!$B$6:$J$1193,9,0)</f>
        <v>07660010142476210012</v>
      </c>
      <c r="T90" s="25" t="s">
        <v>32</v>
      </c>
      <c r="U90" s="25" t="s">
        <v>458</v>
      </c>
      <c r="V90" s="25" t="s">
        <v>265</v>
      </c>
      <c r="W90" s="27" t="s">
        <v>523</v>
      </c>
      <c r="X90" s="28" t="s">
        <v>524</v>
      </c>
      <c r="Y90" s="28"/>
      <c r="Z90" s="29" t="s">
        <v>37</v>
      </c>
    </row>
    <row r="91" spans="1:26" ht="30" customHeight="1" thickBot="1" x14ac:dyDescent="0.25">
      <c r="A91" s="17">
        <f t="shared" si="3"/>
        <v>90</v>
      </c>
      <c r="B91" s="18" t="s">
        <v>25</v>
      </c>
      <c r="C91" s="19">
        <v>3520223676027</v>
      </c>
      <c r="D91" s="19">
        <v>1777</v>
      </c>
      <c r="E91" s="20">
        <v>45664</v>
      </c>
      <c r="F91" s="20">
        <v>49316</v>
      </c>
      <c r="G91" s="21">
        <v>35311</v>
      </c>
      <c r="H91" s="22">
        <f t="shared" ca="1" si="2"/>
        <v>29</v>
      </c>
      <c r="I91" s="19" t="s">
        <v>26</v>
      </c>
      <c r="J91" s="18" t="s">
        <v>27</v>
      </c>
      <c r="K91" s="18"/>
      <c r="L91" s="23" t="s">
        <v>525</v>
      </c>
      <c r="M91" s="23" t="s">
        <v>526</v>
      </c>
      <c r="N91" s="23" t="s">
        <v>457</v>
      </c>
      <c r="O91" s="18">
        <v>11</v>
      </c>
      <c r="P91" s="24"/>
      <c r="Q91" s="25">
        <v>45748</v>
      </c>
      <c r="R91" s="13">
        <v>0</v>
      </c>
      <c r="S91" s="26" t="str">
        <f>VLOOKUP(C91,'[1]Bazaar Salary'!$B$6:$J$1193,9,0)</f>
        <v>05400010139707370017</v>
      </c>
      <c r="T91" s="25" t="s">
        <v>32</v>
      </c>
      <c r="U91" s="25" t="s">
        <v>458</v>
      </c>
      <c r="V91" s="25" t="s">
        <v>405</v>
      </c>
      <c r="W91" s="27" t="s">
        <v>527</v>
      </c>
      <c r="X91" s="28" t="s">
        <v>528</v>
      </c>
      <c r="Y91" s="28"/>
      <c r="Z91" s="29" t="s">
        <v>37</v>
      </c>
    </row>
    <row r="92" spans="1:26" ht="30" customHeight="1" thickBot="1" x14ac:dyDescent="0.25">
      <c r="A92" s="17">
        <f t="shared" si="3"/>
        <v>91</v>
      </c>
      <c r="B92" s="18" t="s">
        <v>25</v>
      </c>
      <c r="C92" s="19">
        <v>3520289751167</v>
      </c>
      <c r="D92" s="19">
        <v>1482</v>
      </c>
      <c r="E92" s="20">
        <v>44474</v>
      </c>
      <c r="F92" s="20">
        <v>48126</v>
      </c>
      <c r="G92" s="21">
        <v>34717</v>
      </c>
      <c r="H92" s="22">
        <f t="shared" ca="1" si="2"/>
        <v>31</v>
      </c>
      <c r="I92" s="19" t="s">
        <v>26</v>
      </c>
      <c r="J92" s="18" t="s">
        <v>27</v>
      </c>
      <c r="K92" s="18"/>
      <c r="L92" s="23" t="s">
        <v>529</v>
      </c>
      <c r="M92" s="23" t="s">
        <v>385</v>
      </c>
      <c r="N92" s="23" t="s">
        <v>457</v>
      </c>
      <c r="O92" s="18">
        <v>11</v>
      </c>
      <c r="P92" s="24"/>
      <c r="Q92" s="25">
        <v>45292</v>
      </c>
      <c r="R92" s="13">
        <v>0</v>
      </c>
      <c r="S92" s="26" t="str">
        <f>VLOOKUP(C92,'[1]Bazaar Salary'!$B$6:$J$1193,9,0)</f>
        <v>05310010103976800011</v>
      </c>
      <c r="T92" s="25" t="s">
        <v>32</v>
      </c>
      <c r="U92" s="25" t="s">
        <v>458</v>
      </c>
      <c r="V92" s="25" t="s">
        <v>346</v>
      </c>
      <c r="W92" s="27" t="s">
        <v>530</v>
      </c>
      <c r="X92" s="28" t="s">
        <v>531</v>
      </c>
      <c r="Y92" s="28"/>
      <c r="Z92" s="29" t="s">
        <v>37</v>
      </c>
    </row>
    <row r="93" spans="1:26" ht="30" customHeight="1" thickBot="1" x14ac:dyDescent="0.25">
      <c r="A93" s="17">
        <f t="shared" si="3"/>
        <v>92</v>
      </c>
      <c r="B93" s="18" t="s">
        <v>25</v>
      </c>
      <c r="C93" s="19">
        <v>3520223226567</v>
      </c>
      <c r="D93" s="19">
        <v>335</v>
      </c>
      <c r="E93" s="20">
        <v>44614</v>
      </c>
      <c r="F93" s="20">
        <v>48266</v>
      </c>
      <c r="G93" s="21">
        <v>33635</v>
      </c>
      <c r="H93" s="22">
        <f t="shared" ca="1" si="2"/>
        <v>34</v>
      </c>
      <c r="I93" s="19" t="s">
        <v>26</v>
      </c>
      <c r="J93" s="18" t="s">
        <v>27</v>
      </c>
      <c r="K93" s="18"/>
      <c r="L93" s="23" t="s">
        <v>532</v>
      </c>
      <c r="M93" s="23" t="s">
        <v>533</v>
      </c>
      <c r="N93" s="24" t="s">
        <v>457</v>
      </c>
      <c r="O93" s="18">
        <v>11</v>
      </c>
      <c r="P93" s="24"/>
      <c r="Q93" s="25">
        <v>42171</v>
      </c>
      <c r="R93" s="13">
        <v>0</v>
      </c>
      <c r="S93" s="26" t="str">
        <f>VLOOKUP(C93,'[1]Bazaar Salary'!$B$6:$J$1193,9,0)</f>
        <v>02880010045781140016</v>
      </c>
      <c r="T93" s="25" t="s">
        <v>32</v>
      </c>
      <c r="U93" s="25" t="s">
        <v>534</v>
      </c>
      <c r="V93" s="25" t="s">
        <v>265</v>
      </c>
      <c r="W93" s="27" t="s">
        <v>535</v>
      </c>
      <c r="X93" s="28" t="s">
        <v>536</v>
      </c>
      <c r="Y93" s="28"/>
      <c r="Z93" s="29" t="s">
        <v>37</v>
      </c>
    </row>
    <row r="94" spans="1:26" ht="30" customHeight="1" thickBot="1" x14ac:dyDescent="0.25">
      <c r="A94" s="17">
        <f t="shared" si="3"/>
        <v>93</v>
      </c>
      <c r="B94" s="18" t="s">
        <v>25</v>
      </c>
      <c r="C94" s="19">
        <v>3130313920109</v>
      </c>
      <c r="D94" s="19">
        <v>1650</v>
      </c>
      <c r="E94" s="20">
        <v>43640</v>
      </c>
      <c r="F94" s="20">
        <v>47293</v>
      </c>
      <c r="G94" s="21">
        <v>36161</v>
      </c>
      <c r="H94" s="22">
        <f t="shared" ca="1" si="2"/>
        <v>27</v>
      </c>
      <c r="I94" s="19" t="s">
        <v>26</v>
      </c>
      <c r="J94" s="18" t="s">
        <v>27</v>
      </c>
      <c r="K94" s="18"/>
      <c r="L94" s="23" t="s">
        <v>537</v>
      </c>
      <c r="M94" s="23" t="s">
        <v>538</v>
      </c>
      <c r="N94" s="23" t="s">
        <v>457</v>
      </c>
      <c r="O94" s="18">
        <v>11</v>
      </c>
      <c r="P94" s="24"/>
      <c r="Q94" s="25">
        <v>45748</v>
      </c>
      <c r="R94" s="13">
        <v>0</v>
      </c>
      <c r="S94" s="26" t="str">
        <f>VLOOKUP(C94,'[1]Bazaar Salary'!$B$6:$J$1193,9,0)</f>
        <v>09630010132084770020</v>
      </c>
      <c r="T94" s="25" t="s">
        <v>32</v>
      </c>
      <c r="U94" s="25" t="s">
        <v>539</v>
      </c>
      <c r="V94" s="25" t="s">
        <v>265</v>
      </c>
      <c r="W94" s="27" t="s">
        <v>540</v>
      </c>
      <c r="X94" s="28" t="s">
        <v>541</v>
      </c>
      <c r="Y94" s="28"/>
      <c r="Z94" s="29" t="s">
        <v>37</v>
      </c>
    </row>
    <row r="95" spans="1:26" ht="30" customHeight="1" thickBot="1" x14ac:dyDescent="0.25">
      <c r="A95" s="17">
        <f t="shared" si="3"/>
        <v>94</v>
      </c>
      <c r="B95" s="18" t="s">
        <v>25</v>
      </c>
      <c r="C95" s="19">
        <v>3110342468273</v>
      </c>
      <c r="D95" s="19" t="s">
        <v>542</v>
      </c>
      <c r="E95" s="20">
        <v>44881</v>
      </c>
      <c r="F95" s="20">
        <v>48534</v>
      </c>
      <c r="G95" s="21">
        <v>38006</v>
      </c>
      <c r="H95" s="22">
        <f t="shared" ca="1" si="2"/>
        <v>22</v>
      </c>
      <c r="I95" s="19" t="s">
        <v>26</v>
      </c>
      <c r="J95" s="18" t="s">
        <v>27</v>
      </c>
      <c r="K95" s="18"/>
      <c r="L95" s="23" t="s">
        <v>543</v>
      </c>
      <c r="M95" s="23" t="s">
        <v>544</v>
      </c>
      <c r="N95" s="23" t="s">
        <v>457</v>
      </c>
      <c r="O95" s="18">
        <v>11</v>
      </c>
      <c r="P95" s="24"/>
      <c r="Q95" s="25">
        <v>45748</v>
      </c>
      <c r="R95" s="13">
        <v>0</v>
      </c>
      <c r="S95" s="26" t="str">
        <f>VLOOKUP(C95,'[1]Bazaar Salary'!$B$6:$J$1193,9,0)</f>
        <v>12310010132451270012</v>
      </c>
      <c r="T95" s="25" t="s">
        <v>32</v>
      </c>
      <c r="U95" s="25" t="s">
        <v>539</v>
      </c>
      <c r="V95" s="25" t="s">
        <v>405</v>
      </c>
      <c r="W95" s="27" t="s">
        <v>545</v>
      </c>
      <c r="X95" s="28" t="s">
        <v>546</v>
      </c>
      <c r="Y95" s="28"/>
      <c r="Z95" s="29" t="s">
        <v>37</v>
      </c>
    </row>
    <row r="96" spans="1:26" ht="30" customHeight="1" thickBot="1" x14ac:dyDescent="0.25">
      <c r="A96" s="17">
        <f t="shared" si="3"/>
        <v>95</v>
      </c>
      <c r="B96" s="18" t="s">
        <v>25</v>
      </c>
      <c r="C96" s="19">
        <v>3840124055439</v>
      </c>
      <c r="D96" s="19">
        <v>475</v>
      </c>
      <c r="E96" s="20">
        <v>44330</v>
      </c>
      <c r="F96" s="20">
        <v>47982</v>
      </c>
      <c r="G96" s="21">
        <v>33404</v>
      </c>
      <c r="H96" s="22">
        <f t="shared" ca="1" si="2"/>
        <v>35</v>
      </c>
      <c r="I96" s="19" t="s">
        <v>26</v>
      </c>
      <c r="J96" s="18" t="s">
        <v>27</v>
      </c>
      <c r="K96" s="18"/>
      <c r="L96" s="24" t="s">
        <v>547</v>
      </c>
      <c r="M96" s="23" t="s">
        <v>548</v>
      </c>
      <c r="N96" s="24" t="s">
        <v>457</v>
      </c>
      <c r="O96" s="18">
        <v>11</v>
      </c>
      <c r="P96" s="24"/>
      <c r="Q96" s="25">
        <v>42948</v>
      </c>
      <c r="R96" s="13">
        <v>0</v>
      </c>
      <c r="S96" s="26" t="str">
        <f>VLOOKUP(C96,'[1]Bazaar Salary'!$B$6:$J$1193,9,0)</f>
        <v>06150010045900860013</v>
      </c>
      <c r="T96" s="25" t="s">
        <v>32</v>
      </c>
      <c r="U96" s="25" t="s">
        <v>276</v>
      </c>
      <c r="V96" s="25" t="s">
        <v>265</v>
      </c>
      <c r="W96" s="27" t="s">
        <v>549</v>
      </c>
      <c r="X96" s="28" t="s">
        <v>550</v>
      </c>
      <c r="Y96" s="28"/>
      <c r="Z96" s="29" t="s">
        <v>37</v>
      </c>
    </row>
    <row r="97" spans="1:26" ht="30" customHeight="1" thickBot="1" x14ac:dyDescent="0.25">
      <c r="A97" s="17">
        <f t="shared" si="3"/>
        <v>96</v>
      </c>
      <c r="B97" s="18" t="s">
        <v>25</v>
      </c>
      <c r="C97" s="19">
        <v>3520252224562</v>
      </c>
      <c r="D97" s="19">
        <v>1401</v>
      </c>
      <c r="E97" s="20">
        <v>42604</v>
      </c>
      <c r="F97" s="20">
        <v>46256</v>
      </c>
      <c r="G97" s="21">
        <v>35675</v>
      </c>
      <c r="H97" s="22">
        <f t="shared" ca="1" si="2"/>
        <v>28</v>
      </c>
      <c r="I97" s="19" t="s">
        <v>26</v>
      </c>
      <c r="J97" s="18" t="s">
        <v>66</v>
      </c>
      <c r="K97" s="18"/>
      <c r="L97" s="23" t="s">
        <v>551</v>
      </c>
      <c r="M97" s="23" t="s">
        <v>552</v>
      </c>
      <c r="N97" s="23" t="s">
        <v>457</v>
      </c>
      <c r="O97" s="18">
        <v>11</v>
      </c>
      <c r="P97" s="24"/>
      <c r="Q97" s="25">
        <v>45292</v>
      </c>
      <c r="R97" s="13">
        <v>0</v>
      </c>
      <c r="S97" s="26" t="str">
        <f>VLOOKUP(C97,'[1]Bazaar Salary'!$B$6:$J$1193,9,0)</f>
        <v>07630010100816220013</v>
      </c>
      <c r="T97" s="25" t="s">
        <v>32</v>
      </c>
      <c r="U97" s="25" t="s">
        <v>281</v>
      </c>
      <c r="V97" s="25" t="s">
        <v>553</v>
      </c>
      <c r="W97" s="27" t="s">
        <v>554</v>
      </c>
      <c r="X97" s="28" t="s">
        <v>555</v>
      </c>
      <c r="Y97" s="28"/>
      <c r="Z97" s="29" t="s">
        <v>37</v>
      </c>
    </row>
    <row r="98" spans="1:26" ht="30" customHeight="1" thickBot="1" x14ac:dyDescent="0.25">
      <c r="A98" s="17">
        <f t="shared" si="3"/>
        <v>97</v>
      </c>
      <c r="B98" s="18" t="s">
        <v>25</v>
      </c>
      <c r="C98" s="19">
        <v>3520403708997</v>
      </c>
      <c r="D98" s="19">
        <v>1509</v>
      </c>
      <c r="E98" s="20">
        <v>43321</v>
      </c>
      <c r="F98" s="20">
        <v>46974</v>
      </c>
      <c r="G98" s="21">
        <v>35599</v>
      </c>
      <c r="H98" s="22">
        <f t="shared" ca="1" si="2"/>
        <v>29</v>
      </c>
      <c r="I98" s="19" t="s">
        <v>26</v>
      </c>
      <c r="J98" s="18" t="s">
        <v>27</v>
      </c>
      <c r="K98" s="18"/>
      <c r="L98" s="23" t="s">
        <v>556</v>
      </c>
      <c r="M98" s="23" t="s">
        <v>557</v>
      </c>
      <c r="N98" s="24" t="s">
        <v>457</v>
      </c>
      <c r="O98" s="18">
        <v>11</v>
      </c>
      <c r="P98" s="24"/>
      <c r="Q98" s="25">
        <v>45292</v>
      </c>
      <c r="R98" s="13">
        <v>0</v>
      </c>
      <c r="S98" s="26" t="str">
        <f>VLOOKUP(C98,'[1]Bazaar Salary'!$B$6:$J$1193,9,0)</f>
        <v>09410010109608490016</v>
      </c>
      <c r="T98" s="25" t="s">
        <v>32</v>
      </c>
      <c r="U98" s="25" t="s">
        <v>286</v>
      </c>
      <c r="V98" s="25" t="s">
        <v>405</v>
      </c>
      <c r="W98" s="27" t="s">
        <v>558</v>
      </c>
      <c r="X98" s="28" t="s">
        <v>559</v>
      </c>
      <c r="Y98" s="28"/>
      <c r="Z98" s="29" t="s">
        <v>37</v>
      </c>
    </row>
    <row r="99" spans="1:26" ht="30" customHeight="1" thickBot="1" x14ac:dyDescent="0.25">
      <c r="A99" s="17">
        <f t="shared" si="3"/>
        <v>98</v>
      </c>
      <c r="B99" s="18" t="s">
        <v>25</v>
      </c>
      <c r="C99" s="19">
        <v>3110302256557</v>
      </c>
      <c r="D99" s="19">
        <v>1399</v>
      </c>
      <c r="E99" s="20">
        <v>45344</v>
      </c>
      <c r="F99" s="20">
        <v>48997</v>
      </c>
      <c r="G99" s="21">
        <v>35004</v>
      </c>
      <c r="H99" s="22">
        <f t="shared" ca="1" si="2"/>
        <v>30</v>
      </c>
      <c r="I99" s="19" t="s">
        <v>26</v>
      </c>
      <c r="J99" s="18" t="s">
        <v>27</v>
      </c>
      <c r="K99" s="18"/>
      <c r="L99" s="23" t="s">
        <v>560</v>
      </c>
      <c r="M99" s="23" t="s">
        <v>561</v>
      </c>
      <c r="N99" s="23" t="s">
        <v>457</v>
      </c>
      <c r="O99" s="18">
        <v>11</v>
      </c>
      <c r="P99" s="24"/>
      <c r="Q99" s="25">
        <v>45292</v>
      </c>
      <c r="R99" s="13">
        <v>0</v>
      </c>
      <c r="S99" s="26" t="str">
        <f>VLOOKUP(C99,'[1]Bazaar Salary'!$B$6:$J$1193,9,0)</f>
        <v>07300010095141690010</v>
      </c>
      <c r="T99" s="25" t="s">
        <v>32</v>
      </c>
      <c r="U99" s="25" t="s">
        <v>298</v>
      </c>
      <c r="V99" s="25" t="s">
        <v>265</v>
      </c>
      <c r="W99" s="27" t="s">
        <v>562</v>
      </c>
      <c r="X99" s="28" t="s">
        <v>563</v>
      </c>
      <c r="Y99" s="28"/>
      <c r="Z99" s="29" t="s">
        <v>37</v>
      </c>
    </row>
    <row r="100" spans="1:26" ht="30" customHeight="1" thickBot="1" x14ac:dyDescent="0.25">
      <c r="A100" s="17">
        <f t="shared" si="3"/>
        <v>99</v>
      </c>
      <c r="B100" s="18" t="s">
        <v>25</v>
      </c>
      <c r="C100" s="19">
        <v>3210279473511</v>
      </c>
      <c r="D100" s="19">
        <v>1473</v>
      </c>
      <c r="E100" s="20">
        <v>43325</v>
      </c>
      <c r="F100" s="20">
        <v>46978</v>
      </c>
      <c r="G100" s="21">
        <v>36587</v>
      </c>
      <c r="H100" s="22">
        <f t="shared" ca="1" si="2"/>
        <v>26</v>
      </c>
      <c r="I100" s="19" t="s">
        <v>26</v>
      </c>
      <c r="J100" s="18" t="s">
        <v>27</v>
      </c>
      <c r="K100" s="18"/>
      <c r="L100" s="23" t="s">
        <v>564</v>
      </c>
      <c r="M100" s="23" t="s">
        <v>145</v>
      </c>
      <c r="N100" s="24" t="s">
        <v>457</v>
      </c>
      <c r="O100" s="18">
        <v>11</v>
      </c>
      <c r="P100" s="24"/>
      <c r="Q100" s="25">
        <v>45292</v>
      </c>
      <c r="R100" s="13">
        <v>0</v>
      </c>
      <c r="S100" s="26" t="str">
        <f>VLOOKUP(C100,'[1]Bazaar Salary'!$B$6:$J$1193,9,0)</f>
        <v>00720010102298760015</v>
      </c>
      <c r="T100" s="25" t="s">
        <v>32</v>
      </c>
      <c r="U100" s="25" t="s">
        <v>298</v>
      </c>
      <c r="V100" s="25" t="s">
        <v>565</v>
      </c>
      <c r="W100" s="27" t="s">
        <v>566</v>
      </c>
      <c r="X100" s="28" t="s">
        <v>567</v>
      </c>
      <c r="Y100" s="28"/>
      <c r="Z100" s="29" t="s">
        <v>37</v>
      </c>
    </row>
    <row r="101" spans="1:26" ht="30" customHeight="1" thickBot="1" x14ac:dyDescent="0.25">
      <c r="A101" s="17">
        <f t="shared" si="3"/>
        <v>100</v>
      </c>
      <c r="B101" s="18" t="s">
        <v>25</v>
      </c>
      <c r="C101" s="19">
        <v>3210294294903</v>
      </c>
      <c r="D101" s="19">
        <v>1361</v>
      </c>
      <c r="E101" s="20">
        <v>42083</v>
      </c>
      <c r="F101" s="20">
        <v>45736</v>
      </c>
      <c r="G101" s="21">
        <v>35431</v>
      </c>
      <c r="H101" s="22">
        <f t="shared" ca="1" si="2"/>
        <v>29</v>
      </c>
      <c r="I101" s="19" t="s">
        <v>26</v>
      </c>
      <c r="J101" s="18" t="s">
        <v>27</v>
      </c>
      <c r="K101" s="18"/>
      <c r="L101" s="23" t="s">
        <v>568</v>
      </c>
      <c r="M101" s="23" t="s">
        <v>569</v>
      </c>
      <c r="N101" s="23" t="s">
        <v>457</v>
      </c>
      <c r="O101" s="18">
        <v>11</v>
      </c>
      <c r="P101" s="24"/>
      <c r="Q101" s="25">
        <v>45748</v>
      </c>
      <c r="R101" s="13">
        <v>0</v>
      </c>
      <c r="S101" s="26" t="str">
        <f>VLOOKUP(C101,'[1]Bazaar Salary'!$B$6:$J$1193,9,0)</f>
        <v>00720010094160320016</v>
      </c>
      <c r="T101" s="25" t="s">
        <v>32</v>
      </c>
      <c r="U101" s="25" t="s">
        <v>298</v>
      </c>
      <c r="V101" s="25" t="s">
        <v>265</v>
      </c>
      <c r="W101" s="27" t="s">
        <v>570</v>
      </c>
      <c r="X101" s="28" t="s">
        <v>571</v>
      </c>
      <c r="Y101" s="28"/>
      <c r="Z101" s="29" t="s">
        <v>37</v>
      </c>
    </row>
    <row r="102" spans="1:26" ht="30" customHeight="1" thickBot="1" x14ac:dyDescent="0.25">
      <c r="A102" s="17">
        <f t="shared" si="3"/>
        <v>101</v>
      </c>
      <c r="B102" s="18" t="s">
        <v>25</v>
      </c>
      <c r="C102" s="19">
        <v>3210282976609</v>
      </c>
      <c r="D102" s="19">
        <v>1907</v>
      </c>
      <c r="E102" s="20">
        <v>43800</v>
      </c>
      <c r="F102" s="20">
        <v>47453</v>
      </c>
      <c r="G102" s="21">
        <v>33636</v>
      </c>
      <c r="H102" s="22">
        <f t="shared" ca="1" si="2"/>
        <v>34</v>
      </c>
      <c r="I102" s="19" t="s">
        <v>26</v>
      </c>
      <c r="J102" s="18" t="s">
        <v>27</v>
      </c>
      <c r="K102" s="18"/>
      <c r="L102" s="23" t="s">
        <v>572</v>
      </c>
      <c r="M102" s="23" t="s">
        <v>573</v>
      </c>
      <c r="N102" s="23" t="s">
        <v>457</v>
      </c>
      <c r="O102" s="18">
        <v>11</v>
      </c>
      <c r="P102" s="24"/>
      <c r="Q102" s="31">
        <v>45846</v>
      </c>
      <c r="R102" s="13">
        <v>0</v>
      </c>
      <c r="S102" s="26" t="str">
        <f>VLOOKUP(C102,'[1]Bazaar Salary'!$B$6:$J$1193,9,0)</f>
        <v>03660010054989610033</v>
      </c>
      <c r="T102" s="25" t="s">
        <v>32</v>
      </c>
      <c r="U102" s="25" t="s">
        <v>298</v>
      </c>
      <c r="V102" s="25" t="s">
        <v>574</v>
      </c>
      <c r="W102" s="27" t="s">
        <v>575</v>
      </c>
      <c r="X102" s="28" t="s">
        <v>576</v>
      </c>
      <c r="Y102" s="28"/>
      <c r="Z102" s="29" t="s">
        <v>37</v>
      </c>
    </row>
    <row r="103" spans="1:26" ht="30" customHeight="1" thickBot="1" x14ac:dyDescent="0.25">
      <c r="A103" s="17">
        <f t="shared" si="3"/>
        <v>102</v>
      </c>
      <c r="B103" s="18" t="s">
        <v>25</v>
      </c>
      <c r="C103" s="19">
        <v>3460112295079</v>
      </c>
      <c r="D103" s="19">
        <v>1726</v>
      </c>
      <c r="E103" s="20">
        <v>42978</v>
      </c>
      <c r="F103" s="20">
        <v>46630</v>
      </c>
      <c r="G103" s="21">
        <v>32121</v>
      </c>
      <c r="H103" s="22">
        <f t="shared" ca="1" si="2"/>
        <v>38</v>
      </c>
      <c r="I103" s="19" t="s">
        <v>26</v>
      </c>
      <c r="J103" s="18" t="s">
        <v>27</v>
      </c>
      <c r="K103" s="18"/>
      <c r="L103" s="23" t="s">
        <v>577</v>
      </c>
      <c r="M103" s="23" t="s">
        <v>578</v>
      </c>
      <c r="N103" s="24" t="s">
        <v>468</v>
      </c>
      <c r="O103" s="18">
        <v>11</v>
      </c>
      <c r="P103" s="24"/>
      <c r="Q103" s="25">
        <v>45748</v>
      </c>
      <c r="R103" s="13">
        <v>0</v>
      </c>
      <c r="S103" s="26" t="str">
        <f>VLOOKUP(C103,'[1]Bazaar Salary'!$B$6:$J$1193,9,0)</f>
        <v>05590010013700560011</v>
      </c>
      <c r="T103" s="25" t="s">
        <v>32</v>
      </c>
      <c r="U103" s="25" t="s">
        <v>303</v>
      </c>
      <c r="V103" s="25" t="s">
        <v>287</v>
      </c>
      <c r="W103" s="27" t="s">
        <v>579</v>
      </c>
      <c r="X103" s="28" t="s">
        <v>580</v>
      </c>
      <c r="Y103" s="28"/>
      <c r="Z103" s="29" t="s">
        <v>37</v>
      </c>
    </row>
    <row r="104" spans="1:26" ht="30" customHeight="1" thickBot="1" x14ac:dyDescent="0.25">
      <c r="A104" s="17">
        <f t="shared" si="3"/>
        <v>103</v>
      </c>
      <c r="B104" s="18" t="s">
        <v>25</v>
      </c>
      <c r="C104" s="19">
        <v>3520235473673</v>
      </c>
      <c r="D104" s="19">
        <v>1823</v>
      </c>
      <c r="E104" s="20">
        <v>43124</v>
      </c>
      <c r="F104" s="20">
        <v>46776</v>
      </c>
      <c r="G104" s="21">
        <v>35768</v>
      </c>
      <c r="H104" s="22">
        <f t="shared" ca="1" si="2"/>
        <v>28</v>
      </c>
      <c r="I104" s="19" t="s">
        <v>26</v>
      </c>
      <c r="J104" s="18" t="s">
        <v>27</v>
      </c>
      <c r="K104" s="18"/>
      <c r="L104" s="24" t="s">
        <v>581</v>
      </c>
      <c r="M104" s="23" t="s">
        <v>582</v>
      </c>
      <c r="N104" s="24" t="s">
        <v>457</v>
      </c>
      <c r="O104" s="18">
        <v>11</v>
      </c>
      <c r="P104" s="24"/>
      <c r="Q104" s="25">
        <v>45748</v>
      </c>
      <c r="R104" s="13">
        <v>0</v>
      </c>
      <c r="S104" s="26" t="str">
        <f>VLOOKUP(C104,'[1]Bazaar Salary'!$B$6:$J$1193,9,0)</f>
        <v>05320010142202070016</v>
      </c>
      <c r="T104" s="25" t="s">
        <v>32</v>
      </c>
      <c r="U104" s="25" t="s">
        <v>583</v>
      </c>
      <c r="V104" s="25" t="s">
        <v>265</v>
      </c>
      <c r="W104" s="27" t="s">
        <v>584</v>
      </c>
      <c r="X104" s="28" t="s">
        <v>585</v>
      </c>
      <c r="Y104" s="28"/>
      <c r="Z104" s="29" t="s">
        <v>37</v>
      </c>
    </row>
    <row r="105" spans="1:26" ht="30" customHeight="1" thickBot="1" x14ac:dyDescent="0.25">
      <c r="A105" s="17">
        <f t="shared" si="3"/>
        <v>104</v>
      </c>
      <c r="B105" s="18" t="s">
        <v>25</v>
      </c>
      <c r="C105" s="19">
        <v>3520172865263</v>
      </c>
      <c r="D105" s="19">
        <v>1204</v>
      </c>
      <c r="E105" s="20">
        <v>42354</v>
      </c>
      <c r="F105" s="20">
        <v>46007</v>
      </c>
      <c r="G105" s="21">
        <v>32430</v>
      </c>
      <c r="H105" s="22">
        <f t="shared" ca="1" si="2"/>
        <v>37</v>
      </c>
      <c r="I105" s="19" t="s">
        <v>26</v>
      </c>
      <c r="J105" s="18" t="s">
        <v>27</v>
      </c>
      <c r="K105" s="18"/>
      <c r="L105" s="23" t="s">
        <v>586</v>
      </c>
      <c r="M105" s="23" t="s">
        <v>587</v>
      </c>
      <c r="N105" s="23" t="s">
        <v>457</v>
      </c>
      <c r="O105" s="18">
        <v>11</v>
      </c>
      <c r="P105" s="24"/>
      <c r="Q105" s="25">
        <v>44256</v>
      </c>
      <c r="R105" s="13">
        <v>0</v>
      </c>
      <c r="S105" s="26" t="str">
        <f>VLOOKUP(C105,'[1]Bazaar Salary'!$B$6:$J$1193,9,0)</f>
        <v>07940010074747930016</v>
      </c>
      <c r="T105" s="25" t="s">
        <v>32</v>
      </c>
      <c r="U105" s="25" t="s">
        <v>588</v>
      </c>
      <c r="V105" s="25" t="s">
        <v>265</v>
      </c>
      <c r="W105" s="27" t="s">
        <v>589</v>
      </c>
      <c r="X105" s="28" t="s">
        <v>590</v>
      </c>
      <c r="Y105" s="28"/>
      <c r="Z105" s="29" t="s">
        <v>37</v>
      </c>
    </row>
    <row r="106" spans="1:26" ht="30" customHeight="1" thickBot="1" x14ac:dyDescent="0.25">
      <c r="A106" s="17">
        <f t="shared" si="3"/>
        <v>105</v>
      </c>
      <c r="B106" s="18" t="s">
        <v>25</v>
      </c>
      <c r="C106" s="19">
        <v>3840389795829</v>
      </c>
      <c r="D106" s="19">
        <v>1590</v>
      </c>
      <c r="E106" s="20">
        <v>45099</v>
      </c>
      <c r="F106" s="20">
        <v>48752</v>
      </c>
      <c r="G106" s="21">
        <v>34028</v>
      </c>
      <c r="H106" s="22">
        <f t="shared" ca="1" si="2"/>
        <v>33</v>
      </c>
      <c r="I106" s="19" t="s">
        <v>26</v>
      </c>
      <c r="J106" s="18" t="s">
        <v>27</v>
      </c>
      <c r="K106" s="18"/>
      <c r="L106" s="24" t="s">
        <v>204</v>
      </c>
      <c r="M106" s="23" t="s">
        <v>591</v>
      </c>
      <c r="N106" s="24" t="s">
        <v>457</v>
      </c>
      <c r="O106" s="18">
        <v>11</v>
      </c>
      <c r="P106" s="24"/>
      <c r="Q106" s="25">
        <v>45748</v>
      </c>
      <c r="R106" s="13">
        <v>0</v>
      </c>
      <c r="S106" s="26" t="str">
        <f>VLOOKUP(C106,'[1]Bazaar Salary'!$B$6:$J$1193,9,0)</f>
        <v>00940010128529080014</v>
      </c>
      <c r="T106" s="25" t="s">
        <v>32</v>
      </c>
      <c r="U106" s="25" t="s">
        <v>588</v>
      </c>
      <c r="V106" s="25" t="s">
        <v>265</v>
      </c>
      <c r="W106" s="27" t="s">
        <v>592</v>
      </c>
      <c r="X106" s="28" t="s">
        <v>593</v>
      </c>
      <c r="Y106" s="28"/>
      <c r="Z106" s="29" t="s">
        <v>37</v>
      </c>
    </row>
    <row r="107" spans="1:26" ht="30" customHeight="1" thickBot="1" x14ac:dyDescent="0.25">
      <c r="A107" s="17">
        <f t="shared" si="3"/>
        <v>106</v>
      </c>
      <c r="B107" s="18" t="s">
        <v>25</v>
      </c>
      <c r="C107" s="19">
        <v>3410484328886</v>
      </c>
      <c r="D107" s="19">
        <v>1526</v>
      </c>
      <c r="E107" s="20">
        <v>42725</v>
      </c>
      <c r="F107" s="20">
        <v>46377</v>
      </c>
      <c r="G107" s="21">
        <v>32827</v>
      </c>
      <c r="H107" s="22">
        <f t="shared" ca="1" si="2"/>
        <v>36</v>
      </c>
      <c r="I107" s="19" t="s">
        <v>26</v>
      </c>
      <c r="J107" s="18" t="s">
        <v>66</v>
      </c>
      <c r="K107" s="18"/>
      <c r="L107" s="23" t="s">
        <v>594</v>
      </c>
      <c r="M107" s="23" t="s">
        <v>595</v>
      </c>
      <c r="N107" s="23" t="s">
        <v>457</v>
      </c>
      <c r="O107" s="18">
        <v>11</v>
      </c>
      <c r="P107" s="24"/>
      <c r="Q107" s="25">
        <v>45073</v>
      </c>
      <c r="R107" s="13">
        <v>0</v>
      </c>
      <c r="S107" s="26" t="str">
        <f>VLOOKUP(C107,'[1]Bazaar Salary'!$B$6:$J$1193,9,0)</f>
        <v>07940010106658180019</v>
      </c>
      <c r="T107" s="25" t="s">
        <v>32</v>
      </c>
      <c r="U107" s="25" t="s">
        <v>588</v>
      </c>
      <c r="V107" s="25" t="s">
        <v>596</v>
      </c>
      <c r="W107" s="27" t="s">
        <v>597</v>
      </c>
      <c r="X107" s="32" t="s">
        <v>598</v>
      </c>
      <c r="Y107" s="28"/>
      <c r="Z107" s="29" t="s">
        <v>37</v>
      </c>
    </row>
    <row r="108" spans="1:26" ht="30" customHeight="1" thickBot="1" x14ac:dyDescent="0.25">
      <c r="A108" s="17">
        <f t="shared" si="3"/>
        <v>107</v>
      </c>
      <c r="B108" s="18" t="s">
        <v>25</v>
      </c>
      <c r="C108" s="19">
        <v>3510208750211</v>
      </c>
      <c r="D108" s="19">
        <v>1837</v>
      </c>
      <c r="E108" s="20">
        <v>44083</v>
      </c>
      <c r="F108" s="20">
        <v>47735</v>
      </c>
      <c r="G108" s="21">
        <v>36096</v>
      </c>
      <c r="H108" s="22">
        <f t="shared" ca="1" si="2"/>
        <v>27</v>
      </c>
      <c r="I108" s="19" t="s">
        <v>26</v>
      </c>
      <c r="J108" s="18" t="s">
        <v>27</v>
      </c>
      <c r="K108" s="18"/>
      <c r="L108" s="23" t="s">
        <v>599</v>
      </c>
      <c r="M108" s="23" t="s">
        <v>600</v>
      </c>
      <c r="N108" s="24" t="s">
        <v>468</v>
      </c>
      <c r="O108" s="18">
        <v>11</v>
      </c>
      <c r="P108" s="24"/>
      <c r="Q108" s="25">
        <v>45748</v>
      </c>
      <c r="R108" s="13">
        <v>0</v>
      </c>
      <c r="S108" s="26" t="str">
        <f>VLOOKUP(C108,'[1]Bazaar Salary'!$B$6:$J$1193,9,0)</f>
        <v>07940010142032890010</v>
      </c>
      <c r="T108" s="25" t="s">
        <v>32</v>
      </c>
      <c r="U108" s="25" t="s">
        <v>588</v>
      </c>
      <c r="V108" s="25" t="s">
        <v>405</v>
      </c>
      <c r="W108" s="27" t="s">
        <v>601</v>
      </c>
      <c r="X108" s="28" t="s">
        <v>602</v>
      </c>
      <c r="Y108" s="28"/>
      <c r="Z108" s="29" t="s">
        <v>37</v>
      </c>
    </row>
    <row r="109" spans="1:26" ht="30" customHeight="1" thickBot="1" x14ac:dyDescent="0.25">
      <c r="A109" s="17">
        <f t="shared" si="3"/>
        <v>108</v>
      </c>
      <c r="B109" s="18" t="s">
        <v>25</v>
      </c>
      <c r="C109" s="19">
        <v>3520228846985</v>
      </c>
      <c r="D109" s="19">
        <v>1819</v>
      </c>
      <c r="E109" s="20">
        <v>44243</v>
      </c>
      <c r="F109" s="20" t="s">
        <v>196</v>
      </c>
      <c r="G109" s="21">
        <v>35449</v>
      </c>
      <c r="H109" s="22">
        <f t="shared" ca="1" si="2"/>
        <v>29</v>
      </c>
      <c r="I109" s="19" t="s">
        <v>26</v>
      </c>
      <c r="J109" s="18" t="s">
        <v>27</v>
      </c>
      <c r="K109" s="18" t="s">
        <v>197</v>
      </c>
      <c r="L109" s="23" t="s">
        <v>603</v>
      </c>
      <c r="M109" s="23" t="s">
        <v>604</v>
      </c>
      <c r="N109" s="23" t="s">
        <v>605</v>
      </c>
      <c r="O109" s="18">
        <v>11</v>
      </c>
      <c r="P109" s="24" t="s">
        <v>212</v>
      </c>
      <c r="Q109" s="25">
        <v>45748</v>
      </c>
      <c r="R109" s="13">
        <v>0</v>
      </c>
      <c r="S109" s="26" t="str">
        <f>VLOOKUP(C109,'[1]Bazaar Salary'!$B$6:$J$1193,9,0)</f>
        <v>02880010142885450018</v>
      </c>
      <c r="T109" s="25" t="s">
        <v>32</v>
      </c>
      <c r="U109" s="25" t="s">
        <v>33</v>
      </c>
      <c r="V109" s="25" t="s">
        <v>172</v>
      </c>
      <c r="W109" s="27" t="s">
        <v>606</v>
      </c>
      <c r="X109" s="28" t="s">
        <v>607</v>
      </c>
      <c r="Y109" s="28" t="str">
        <f>VLOOKUP(C109,[2]Final!$J$2:$T$175,11,0)</f>
        <v>haiderhassan807@gmail.com</v>
      </c>
      <c r="Z109" s="29" t="s">
        <v>37</v>
      </c>
    </row>
    <row r="110" spans="1:26" ht="30" customHeight="1" thickBot="1" x14ac:dyDescent="0.25">
      <c r="A110" s="17">
        <f t="shared" si="3"/>
        <v>109</v>
      </c>
      <c r="B110" s="18" t="s">
        <v>25</v>
      </c>
      <c r="C110" s="19">
        <v>3520106756681</v>
      </c>
      <c r="D110" s="19">
        <v>1708</v>
      </c>
      <c r="E110" s="20">
        <v>42810</v>
      </c>
      <c r="F110" s="20">
        <v>46462</v>
      </c>
      <c r="G110" s="21">
        <v>36218</v>
      </c>
      <c r="H110" s="22">
        <f t="shared" ca="1" si="2"/>
        <v>27</v>
      </c>
      <c r="I110" s="19" t="s">
        <v>26</v>
      </c>
      <c r="J110" s="18" t="s">
        <v>27</v>
      </c>
      <c r="K110" s="18"/>
      <c r="L110" s="23" t="s">
        <v>608</v>
      </c>
      <c r="M110" s="23" t="s">
        <v>609</v>
      </c>
      <c r="N110" s="23" t="s">
        <v>610</v>
      </c>
      <c r="O110" s="18">
        <v>11</v>
      </c>
      <c r="P110" s="24" t="s">
        <v>109</v>
      </c>
      <c r="Q110" s="25">
        <v>45748</v>
      </c>
      <c r="R110" s="13">
        <v>0</v>
      </c>
      <c r="S110" s="26" t="str">
        <f>VLOOKUP(C110,'[1]Bazaar Salary'!$B$6:$J$1193,9,0)</f>
        <v>02880010137923940017</v>
      </c>
      <c r="T110" s="25" t="s">
        <v>32</v>
      </c>
      <c r="U110" s="25" t="s">
        <v>33</v>
      </c>
      <c r="V110" s="25" t="s">
        <v>110</v>
      </c>
      <c r="W110" s="27" t="s">
        <v>611</v>
      </c>
      <c r="X110" s="28" t="s">
        <v>612</v>
      </c>
      <c r="Y110" s="28" t="str">
        <f>VLOOKUP(C110,[2]Final!$J$2:$T$175,11,0)</f>
        <v>zainarshad13570@gmail.com</v>
      </c>
      <c r="Z110" s="29" t="s">
        <v>37</v>
      </c>
    </row>
    <row r="111" spans="1:26" ht="30" customHeight="1" thickBot="1" x14ac:dyDescent="0.25">
      <c r="A111" s="17">
        <f t="shared" si="3"/>
        <v>110</v>
      </c>
      <c r="B111" s="18" t="s">
        <v>25</v>
      </c>
      <c r="C111" s="19">
        <v>3520282195837</v>
      </c>
      <c r="D111" s="19">
        <v>113</v>
      </c>
      <c r="E111" s="20">
        <v>44745</v>
      </c>
      <c r="F111" s="20">
        <v>48398</v>
      </c>
      <c r="G111" s="21">
        <v>34543</v>
      </c>
      <c r="H111" s="22">
        <f t="shared" ca="1" si="2"/>
        <v>31</v>
      </c>
      <c r="I111" s="19" t="s">
        <v>26</v>
      </c>
      <c r="J111" s="18" t="s">
        <v>27</v>
      </c>
      <c r="K111" s="18"/>
      <c r="L111" s="23" t="s">
        <v>613</v>
      </c>
      <c r="M111" s="23" t="s">
        <v>614</v>
      </c>
      <c r="N111" s="23" t="s">
        <v>615</v>
      </c>
      <c r="O111" s="18">
        <v>11</v>
      </c>
      <c r="P111" s="24" t="s">
        <v>48</v>
      </c>
      <c r="Q111" s="25">
        <v>42948</v>
      </c>
      <c r="R111" s="13">
        <v>0</v>
      </c>
      <c r="S111" s="26" t="str">
        <f>VLOOKUP(C111,'[1]Bazaar Salary'!$B$6:$J$1193,9,0)</f>
        <v>05380010045829020012</v>
      </c>
      <c r="T111" s="25" t="s">
        <v>32</v>
      </c>
      <c r="U111" s="25" t="s">
        <v>33</v>
      </c>
      <c r="V111" s="25" t="s">
        <v>513</v>
      </c>
      <c r="W111" s="27" t="s">
        <v>616</v>
      </c>
      <c r="X111" s="28" t="s">
        <v>617</v>
      </c>
      <c r="Y111" s="28" t="str">
        <f>VLOOKUP(C111,[2]Final!$J$2:$T$175,11,0)</f>
        <v>abidmunir910@gmail.com</v>
      </c>
      <c r="Z111" s="29" t="s">
        <v>37</v>
      </c>
    </row>
    <row r="112" spans="1:26" ht="30" customHeight="1" thickBot="1" x14ac:dyDescent="0.25">
      <c r="A112" s="17">
        <f t="shared" si="3"/>
        <v>111</v>
      </c>
      <c r="B112" s="18" t="s">
        <v>25</v>
      </c>
      <c r="C112" s="19">
        <v>3520254344711</v>
      </c>
      <c r="D112" s="19">
        <v>311</v>
      </c>
      <c r="E112" s="20">
        <v>45573</v>
      </c>
      <c r="F112" s="20">
        <v>49225</v>
      </c>
      <c r="G112" s="21">
        <v>33631</v>
      </c>
      <c r="H112" s="22">
        <f t="shared" ca="1" si="2"/>
        <v>34</v>
      </c>
      <c r="I112" s="19" t="s">
        <v>26</v>
      </c>
      <c r="J112" s="18" t="s">
        <v>27</v>
      </c>
      <c r="K112" s="18"/>
      <c r="L112" s="23" t="s">
        <v>618</v>
      </c>
      <c r="M112" s="23" t="s">
        <v>619</v>
      </c>
      <c r="N112" s="23" t="s">
        <v>615</v>
      </c>
      <c r="O112" s="18">
        <v>11</v>
      </c>
      <c r="P112" s="24" t="s">
        <v>620</v>
      </c>
      <c r="Q112" s="25">
        <v>42285</v>
      </c>
      <c r="R112" s="13">
        <v>0</v>
      </c>
      <c r="S112" s="26" t="str">
        <f>VLOOKUP(C112,'[1]Bazaar Salary'!$B$6:$J$1193,9,0)</f>
        <v>01530010045857700019</v>
      </c>
      <c r="T112" s="25" t="s">
        <v>32</v>
      </c>
      <c r="U112" s="25" t="s">
        <v>33</v>
      </c>
      <c r="V112" s="25" t="s">
        <v>172</v>
      </c>
      <c r="W112" s="27" t="s">
        <v>621</v>
      </c>
      <c r="X112" s="28" t="s">
        <v>622</v>
      </c>
      <c r="Y112" s="28" t="str">
        <f>VLOOKUP(C112,[2]Final!$J$2:$T$175,11,0)</f>
        <v>adnan.mb.pmbmc@gmail.com</v>
      </c>
      <c r="Z112" s="29" t="s">
        <v>37</v>
      </c>
    </row>
    <row r="113" spans="1:26" ht="30" customHeight="1" thickBot="1" x14ac:dyDescent="0.25">
      <c r="A113" s="17">
        <f t="shared" si="3"/>
        <v>112</v>
      </c>
      <c r="B113" s="18" t="s">
        <v>25</v>
      </c>
      <c r="C113" s="19">
        <v>3520015123991</v>
      </c>
      <c r="D113" s="19">
        <v>1346</v>
      </c>
      <c r="E113" s="20">
        <v>44620</v>
      </c>
      <c r="F113" s="20">
        <v>48272</v>
      </c>
      <c r="G113" s="21">
        <v>30196</v>
      </c>
      <c r="H113" s="22">
        <f t="shared" ca="1" si="2"/>
        <v>43</v>
      </c>
      <c r="I113" s="19" t="s">
        <v>26</v>
      </c>
      <c r="J113" s="18" t="s">
        <v>27</v>
      </c>
      <c r="K113" s="18"/>
      <c r="L113" s="23" t="s">
        <v>623</v>
      </c>
      <c r="M113" s="23" t="s">
        <v>624</v>
      </c>
      <c r="N113" s="23" t="s">
        <v>615</v>
      </c>
      <c r="O113" s="18">
        <v>11</v>
      </c>
      <c r="P113" s="24" t="s">
        <v>620</v>
      </c>
      <c r="Q113" s="25">
        <v>44652</v>
      </c>
      <c r="R113" s="13">
        <v>0</v>
      </c>
      <c r="S113" s="26" t="str">
        <f>VLOOKUP(C113,'[1]Head Office '!$B$7:$I$98,8,0)</f>
        <v>02880010092128980013</v>
      </c>
      <c r="T113" s="25" t="s">
        <v>32</v>
      </c>
      <c r="U113" s="25" t="s">
        <v>33</v>
      </c>
      <c r="V113" s="25" t="s">
        <v>213</v>
      </c>
      <c r="W113" s="27" t="s">
        <v>625</v>
      </c>
      <c r="X113" s="28" t="s">
        <v>626</v>
      </c>
      <c r="Y113" s="28" t="str">
        <f>VLOOKUP(C113,[2]Final!$J$2:$T$175,11,0)</f>
        <v>asadullah.md.pmbmc@gmail.com</v>
      </c>
      <c r="Z113" s="29" t="s">
        <v>37</v>
      </c>
    </row>
    <row r="114" spans="1:26" ht="30" customHeight="1" thickBot="1" x14ac:dyDescent="0.25">
      <c r="A114" s="17">
        <f t="shared" si="3"/>
        <v>113</v>
      </c>
      <c r="B114" s="18" t="s">
        <v>25</v>
      </c>
      <c r="C114" s="19">
        <v>3520140793937</v>
      </c>
      <c r="D114" s="19">
        <v>133</v>
      </c>
      <c r="E114" s="20">
        <v>45921</v>
      </c>
      <c r="F114" s="20">
        <v>49573</v>
      </c>
      <c r="G114" s="21">
        <v>31136</v>
      </c>
      <c r="H114" s="22">
        <f t="shared" ca="1" si="2"/>
        <v>41</v>
      </c>
      <c r="I114" s="19" t="s">
        <v>26</v>
      </c>
      <c r="J114" s="18" t="s">
        <v>27</v>
      </c>
      <c r="K114" s="18"/>
      <c r="L114" s="23" t="s">
        <v>627</v>
      </c>
      <c r="M114" s="23" t="s">
        <v>628</v>
      </c>
      <c r="N114" s="23" t="s">
        <v>615</v>
      </c>
      <c r="O114" s="18">
        <v>11</v>
      </c>
      <c r="P114" s="24" t="s">
        <v>620</v>
      </c>
      <c r="Q114" s="25">
        <v>42074</v>
      </c>
      <c r="R114" s="13">
        <v>0</v>
      </c>
      <c r="S114" s="26" t="str">
        <f>VLOOKUP(C114,'[1]Bazaar Salary'!$B$6:$J$1193,9,0)</f>
        <v>07040010045907310016</v>
      </c>
      <c r="T114" s="25" t="s">
        <v>32</v>
      </c>
      <c r="U114" s="25" t="s">
        <v>33</v>
      </c>
      <c r="V114" s="25" t="s">
        <v>405</v>
      </c>
      <c r="W114" s="27" t="s">
        <v>629</v>
      </c>
      <c r="X114" s="28" t="s">
        <v>630</v>
      </c>
      <c r="Y114" s="28" t="str">
        <f>VLOOKUP(C114,[2]Final!$J$2:$T$175,11,0)</f>
        <v>farhan.md.pmbmc@gmail.com</v>
      </c>
      <c r="Z114" s="29" t="s">
        <v>37</v>
      </c>
    </row>
    <row r="115" spans="1:26" ht="30" customHeight="1" thickBot="1" x14ac:dyDescent="0.25">
      <c r="A115" s="17">
        <f t="shared" si="3"/>
        <v>114</v>
      </c>
      <c r="B115" s="18" t="s">
        <v>25</v>
      </c>
      <c r="C115" s="19">
        <v>3520403478489</v>
      </c>
      <c r="D115" s="19">
        <v>1730</v>
      </c>
      <c r="E115" s="20">
        <v>43552</v>
      </c>
      <c r="F115" s="20">
        <v>47205</v>
      </c>
      <c r="G115" s="21">
        <v>36962</v>
      </c>
      <c r="H115" s="22">
        <f t="shared" ca="1" si="2"/>
        <v>25</v>
      </c>
      <c r="I115" s="19" t="s">
        <v>26</v>
      </c>
      <c r="J115" s="18" t="s">
        <v>27</v>
      </c>
      <c r="K115" s="18"/>
      <c r="L115" s="23" t="s">
        <v>631</v>
      </c>
      <c r="M115" s="23" t="s">
        <v>632</v>
      </c>
      <c r="N115" s="23" t="s">
        <v>615</v>
      </c>
      <c r="O115" s="18">
        <v>11</v>
      </c>
      <c r="P115" s="24" t="s">
        <v>48</v>
      </c>
      <c r="Q115" s="25">
        <v>45748</v>
      </c>
      <c r="R115" s="13">
        <v>0</v>
      </c>
      <c r="S115" s="26" t="str">
        <f>VLOOKUP(C115,'[1]Bazaar Salary'!$B$6:$J$1193,9,0)</f>
        <v>03910010138374100018</v>
      </c>
      <c r="T115" s="25" t="s">
        <v>32</v>
      </c>
      <c r="U115" s="25" t="s">
        <v>33</v>
      </c>
      <c r="V115" s="25" t="s">
        <v>320</v>
      </c>
      <c r="W115" s="27" t="s">
        <v>633</v>
      </c>
      <c r="X115" s="28" t="s">
        <v>634</v>
      </c>
      <c r="Y115" s="28" t="str">
        <f>VLOOKUP(C115,[2]Final!$J$2:$T$175,11,0)</f>
        <v>gmustafa.psba@gmail.com</v>
      </c>
      <c r="Z115" s="29" t="s">
        <v>37</v>
      </c>
    </row>
    <row r="116" spans="1:26" ht="30" customHeight="1" thickBot="1" x14ac:dyDescent="0.25">
      <c r="A116" s="17">
        <f t="shared" si="3"/>
        <v>115</v>
      </c>
      <c r="B116" s="18" t="s">
        <v>25</v>
      </c>
      <c r="C116" s="19">
        <v>3520229673639</v>
      </c>
      <c r="D116" s="19">
        <v>302</v>
      </c>
      <c r="E116" s="20">
        <v>44977</v>
      </c>
      <c r="F116" s="20">
        <v>48630</v>
      </c>
      <c r="G116" s="21">
        <v>32392</v>
      </c>
      <c r="H116" s="22">
        <f t="shared" ca="1" si="2"/>
        <v>37</v>
      </c>
      <c r="I116" s="19" t="s">
        <v>26</v>
      </c>
      <c r="J116" s="18" t="s">
        <v>27</v>
      </c>
      <c r="K116" s="18"/>
      <c r="L116" s="23" t="s">
        <v>635</v>
      </c>
      <c r="M116" s="23" t="s">
        <v>402</v>
      </c>
      <c r="N116" s="23" t="s">
        <v>615</v>
      </c>
      <c r="O116" s="18">
        <v>11</v>
      </c>
      <c r="P116" s="24" t="s">
        <v>620</v>
      </c>
      <c r="Q116" s="25">
        <v>42031</v>
      </c>
      <c r="R116" s="13">
        <v>0</v>
      </c>
      <c r="S116" s="26" t="str">
        <f>VLOOKUP(C116,'[1]Bazaar Salary'!$B$6:$J$1193,9,0)</f>
        <v>01530010045884360013</v>
      </c>
      <c r="T116" s="25" t="s">
        <v>32</v>
      </c>
      <c r="U116" s="25" t="s">
        <v>33</v>
      </c>
      <c r="V116" s="25" t="s">
        <v>172</v>
      </c>
      <c r="W116" s="27" t="s">
        <v>636</v>
      </c>
      <c r="X116" s="28" t="s">
        <v>637</v>
      </c>
      <c r="Y116" s="28" t="str">
        <f>VLOOKUP(C116,[2]Final!$J$2:$T$175,11,0)</f>
        <v>ramzanimran27@gmail.com</v>
      </c>
      <c r="Z116" s="29" t="s">
        <v>37</v>
      </c>
    </row>
    <row r="117" spans="1:26" ht="30" customHeight="1" thickBot="1" x14ac:dyDescent="0.25">
      <c r="A117" s="17">
        <f t="shared" si="3"/>
        <v>116</v>
      </c>
      <c r="B117" s="18" t="s">
        <v>25</v>
      </c>
      <c r="C117" s="19">
        <v>3520260848819</v>
      </c>
      <c r="D117" s="19">
        <v>1303</v>
      </c>
      <c r="E117" s="20">
        <v>43283</v>
      </c>
      <c r="F117" s="20">
        <v>46936</v>
      </c>
      <c r="G117" s="21">
        <v>32561</v>
      </c>
      <c r="H117" s="22">
        <f t="shared" ca="1" si="2"/>
        <v>37</v>
      </c>
      <c r="I117" s="19" t="s">
        <v>26</v>
      </c>
      <c r="J117" s="18" t="s">
        <v>27</v>
      </c>
      <c r="K117" s="18"/>
      <c r="L117" s="23" t="s">
        <v>638</v>
      </c>
      <c r="M117" s="23" t="s">
        <v>639</v>
      </c>
      <c r="N117" s="23" t="s">
        <v>615</v>
      </c>
      <c r="O117" s="18">
        <v>11</v>
      </c>
      <c r="P117" s="24" t="s">
        <v>41</v>
      </c>
      <c r="Q117" s="25">
        <v>44652</v>
      </c>
      <c r="R117" s="13">
        <v>0</v>
      </c>
      <c r="S117" s="26" t="str">
        <f>VLOOKUP(C117,'[1]Bazaar Salary'!$B$6:$J$1193,9,0)</f>
        <v>06480010084584630012</v>
      </c>
      <c r="T117" s="25" t="s">
        <v>32</v>
      </c>
      <c r="U117" s="25" t="s">
        <v>33</v>
      </c>
      <c r="V117" s="25" t="s">
        <v>310</v>
      </c>
      <c r="W117" s="27" t="s">
        <v>640</v>
      </c>
      <c r="X117" s="28" t="s">
        <v>641</v>
      </c>
      <c r="Y117" s="28" t="str">
        <f>VLOOKUP(C117,[2]Final!$J$2:$T$175,11,0)</f>
        <v>m.irfan1015@gmail.com</v>
      </c>
      <c r="Z117" s="29" t="s">
        <v>37</v>
      </c>
    </row>
    <row r="118" spans="1:26" ht="30" customHeight="1" thickBot="1" x14ac:dyDescent="0.25">
      <c r="A118" s="17">
        <f t="shared" si="3"/>
        <v>117</v>
      </c>
      <c r="B118" s="18" t="s">
        <v>25</v>
      </c>
      <c r="C118" s="19">
        <v>3810182165087</v>
      </c>
      <c r="D118" s="19">
        <v>1232</v>
      </c>
      <c r="E118" s="20">
        <v>43914</v>
      </c>
      <c r="F118" s="20">
        <v>47566</v>
      </c>
      <c r="G118" s="21">
        <v>34922</v>
      </c>
      <c r="H118" s="22">
        <f t="shared" ca="1" si="2"/>
        <v>30</v>
      </c>
      <c r="I118" s="19" t="s">
        <v>26</v>
      </c>
      <c r="J118" s="18" t="s">
        <v>27</v>
      </c>
      <c r="K118" s="18"/>
      <c r="L118" s="23" t="s">
        <v>642</v>
      </c>
      <c r="M118" s="23" t="s">
        <v>643</v>
      </c>
      <c r="N118" s="23" t="s">
        <v>615</v>
      </c>
      <c r="O118" s="18">
        <v>11</v>
      </c>
      <c r="P118" s="24" t="s">
        <v>620</v>
      </c>
      <c r="Q118" s="25">
        <v>44317</v>
      </c>
      <c r="R118" s="13">
        <v>0</v>
      </c>
      <c r="S118" s="26" t="str">
        <f>VLOOKUP(C118,'[1]Bazaar Salary'!$B$6:$J$1193,9,0)</f>
        <v>10990010078656980010</v>
      </c>
      <c r="T118" s="25" t="s">
        <v>32</v>
      </c>
      <c r="U118" s="25" t="s">
        <v>33</v>
      </c>
      <c r="V118" s="25" t="s">
        <v>644</v>
      </c>
      <c r="W118" s="27" t="s">
        <v>645</v>
      </c>
      <c r="X118" s="28" t="s">
        <v>646</v>
      </c>
      <c r="Y118" s="28" t="str">
        <f>VLOOKUP(C118,[2]Final!$J$2:$T$175,11,0)</f>
        <v>gulzar.nabeel.740@gmail.com</v>
      </c>
      <c r="Z118" s="29" t="s">
        <v>37</v>
      </c>
    </row>
    <row r="119" spans="1:26" ht="30" customHeight="1" thickBot="1" x14ac:dyDescent="0.25">
      <c r="A119" s="17">
        <f t="shared" si="3"/>
        <v>118</v>
      </c>
      <c r="B119" s="18" t="s">
        <v>25</v>
      </c>
      <c r="C119" s="19">
        <v>3520251200651</v>
      </c>
      <c r="D119" s="19">
        <v>301</v>
      </c>
      <c r="E119" s="20">
        <v>45104</v>
      </c>
      <c r="F119" s="20">
        <v>48757</v>
      </c>
      <c r="G119" s="21">
        <v>31531</v>
      </c>
      <c r="H119" s="22">
        <f t="shared" ca="1" si="2"/>
        <v>40</v>
      </c>
      <c r="I119" s="19" t="s">
        <v>26</v>
      </c>
      <c r="J119" s="18" t="s">
        <v>27</v>
      </c>
      <c r="K119" s="18"/>
      <c r="L119" s="23" t="s">
        <v>647</v>
      </c>
      <c r="M119" s="23" t="s">
        <v>648</v>
      </c>
      <c r="N119" s="24" t="s">
        <v>615</v>
      </c>
      <c r="O119" s="18">
        <v>11</v>
      </c>
      <c r="P119" s="24" t="s">
        <v>48</v>
      </c>
      <c r="Q119" s="25">
        <v>42146</v>
      </c>
      <c r="R119" s="13">
        <v>0</v>
      </c>
      <c r="S119" s="26" t="str">
        <f>VLOOKUP(C119,'[1]Bazaar Salary'!$B$6:$J$1193,9,0)</f>
        <v>01530010045884090012</v>
      </c>
      <c r="T119" s="25" t="s">
        <v>32</v>
      </c>
      <c r="U119" s="25" t="s">
        <v>33</v>
      </c>
      <c r="V119" s="25" t="s">
        <v>172</v>
      </c>
      <c r="W119" s="27" t="s">
        <v>649</v>
      </c>
      <c r="X119" s="28" t="s">
        <v>650</v>
      </c>
      <c r="Y119" s="28" t="str">
        <f>VLOOKUP(C119,[2]Final!$J$2:$T$175,11,0)</f>
        <v>naumannauman111@gmail.com</v>
      </c>
      <c r="Z119" s="29" t="s">
        <v>37</v>
      </c>
    </row>
    <row r="120" spans="1:26" ht="30" customHeight="1" thickBot="1" x14ac:dyDescent="0.25">
      <c r="A120" s="17">
        <f t="shared" si="3"/>
        <v>119</v>
      </c>
      <c r="B120" s="18" t="s">
        <v>25</v>
      </c>
      <c r="C120" s="19">
        <v>3520283162071</v>
      </c>
      <c r="D120" s="19">
        <v>1206</v>
      </c>
      <c r="E120" s="20">
        <v>45348</v>
      </c>
      <c r="F120" s="20">
        <v>49001</v>
      </c>
      <c r="G120" s="21">
        <v>35377</v>
      </c>
      <c r="H120" s="22">
        <f t="shared" ca="1" si="2"/>
        <v>29</v>
      </c>
      <c r="I120" s="19" t="s">
        <v>26</v>
      </c>
      <c r="J120" s="18" t="s">
        <v>27</v>
      </c>
      <c r="K120" s="18"/>
      <c r="L120" s="23" t="s">
        <v>651</v>
      </c>
      <c r="M120" s="23" t="s">
        <v>81</v>
      </c>
      <c r="N120" s="23" t="s">
        <v>615</v>
      </c>
      <c r="O120" s="18">
        <v>11</v>
      </c>
      <c r="P120" s="24" t="s">
        <v>620</v>
      </c>
      <c r="Q120" s="25">
        <v>44256</v>
      </c>
      <c r="R120" s="13">
        <v>0</v>
      </c>
      <c r="S120" s="26" t="str">
        <f>VLOOKUP(C120,'[1]Bazaar Salary'!$B$6:$J$1193,9,0)</f>
        <v>07660010053145710019</v>
      </c>
      <c r="T120" s="25" t="s">
        <v>32</v>
      </c>
      <c r="U120" s="25" t="s">
        <v>33</v>
      </c>
      <c r="V120" s="25" t="s">
        <v>287</v>
      </c>
      <c r="W120" s="27" t="s">
        <v>652</v>
      </c>
      <c r="X120" s="28" t="s">
        <v>653</v>
      </c>
      <c r="Y120" s="28" t="str">
        <f>VLOOKUP(C120,[2]Final!$J$2:$T$175,11,0)</f>
        <v>rashid.pmbmc@gmail.com</v>
      </c>
      <c r="Z120" s="29" t="s">
        <v>37</v>
      </c>
    </row>
    <row r="121" spans="1:26" ht="30" customHeight="1" thickBot="1" x14ac:dyDescent="0.25">
      <c r="A121" s="17">
        <f t="shared" si="3"/>
        <v>120</v>
      </c>
      <c r="B121" s="18" t="s">
        <v>25</v>
      </c>
      <c r="C121" s="19">
        <v>3110438232361</v>
      </c>
      <c r="D121" s="19">
        <v>1203</v>
      </c>
      <c r="E121" s="20">
        <v>43288</v>
      </c>
      <c r="F121" s="20">
        <v>46941</v>
      </c>
      <c r="G121" s="21">
        <v>31017</v>
      </c>
      <c r="H121" s="22">
        <f t="shared" ca="1" si="2"/>
        <v>41</v>
      </c>
      <c r="I121" s="19" t="s">
        <v>26</v>
      </c>
      <c r="J121" s="18" t="s">
        <v>27</v>
      </c>
      <c r="K121" s="18"/>
      <c r="L121" s="23" t="s">
        <v>654</v>
      </c>
      <c r="M121" s="23" t="s">
        <v>655</v>
      </c>
      <c r="N121" s="23" t="s">
        <v>345</v>
      </c>
      <c r="O121" s="18">
        <v>11</v>
      </c>
      <c r="P121" s="24" t="s">
        <v>487</v>
      </c>
      <c r="Q121" s="25">
        <v>44298</v>
      </c>
      <c r="R121" s="13">
        <v>0</v>
      </c>
      <c r="S121" s="26" t="str">
        <f>VLOOKUP(C121,'[1]Bazaar Salary'!$B$6:$J$1193,9,0)</f>
        <v>05980010005169900026</v>
      </c>
      <c r="T121" s="25" t="s">
        <v>32</v>
      </c>
      <c r="U121" s="25" t="s">
        <v>33</v>
      </c>
      <c r="V121" s="25" t="s">
        <v>377</v>
      </c>
      <c r="W121" s="27" t="s">
        <v>656</v>
      </c>
      <c r="X121" s="28" t="s">
        <v>657</v>
      </c>
      <c r="Y121" s="28" t="str">
        <f>VLOOKUP(C121,[2]Final!$J$2:$T$175,11,0)</f>
        <v>Shabir.hussain0@gmail.com</v>
      </c>
      <c r="Z121" s="29" t="s">
        <v>37</v>
      </c>
    </row>
    <row r="122" spans="1:26" ht="30" customHeight="1" thickBot="1" x14ac:dyDescent="0.25">
      <c r="A122" s="17">
        <f t="shared" si="3"/>
        <v>121</v>
      </c>
      <c r="B122" s="18" t="s">
        <v>25</v>
      </c>
      <c r="C122" s="19">
        <v>3520182599334</v>
      </c>
      <c r="D122" s="19">
        <v>1805</v>
      </c>
      <c r="E122" s="20">
        <v>45917</v>
      </c>
      <c r="F122" s="20">
        <v>48392</v>
      </c>
      <c r="G122" s="21">
        <v>32814</v>
      </c>
      <c r="H122" s="22">
        <f t="shared" ca="1" si="2"/>
        <v>36</v>
      </c>
      <c r="I122" s="19" t="s">
        <v>26</v>
      </c>
      <c r="J122" s="18" t="s">
        <v>66</v>
      </c>
      <c r="K122" s="18"/>
      <c r="L122" s="23" t="s">
        <v>658</v>
      </c>
      <c r="M122" s="23" t="s">
        <v>659</v>
      </c>
      <c r="N122" s="23" t="s">
        <v>660</v>
      </c>
      <c r="O122" s="18">
        <v>11</v>
      </c>
      <c r="P122" s="24" t="s">
        <v>48</v>
      </c>
      <c r="Q122" s="25">
        <v>45748</v>
      </c>
      <c r="R122" s="13">
        <v>0</v>
      </c>
      <c r="S122" s="26" t="str">
        <f>VLOOKUP(C122,'[1]Bazaar Salary'!$B$6:$J$1193,9,0)</f>
        <v>02880010142066640012</v>
      </c>
      <c r="T122" s="25" t="s">
        <v>32</v>
      </c>
      <c r="U122" s="25" t="s">
        <v>33</v>
      </c>
      <c r="V122" s="25" t="s">
        <v>172</v>
      </c>
      <c r="W122" s="27" t="s">
        <v>661</v>
      </c>
      <c r="X122" s="28" t="s">
        <v>662</v>
      </c>
      <c r="Y122" s="28" t="str">
        <f>VLOOKUP(C122,[2]Final!$J$2:$T$175,11,0)</f>
        <v>maryamaslam.pmbmc@gmail.com</v>
      </c>
      <c r="Z122" s="29" t="s">
        <v>37</v>
      </c>
    </row>
    <row r="123" spans="1:26" ht="30" customHeight="1" thickBot="1" x14ac:dyDescent="0.25">
      <c r="A123" s="17">
        <f t="shared" si="3"/>
        <v>122</v>
      </c>
      <c r="B123" s="18" t="s">
        <v>25</v>
      </c>
      <c r="C123" s="19">
        <v>3460142768520</v>
      </c>
      <c r="D123" s="19" t="s">
        <v>542</v>
      </c>
      <c r="E123" s="20">
        <v>45770</v>
      </c>
      <c r="F123" s="20">
        <v>49422</v>
      </c>
      <c r="G123" s="21">
        <v>35079</v>
      </c>
      <c r="H123" s="22">
        <f t="shared" ca="1" si="2"/>
        <v>30</v>
      </c>
      <c r="I123" s="19" t="s">
        <v>26</v>
      </c>
      <c r="J123" s="18" t="s">
        <v>66</v>
      </c>
      <c r="K123" s="18"/>
      <c r="L123" s="23" t="s">
        <v>663</v>
      </c>
      <c r="M123" s="23" t="s">
        <v>664</v>
      </c>
      <c r="N123" s="23" t="s">
        <v>660</v>
      </c>
      <c r="O123" s="18">
        <v>11</v>
      </c>
      <c r="P123" s="24"/>
      <c r="Q123" s="25">
        <v>45413</v>
      </c>
      <c r="R123" s="13">
        <v>0</v>
      </c>
      <c r="S123" s="26" t="str">
        <f>VLOOKUP(C123,'[1]Bazaar Salary'!$B$6:$J$1193,9,0)</f>
        <v>11180010129119200012</v>
      </c>
      <c r="T123" s="25" t="s">
        <v>32</v>
      </c>
      <c r="U123" s="25" t="s">
        <v>33</v>
      </c>
      <c r="V123" s="25" t="s">
        <v>665</v>
      </c>
      <c r="W123" s="27" t="s">
        <v>666</v>
      </c>
      <c r="X123" s="28" t="s">
        <v>667</v>
      </c>
      <c r="Y123" s="28"/>
      <c r="Z123" s="29" t="s">
        <v>37</v>
      </c>
    </row>
    <row r="124" spans="1:26" ht="30" customHeight="1" thickBot="1" x14ac:dyDescent="0.25">
      <c r="A124" s="17">
        <f t="shared" si="3"/>
        <v>123</v>
      </c>
      <c r="B124" s="18" t="s">
        <v>25</v>
      </c>
      <c r="C124" s="19">
        <v>3520274546221</v>
      </c>
      <c r="D124" s="19">
        <v>1871</v>
      </c>
      <c r="E124" s="20">
        <v>43754</v>
      </c>
      <c r="F124" s="20">
        <v>47407</v>
      </c>
      <c r="G124" s="21">
        <v>34110</v>
      </c>
      <c r="H124" s="22">
        <f t="shared" ca="1" si="2"/>
        <v>33</v>
      </c>
      <c r="I124" s="19" t="s">
        <v>26</v>
      </c>
      <c r="J124" s="18" t="s">
        <v>27</v>
      </c>
      <c r="K124" s="18"/>
      <c r="L124" s="23" t="s">
        <v>668</v>
      </c>
      <c r="M124" s="23" t="s">
        <v>669</v>
      </c>
      <c r="N124" s="23" t="s">
        <v>457</v>
      </c>
      <c r="O124" s="18">
        <v>11</v>
      </c>
      <c r="P124" s="24" t="s">
        <v>62</v>
      </c>
      <c r="Q124" s="25">
        <v>45748</v>
      </c>
      <c r="R124" s="13">
        <v>0</v>
      </c>
      <c r="S124" s="26" t="str">
        <f>VLOOKUP(C124,'[1]Bazaar Salary'!$B$6:$J$1193,9,0)</f>
        <v>02880010143980800014</v>
      </c>
      <c r="T124" s="25" t="s">
        <v>32</v>
      </c>
      <c r="U124" s="25" t="s">
        <v>33</v>
      </c>
      <c r="V124" s="25" t="s">
        <v>670</v>
      </c>
      <c r="W124" s="27" t="s">
        <v>671</v>
      </c>
      <c r="X124" s="28" t="s">
        <v>672</v>
      </c>
      <c r="Y124" s="28"/>
      <c r="Z124" s="29" t="s">
        <v>37</v>
      </c>
    </row>
    <row r="125" spans="1:26" ht="30" customHeight="1" thickBot="1" x14ac:dyDescent="0.25">
      <c r="A125" s="17">
        <f t="shared" si="3"/>
        <v>124</v>
      </c>
      <c r="B125" s="18" t="s">
        <v>25</v>
      </c>
      <c r="C125" s="19">
        <v>3520243943553</v>
      </c>
      <c r="D125" s="19">
        <v>124</v>
      </c>
      <c r="E125" s="20">
        <v>44219</v>
      </c>
      <c r="F125" s="20">
        <v>47871</v>
      </c>
      <c r="G125" s="21">
        <v>34450</v>
      </c>
      <c r="H125" s="22">
        <f t="shared" ca="1" si="2"/>
        <v>32</v>
      </c>
      <c r="I125" s="19" t="s">
        <v>26</v>
      </c>
      <c r="J125" s="18" t="s">
        <v>27</v>
      </c>
      <c r="K125" s="18"/>
      <c r="L125" s="23" t="s">
        <v>673</v>
      </c>
      <c r="M125" s="23" t="s">
        <v>674</v>
      </c>
      <c r="N125" s="23" t="s">
        <v>457</v>
      </c>
      <c r="O125" s="18">
        <v>11</v>
      </c>
      <c r="P125" s="24" t="s">
        <v>48</v>
      </c>
      <c r="Q125" s="25">
        <v>41604</v>
      </c>
      <c r="R125" s="13">
        <v>0</v>
      </c>
      <c r="S125" s="26" t="str">
        <f>VLOOKUP(C125,'[1]Bazaar Salary'!$B$6:$J$1193,9,0)</f>
        <v>03910010045816320019</v>
      </c>
      <c r="T125" s="25" t="s">
        <v>32</v>
      </c>
      <c r="U125" s="25" t="s">
        <v>33</v>
      </c>
      <c r="V125" s="25" t="s">
        <v>405</v>
      </c>
      <c r="W125" s="27" t="s">
        <v>675</v>
      </c>
      <c r="X125" s="28" t="s">
        <v>676</v>
      </c>
      <c r="Y125" s="28" t="str">
        <f>VLOOKUP(C125,[2]Final!$J$2:$T$175,11,0)</f>
        <v>akhti566@gmail.com</v>
      </c>
      <c r="Z125" s="29" t="s">
        <v>37</v>
      </c>
    </row>
    <row r="126" spans="1:26" ht="30" customHeight="1" thickBot="1" x14ac:dyDescent="0.25">
      <c r="A126" s="17">
        <f t="shared" si="3"/>
        <v>125</v>
      </c>
      <c r="B126" s="18" t="s">
        <v>25</v>
      </c>
      <c r="C126" s="19">
        <v>3520274856315</v>
      </c>
      <c r="D126" s="19"/>
      <c r="E126" s="20">
        <v>43860</v>
      </c>
      <c r="F126" s="20">
        <v>47513</v>
      </c>
      <c r="G126" s="21">
        <v>37204</v>
      </c>
      <c r="H126" s="22">
        <f t="shared" ca="1" si="2"/>
        <v>24</v>
      </c>
      <c r="I126" s="19" t="s">
        <v>26</v>
      </c>
      <c r="J126" s="18" t="s">
        <v>27</v>
      </c>
      <c r="K126" s="18"/>
      <c r="L126" s="23" t="s">
        <v>677</v>
      </c>
      <c r="M126" s="23" t="s">
        <v>678</v>
      </c>
      <c r="N126" s="23" t="s">
        <v>457</v>
      </c>
      <c r="O126" s="18">
        <v>11</v>
      </c>
      <c r="P126" s="24" t="s">
        <v>55</v>
      </c>
      <c r="Q126" s="25">
        <v>45748</v>
      </c>
      <c r="R126" s="13">
        <v>0</v>
      </c>
      <c r="S126" s="26" t="str">
        <f>VLOOKUP(C126,'[1]Bazaar Salary'!$B$6:$J$1193,9,0)</f>
        <v>51210020143302750027</v>
      </c>
      <c r="T126" s="25" t="s">
        <v>32</v>
      </c>
      <c r="U126" s="25" t="s">
        <v>33</v>
      </c>
      <c r="V126" s="25" t="s">
        <v>405</v>
      </c>
      <c r="W126" s="27" t="s">
        <v>679</v>
      </c>
      <c r="X126" s="28" t="s">
        <v>680</v>
      </c>
      <c r="Y126" s="28" t="str">
        <f>VLOOKUP(C126,[2]Final!$J$2:$T$175,11,0)</f>
        <v>usama34190@gmail.com</v>
      </c>
      <c r="Z126" s="29" t="s">
        <v>37</v>
      </c>
    </row>
    <row r="127" spans="1:26" ht="30" customHeight="1" thickBot="1" x14ac:dyDescent="0.25">
      <c r="A127" s="17">
        <f t="shared" si="3"/>
        <v>126</v>
      </c>
      <c r="B127" s="18" t="s">
        <v>25</v>
      </c>
      <c r="C127" s="19">
        <v>3520265263409</v>
      </c>
      <c r="D127" s="19">
        <v>114</v>
      </c>
      <c r="E127" s="20">
        <v>44615</v>
      </c>
      <c r="F127" s="20">
        <v>48267</v>
      </c>
      <c r="G127" s="21">
        <v>32933</v>
      </c>
      <c r="H127" s="22">
        <f t="shared" ca="1" si="2"/>
        <v>36</v>
      </c>
      <c r="I127" s="19" t="s">
        <v>26</v>
      </c>
      <c r="J127" s="18" t="s">
        <v>27</v>
      </c>
      <c r="K127" s="18"/>
      <c r="L127" s="23" t="s">
        <v>681</v>
      </c>
      <c r="M127" s="23" t="s">
        <v>682</v>
      </c>
      <c r="N127" s="23" t="s">
        <v>683</v>
      </c>
      <c r="O127" s="18">
        <v>11</v>
      </c>
      <c r="P127" s="24" t="s">
        <v>183</v>
      </c>
      <c r="Q127" s="25">
        <v>42367</v>
      </c>
      <c r="R127" s="13">
        <v>0</v>
      </c>
      <c r="S127" s="26" t="str">
        <f>VLOOKUP(C127,'[1]Bazaar Salary'!$B$6:$J$1193,9,0)</f>
        <v>02880010045781520019</v>
      </c>
      <c r="T127" s="25" t="s">
        <v>32</v>
      </c>
      <c r="U127" s="25" t="s">
        <v>33</v>
      </c>
      <c r="V127" s="25" t="s">
        <v>565</v>
      </c>
      <c r="W127" s="27" t="s">
        <v>684</v>
      </c>
      <c r="X127" s="28" t="s">
        <v>685</v>
      </c>
      <c r="Y127" s="28" t="str">
        <f>VLOOKUP(C127,[2]Final!$J$2:$T$175,11,0)</f>
        <v>hafizmuhammadsaleem586@gmail.com</v>
      </c>
      <c r="Z127" s="29" t="s">
        <v>37</v>
      </c>
    </row>
    <row r="128" spans="1:26" ht="30" customHeight="1" thickBot="1" x14ac:dyDescent="0.25">
      <c r="A128" s="17">
        <f t="shared" si="3"/>
        <v>127</v>
      </c>
      <c r="B128" s="18" t="s">
        <v>25</v>
      </c>
      <c r="C128" s="19">
        <v>3520241663183</v>
      </c>
      <c r="D128" s="19">
        <v>215</v>
      </c>
      <c r="E128" s="20">
        <v>43717</v>
      </c>
      <c r="F128" s="20">
        <v>47370</v>
      </c>
      <c r="G128" s="21">
        <v>31860</v>
      </c>
      <c r="H128" s="22">
        <f t="shared" ca="1" si="2"/>
        <v>39</v>
      </c>
      <c r="I128" s="19" t="s">
        <v>26</v>
      </c>
      <c r="J128" s="18" t="s">
        <v>27</v>
      </c>
      <c r="K128" s="18"/>
      <c r="L128" s="23" t="s">
        <v>686</v>
      </c>
      <c r="M128" s="23" t="s">
        <v>307</v>
      </c>
      <c r="N128" s="23" t="s">
        <v>687</v>
      </c>
      <c r="O128" s="18">
        <v>11</v>
      </c>
      <c r="P128" s="24" t="s">
        <v>48</v>
      </c>
      <c r="Q128" s="25">
        <v>44256</v>
      </c>
      <c r="R128" s="13">
        <v>0</v>
      </c>
      <c r="S128" s="26" t="str">
        <f>VLOOKUP(C128,'[1]Bazaar Salary'!$B$6:$J$1193,9,0)</f>
        <v>00800010064403220011</v>
      </c>
      <c r="T128" s="25" t="s">
        <v>32</v>
      </c>
      <c r="U128" s="25" t="s">
        <v>33</v>
      </c>
      <c r="V128" s="25" t="s">
        <v>172</v>
      </c>
      <c r="W128" s="27" t="s">
        <v>688</v>
      </c>
      <c r="X128" s="28" t="s">
        <v>689</v>
      </c>
      <c r="Y128" s="28" t="str">
        <f>VLOOKUP(C128,[2]Final!$J$2:$T$175,11,0)</f>
        <v>abdulhameednasir88@gmail.com</v>
      </c>
      <c r="Z128" s="29" t="s">
        <v>37</v>
      </c>
    </row>
    <row r="129" spans="1:26" ht="30" customHeight="1" thickBot="1" x14ac:dyDescent="0.25">
      <c r="A129" s="17">
        <f t="shared" si="3"/>
        <v>128</v>
      </c>
      <c r="B129" s="18" t="s">
        <v>25</v>
      </c>
      <c r="C129" s="19">
        <v>3310244062313</v>
      </c>
      <c r="D129" s="19">
        <v>1319</v>
      </c>
      <c r="E129" s="20">
        <v>43734</v>
      </c>
      <c r="F129" s="20">
        <v>47387</v>
      </c>
      <c r="G129" s="21">
        <v>36763</v>
      </c>
      <c r="H129" s="22">
        <f t="shared" ca="1" si="2"/>
        <v>25</v>
      </c>
      <c r="I129" s="19" t="s">
        <v>26</v>
      </c>
      <c r="J129" s="18" t="s">
        <v>27</v>
      </c>
      <c r="K129" s="18"/>
      <c r="L129" s="23" t="s">
        <v>690</v>
      </c>
      <c r="M129" s="23" t="s">
        <v>691</v>
      </c>
      <c r="N129" s="23" t="s">
        <v>687</v>
      </c>
      <c r="O129" s="18">
        <v>11</v>
      </c>
      <c r="P129" s="24" t="s">
        <v>620</v>
      </c>
      <c r="Q129" s="25">
        <v>44652</v>
      </c>
      <c r="R129" s="13">
        <v>0</v>
      </c>
      <c r="S129" s="26" t="str">
        <f>VLOOKUP(C129,'[1]Head Office '!$B$7:$I$98,8,0)</f>
        <v>02240010087568850019</v>
      </c>
      <c r="T129" s="25" t="s">
        <v>32</v>
      </c>
      <c r="U129" s="25" t="s">
        <v>33</v>
      </c>
      <c r="V129" s="25" t="s">
        <v>405</v>
      </c>
      <c r="W129" s="27" t="s">
        <v>692</v>
      </c>
      <c r="X129" s="28" t="s">
        <v>693</v>
      </c>
      <c r="Y129" s="28" t="str">
        <f>VLOOKUP(C129,[2]Final!$J$2:$T$175,11,0)</f>
        <v>gulemadni.md.pmbmc@gmail.com</v>
      </c>
      <c r="Z129" s="29" t="s">
        <v>37</v>
      </c>
    </row>
    <row r="130" spans="1:26" ht="30" customHeight="1" thickBot="1" x14ac:dyDescent="0.25">
      <c r="A130" s="17">
        <f t="shared" si="3"/>
        <v>129</v>
      </c>
      <c r="B130" s="18" t="s">
        <v>25</v>
      </c>
      <c r="C130" s="19">
        <v>3520288383053</v>
      </c>
      <c r="D130" s="19">
        <v>1656</v>
      </c>
      <c r="E130" s="21">
        <v>43324</v>
      </c>
      <c r="F130" s="21">
        <v>46977</v>
      </c>
      <c r="G130" s="21">
        <v>36369</v>
      </c>
      <c r="H130" s="22">
        <f t="shared" ref="H130:H193" ca="1" si="4">INT((TODAY()-G130)/365)</f>
        <v>26</v>
      </c>
      <c r="I130" s="18" t="s">
        <v>26</v>
      </c>
      <c r="J130" s="18" t="s">
        <v>27</v>
      </c>
      <c r="K130" s="23"/>
      <c r="L130" s="24" t="s">
        <v>694</v>
      </c>
      <c r="M130" s="33" t="s">
        <v>695</v>
      </c>
      <c r="N130" s="23" t="s">
        <v>687</v>
      </c>
      <c r="O130" s="18">
        <v>11</v>
      </c>
      <c r="P130" s="24" t="s">
        <v>48</v>
      </c>
      <c r="Q130" s="25">
        <v>45748</v>
      </c>
      <c r="R130" s="13">
        <v>0</v>
      </c>
      <c r="S130" s="26" t="str">
        <f>VLOOKUP(C130,'[1]Bazaar Salary'!$B$6:$J$1193,9,0)</f>
        <v>07660010134267540016</v>
      </c>
      <c r="T130" s="25" t="s">
        <v>32</v>
      </c>
      <c r="U130" s="25" t="s">
        <v>33</v>
      </c>
      <c r="V130" s="25" t="s">
        <v>287</v>
      </c>
      <c r="W130" s="33" t="s">
        <v>696</v>
      </c>
      <c r="X130" s="28" t="s">
        <v>697</v>
      </c>
      <c r="Y130" s="28" t="str">
        <f>VLOOKUP(C130,[2]Final!$J$2:$T$175,11,0)</f>
        <v>zeeshanmansha647@gmail.com</v>
      </c>
      <c r="Z130" s="29" t="s">
        <v>37</v>
      </c>
    </row>
    <row r="131" spans="1:26" ht="30" customHeight="1" thickBot="1" x14ac:dyDescent="0.25">
      <c r="A131" s="17">
        <f t="shared" si="3"/>
        <v>130</v>
      </c>
      <c r="B131" s="18" t="s">
        <v>25</v>
      </c>
      <c r="C131" s="19">
        <v>3520274261144</v>
      </c>
      <c r="D131" s="19">
        <v>223</v>
      </c>
      <c r="E131" s="20">
        <v>43368</v>
      </c>
      <c r="F131" s="20">
        <v>47021</v>
      </c>
      <c r="G131" s="21">
        <v>35534</v>
      </c>
      <c r="H131" s="22">
        <f t="shared" ca="1" si="4"/>
        <v>29</v>
      </c>
      <c r="I131" s="19" t="s">
        <v>26</v>
      </c>
      <c r="J131" s="18" t="s">
        <v>66</v>
      </c>
      <c r="K131" s="18"/>
      <c r="L131" s="23" t="s">
        <v>698</v>
      </c>
      <c r="M131" s="23" t="s">
        <v>699</v>
      </c>
      <c r="N131" s="23" t="s">
        <v>687</v>
      </c>
      <c r="O131" s="18">
        <v>11</v>
      </c>
      <c r="P131" s="24" t="s">
        <v>487</v>
      </c>
      <c r="Q131" s="25">
        <v>45748</v>
      </c>
      <c r="R131" s="13">
        <v>0</v>
      </c>
      <c r="S131" s="26" t="str">
        <f>VLOOKUP(C131,'[1]Bazaar Salary'!$B$6:$J$1193,9,0)</f>
        <v>01530010074217780011</v>
      </c>
      <c r="T131" s="25" t="s">
        <v>32</v>
      </c>
      <c r="U131" s="25" t="s">
        <v>33</v>
      </c>
      <c r="V131" s="25" t="s">
        <v>172</v>
      </c>
      <c r="W131" s="27" t="s">
        <v>700</v>
      </c>
      <c r="X131" s="28" t="s">
        <v>701</v>
      </c>
      <c r="Y131" s="28" t="str">
        <f>VLOOKUP(C131,[2]Final!$J$2:$T$175,11,0)</f>
        <v>rafiashabbir053@gmail.com</v>
      </c>
      <c r="Z131" s="29" t="s">
        <v>37</v>
      </c>
    </row>
    <row r="132" spans="1:26" ht="30" customHeight="1" thickBot="1" x14ac:dyDescent="0.25">
      <c r="A132" s="17">
        <f t="shared" ref="A132:A195" si="5">A131+1</f>
        <v>131</v>
      </c>
      <c r="B132" s="18" t="s">
        <v>25</v>
      </c>
      <c r="C132" s="19">
        <v>3520235383471</v>
      </c>
      <c r="D132" s="19">
        <v>1199</v>
      </c>
      <c r="E132" s="20">
        <v>45870</v>
      </c>
      <c r="F132" s="20">
        <v>49522</v>
      </c>
      <c r="G132" s="21">
        <v>30965</v>
      </c>
      <c r="H132" s="22">
        <f t="shared" ca="1" si="4"/>
        <v>41</v>
      </c>
      <c r="I132" s="19" t="s">
        <v>26</v>
      </c>
      <c r="J132" s="18" t="s">
        <v>27</v>
      </c>
      <c r="K132" s="18"/>
      <c r="L132" s="23" t="s">
        <v>702</v>
      </c>
      <c r="M132" s="23" t="s">
        <v>703</v>
      </c>
      <c r="N132" s="23" t="s">
        <v>687</v>
      </c>
      <c r="O132" s="18">
        <v>11</v>
      </c>
      <c r="P132" s="24" t="s">
        <v>487</v>
      </c>
      <c r="Q132" s="25">
        <v>44256</v>
      </c>
      <c r="R132" s="13">
        <v>0</v>
      </c>
      <c r="S132" s="26" t="str">
        <f>VLOOKUP(C132,'[1]Bazaar Salary'!$B$6:$J$1193,9,0)</f>
        <v>08370010009525560023</v>
      </c>
      <c r="T132" s="25" t="s">
        <v>32</v>
      </c>
      <c r="U132" s="25" t="s">
        <v>33</v>
      </c>
      <c r="V132" s="25" t="s">
        <v>172</v>
      </c>
      <c r="W132" s="27" t="s">
        <v>704</v>
      </c>
      <c r="X132" s="28" t="s">
        <v>705</v>
      </c>
      <c r="Y132" s="28" t="str">
        <f>VLOOKUP(C132,[2]Final!$J$2:$T$175,11,0)</f>
        <v>shumailmanzoor@gmail.com</v>
      </c>
      <c r="Z132" s="29" t="s">
        <v>37</v>
      </c>
    </row>
    <row r="133" spans="1:26" ht="30" customHeight="1" thickBot="1" x14ac:dyDescent="0.25">
      <c r="A133" s="17">
        <f t="shared" si="5"/>
        <v>132</v>
      </c>
      <c r="B133" s="18" t="s">
        <v>25</v>
      </c>
      <c r="C133" s="19">
        <v>3210280646071</v>
      </c>
      <c r="D133" s="19">
        <v>1110</v>
      </c>
      <c r="E133" s="20">
        <v>45422</v>
      </c>
      <c r="F133" s="20">
        <v>49074</v>
      </c>
      <c r="G133" s="21">
        <v>35163</v>
      </c>
      <c r="H133" s="22">
        <f t="shared" ca="1" si="4"/>
        <v>30</v>
      </c>
      <c r="I133" s="19" t="s">
        <v>26</v>
      </c>
      <c r="J133" s="18" t="s">
        <v>27</v>
      </c>
      <c r="K133" s="18"/>
      <c r="L133" s="23" t="s">
        <v>706</v>
      </c>
      <c r="M133" s="23" t="s">
        <v>707</v>
      </c>
      <c r="N133" s="23" t="s">
        <v>457</v>
      </c>
      <c r="O133" s="18">
        <v>11</v>
      </c>
      <c r="P133" s="24"/>
      <c r="Q133" s="25">
        <v>43678</v>
      </c>
      <c r="R133" s="13">
        <v>0</v>
      </c>
      <c r="S133" s="26" t="str">
        <f>VLOOKUP(C133,'[1]Bazaar Salary'!$B$6:$J$1193,9,0)</f>
        <v>03660010060337850020</v>
      </c>
      <c r="T133" s="25" t="s">
        <v>32</v>
      </c>
      <c r="U133" s="25" t="s">
        <v>370</v>
      </c>
      <c r="V133" s="25" t="s">
        <v>265</v>
      </c>
      <c r="W133" s="27" t="s">
        <v>708</v>
      </c>
      <c r="X133" s="28" t="s">
        <v>709</v>
      </c>
      <c r="Y133" s="28"/>
      <c r="Z133" s="29" t="s">
        <v>37</v>
      </c>
    </row>
    <row r="134" spans="1:26" ht="30" customHeight="1" thickBot="1" x14ac:dyDescent="0.25">
      <c r="A134" s="17">
        <f t="shared" si="5"/>
        <v>133</v>
      </c>
      <c r="B134" s="18" t="s">
        <v>25</v>
      </c>
      <c r="C134" s="19">
        <v>3310479345285</v>
      </c>
      <c r="D134" s="19">
        <v>1626</v>
      </c>
      <c r="E134" s="20">
        <v>44242</v>
      </c>
      <c r="F134" s="20">
        <v>47894</v>
      </c>
      <c r="G134" s="21">
        <v>35009</v>
      </c>
      <c r="H134" s="22">
        <f t="shared" ca="1" si="4"/>
        <v>30</v>
      </c>
      <c r="I134" s="19" t="s">
        <v>26</v>
      </c>
      <c r="J134" s="18" t="s">
        <v>27</v>
      </c>
      <c r="K134" s="18"/>
      <c r="L134" s="23" t="s">
        <v>710</v>
      </c>
      <c r="M134" s="23" t="s">
        <v>711</v>
      </c>
      <c r="N134" s="23" t="s">
        <v>457</v>
      </c>
      <c r="O134" s="18">
        <v>11</v>
      </c>
      <c r="P134" s="24"/>
      <c r="Q134" s="25">
        <v>45748</v>
      </c>
      <c r="R134" s="13">
        <v>0</v>
      </c>
      <c r="S134" s="26"/>
      <c r="T134" s="25"/>
      <c r="U134" s="25" t="s">
        <v>712</v>
      </c>
      <c r="V134" s="25" t="s">
        <v>713</v>
      </c>
      <c r="W134" s="27" t="s">
        <v>714</v>
      </c>
      <c r="X134" s="28" t="s">
        <v>715</v>
      </c>
      <c r="Y134" s="28"/>
      <c r="Z134" s="29" t="s">
        <v>37</v>
      </c>
    </row>
    <row r="135" spans="1:26" ht="30" customHeight="1" thickBot="1" x14ac:dyDescent="0.25">
      <c r="A135" s="17">
        <f t="shared" si="5"/>
        <v>134</v>
      </c>
      <c r="B135" s="18" t="s">
        <v>25</v>
      </c>
      <c r="C135" s="19">
        <v>3310465592777</v>
      </c>
      <c r="D135" s="19">
        <v>1350</v>
      </c>
      <c r="E135" s="20">
        <v>42185</v>
      </c>
      <c r="F135" s="20">
        <v>45838</v>
      </c>
      <c r="G135" s="21">
        <v>34560</v>
      </c>
      <c r="H135" s="22">
        <f t="shared" ca="1" si="4"/>
        <v>31</v>
      </c>
      <c r="I135" s="19" t="s">
        <v>26</v>
      </c>
      <c r="J135" s="18" t="s">
        <v>27</v>
      </c>
      <c r="K135" s="18"/>
      <c r="L135" s="23" t="s">
        <v>716</v>
      </c>
      <c r="M135" s="23" t="s">
        <v>717</v>
      </c>
      <c r="N135" s="24" t="s">
        <v>468</v>
      </c>
      <c r="O135" s="18">
        <v>11</v>
      </c>
      <c r="P135" s="24"/>
      <c r="Q135" s="25">
        <v>44652</v>
      </c>
      <c r="R135" s="13">
        <v>0</v>
      </c>
      <c r="S135" s="26" t="str">
        <f>VLOOKUP(C135,'[1]Bazaar Salary'!$B$6:$J$1193,9,0)</f>
        <v>03980010092855290014</v>
      </c>
      <c r="T135" s="25" t="s">
        <v>32</v>
      </c>
      <c r="U135" s="25" t="s">
        <v>712</v>
      </c>
      <c r="V135" s="25" t="s">
        <v>459</v>
      </c>
      <c r="W135" s="27" t="s">
        <v>718</v>
      </c>
      <c r="X135" s="28" t="s">
        <v>719</v>
      </c>
      <c r="Y135" s="28"/>
      <c r="Z135" s="29" t="s">
        <v>37</v>
      </c>
    </row>
    <row r="136" spans="1:26" ht="30" customHeight="1" thickBot="1" x14ac:dyDescent="0.25">
      <c r="A136" s="17">
        <f t="shared" si="5"/>
        <v>135</v>
      </c>
      <c r="B136" s="18" t="s">
        <v>25</v>
      </c>
      <c r="C136" s="19">
        <v>3310066696303</v>
      </c>
      <c r="D136" s="19">
        <v>149</v>
      </c>
      <c r="E136" s="20">
        <v>42104</v>
      </c>
      <c r="F136" s="20">
        <v>45757</v>
      </c>
      <c r="G136" s="21">
        <v>31005</v>
      </c>
      <c r="H136" s="22">
        <f t="shared" ca="1" si="4"/>
        <v>41</v>
      </c>
      <c r="I136" s="19" t="s">
        <v>26</v>
      </c>
      <c r="J136" s="18" t="s">
        <v>27</v>
      </c>
      <c r="K136" s="18"/>
      <c r="L136" s="23" t="s">
        <v>720</v>
      </c>
      <c r="M136" s="23" t="s">
        <v>199</v>
      </c>
      <c r="N136" s="23" t="s">
        <v>457</v>
      </c>
      <c r="O136" s="18">
        <v>11</v>
      </c>
      <c r="P136" s="24"/>
      <c r="Q136" s="25">
        <v>42506</v>
      </c>
      <c r="R136" s="13">
        <v>0</v>
      </c>
      <c r="S136" s="26" t="str">
        <f>VLOOKUP(C136,'[1]Bazaar Salary'!$B$6:$J$1193,9,0)</f>
        <v>00660010060006560015</v>
      </c>
      <c r="T136" s="25" t="s">
        <v>32</v>
      </c>
      <c r="U136" s="25" t="s">
        <v>721</v>
      </c>
      <c r="V136" s="25" t="s">
        <v>405</v>
      </c>
      <c r="W136" s="27" t="s">
        <v>722</v>
      </c>
      <c r="X136" s="28" t="s">
        <v>723</v>
      </c>
      <c r="Y136" s="28"/>
      <c r="Z136" s="29" t="s">
        <v>37</v>
      </c>
    </row>
    <row r="137" spans="1:26" ht="30" customHeight="1" thickBot="1" x14ac:dyDescent="0.25">
      <c r="A137" s="17">
        <f t="shared" si="5"/>
        <v>136</v>
      </c>
      <c r="B137" s="18" t="s">
        <v>25</v>
      </c>
      <c r="C137" s="19">
        <v>3330120705199</v>
      </c>
      <c r="D137" s="19">
        <v>1693</v>
      </c>
      <c r="E137" s="20">
        <v>42802</v>
      </c>
      <c r="F137" s="20">
        <v>46454</v>
      </c>
      <c r="G137" s="21">
        <v>26121</v>
      </c>
      <c r="H137" s="22">
        <f t="shared" ca="1" si="4"/>
        <v>54</v>
      </c>
      <c r="I137" s="19" t="s">
        <v>26</v>
      </c>
      <c r="J137" s="18" t="s">
        <v>27</v>
      </c>
      <c r="K137" s="18"/>
      <c r="L137" s="23" t="s">
        <v>724</v>
      </c>
      <c r="M137" s="23" t="s">
        <v>725</v>
      </c>
      <c r="N137" s="23" t="s">
        <v>457</v>
      </c>
      <c r="O137" s="18">
        <v>11</v>
      </c>
      <c r="P137" s="24"/>
      <c r="Q137" s="25">
        <v>45748</v>
      </c>
      <c r="R137" s="13">
        <v>0</v>
      </c>
      <c r="S137" s="26" t="str">
        <f>VLOOKUP(C137,'[1]Bazaar Salary'!$B$6:$J$1193,9,0)</f>
        <v>04980010121133540017</v>
      </c>
      <c r="T137" s="25" t="s">
        <v>32</v>
      </c>
      <c r="U137" s="25" t="s">
        <v>721</v>
      </c>
      <c r="V137" s="25" t="s">
        <v>405</v>
      </c>
      <c r="W137" s="27" t="s">
        <v>726</v>
      </c>
      <c r="X137" s="28" t="s">
        <v>727</v>
      </c>
      <c r="Y137" s="28"/>
      <c r="Z137" s="29" t="s">
        <v>37</v>
      </c>
    </row>
    <row r="138" spans="1:26" ht="30" customHeight="1" thickBot="1" x14ac:dyDescent="0.25">
      <c r="A138" s="17">
        <f t="shared" si="5"/>
        <v>137</v>
      </c>
      <c r="B138" s="18" t="s">
        <v>25</v>
      </c>
      <c r="C138" s="19">
        <v>3320230379961</v>
      </c>
      <c r="D138" s="19">
        <v>162</v>
      </c>
      <c r="E138" s="20">
        <v>44589</v>
      </c>
      <c r="F138" s="20">
        <v>48241</v>
      </c>
      <c r="G138" s="21">
        <v>33743</v>
      </c>
      <c r="H138" s="22">
        <f t="shared" ca="1" si="4"/>
        <v>34</v>
      </c>
      <c r="I138" s="19" t="s">
        <v>26</v>
      </c>
      <c r="J138" s="18" t="s">
        <v>27</v>
      </c>
      <c r="K138" s="18"/>
      <c r="L138" s="24" t="s">
        <v>728</v>
      </c>
      <c r="M138" s="23" t="s">
        <v>729</v>
      </c>
      <c r="N138" s="24" t="s">
        <v>457</v>
      </c>
      <c r="O138" s="18">
        <v>11</v>
      </c>
      <c r="P138" s="24"/>
      <c r="Q138" s="25">
        <v>43393</v>
      </c>
      <c r="R138" s="13">
        <v>0</v>
      </c>
      <c r="S138" s="26" t="str">
        <f>VLOOKUP(C138,'[1]Bazaar Salary'!$B$6:$J$1193,9,0)</f>
        <v>06480010048938490011</v>
      </c>
      <c r="T138" s="25" t="s">
        <v>32</v>
      </c>
      <c r="U138" s="25" t="s">
        <v>721</v>
      </c>
      <c r="V138" s="25" t="s">
        <v>265</v>
      </c>
      <c r="W138" s="27" t="s">
        <v>730</v>
      </c>
      <c r="X138" s="28" t="s">
        <v>731</v>
      </c>
      <c r="Y138" s="28"/>
      <c r="Z138" s="29" t="s">
        <v>37</v>
      </c>
    </row>
    <row r="139" spans="1:26" ht="30" customHeight="1" thickBot="1" x14ac:dyDescent="0.25">
      <c r="A139" s="17">
        <f t="shared" si="5"/>
        <v>138</v>
      </c>
      <c r="B139" s="18" t="s">
        <v>25</v>
      </c>
      <c r="C139" s="19">
        <v>3310470904415</v>
      </c>
      <c r="D139" s="19">
        <v>1732</v>
      </c>
      <c r="E139" s="20">
        <v>42894</v>
      </c>
      <c r="F139" s="20">
        <v>46546</v>
      </c>
      <c r="G139" s="21">
        <v>36161</v>
      </c>
      <c r="H139" s="22">
        <f t="shared" ca="1" si="4"/>
        <v>27</v>
      </c>
      <c r="I139" s="19" t="s">
        <v>26</v>
      </c>
      <c r="J139" s="18" t="s">
        <v>27</v>
      </c>
      <c r="K139" s="18"/>
      <c r="L139" s="23" t="s">
        <v>732</v>
      </c>
      <c r="M139" s="23" t="s">
        <v>733</v>
      </c>
      <c r="N139" s="24" t="s">
        <v>457</v>
      </c>
      <c r="O139" s="18">
        <v>11</v>
      </c>
      <c r="P139" s="24"/>
      <c r="Q139" s="25">
        <v>45748</v>
      </c>
      <c r="R139" s="13">
        <v>0</v>
      </c>
      <c r="S139" s="26"/>
      <c r="T139" s="25"/>
      <c r="U139" s="25" t="s">
        <v>219</v>
      </c>
      <c r="V139" s="25" t="s">
        <v>265</v>
      </c>
      <c r="W139" s="27" t="s">
        <v>734</v>
      </c>
      <c r="X139" s="28" t="s">
        <v>735</v>
      </c>
      <c r="Y139" s="28"/>
      <c r="Z139" s="29" t="s">
        <v>37</v>
      </c>
    </row>
    <row r="140" spans="1:26" ht="30" customHeight="1" thickBot="1" x14ac:dyDescent="0.25">
      <c r="A140" s="17">
        <f t="shared" si="5"/>
        <v>139</v>
      </c>
      <c r="B140" s="18" t="s">
        <v>25</v>
      </c>
      <c r="C140" s="19">
        <v>3640101381636</v>
      </c>
      <c r="D140" s="19">
        <v>1808</v>
      </c>
      <c r="E140" s="20">
        <v>42939</v>
      </c>
      <c r="F140" s="20">
        <v>46591</v>
      </c>
      <c r="G140" s="21">
        <v>36316</v>
      </c>
      <c r="H140" s="22">
        <f t="shared" ca="1" si="4"/>
        <v>27</v>
      </c>
      <c r="I140" s="19" t="s">
        <v>26</v>
      </c>
      <c r="J140" s="18" t="s">
        <v>66</v>
      </c>
      <c r="K140" s="18"/>
      <c r="L140" s="23" t="s">
        <v>736</v>
      </c>
      <c r="M140" s="23" t="s">
        <v>737</v>
      </c>
      <c r="N140" s="23" t="s">
        <v>457</v>
      </c>
      <c r="O140" s="18">
        <v>11</v>
      </c>
      <c r="P140" s="24"/>
      <c r="Q140" s="25">
        <v>45748</v>
      </c>
      <c r="R140" s="13">
        <v>0</v>
      </c>
      <c r="S140" s="26" t="str">
        <f>VLOOKUP(C140,'[1]Bazaar Salary'!$B$6:$J$1193,9,0)</f>
        <v>00100010081672470015</v>
      </c>
      <c r="T140" s="25" t="s">
        <v>32</v>
      </c>
      <c r="U140" s="25" t="s">
        <v>219</v>
      </c>
      <c r="V140" s="25" t="s">
        <v>265</v>
      </c>
      <c r="W140" s="27" t="s">
        <v>738</v>
      </c>
      <c r="X140" s="28" t="s">
        <v>739</v>
      </c>
      <c r="Y140" s="28"/>
      <c r="Z140" s="29" t="s">
        <v>37</v>
      </c>
    </row>
    <row r="141" spans="1:26" ht="30" customHeight="1" thickBot="1" x14ac:dyDescent="0.25">
      <c r="A141" s="17">
        <f t="shared" si="5"/>
        <v>140</v>
      </c>
      <c r="B141" s="18" t="s">
        <v>25</v>
      </c>
      <c r="C141" s="19">
        <v>3310385246403</v>
      </c>
      <c r="D141" s="19">
        <v>1556</v>
      </c>
      <c r="E141" s="20">
        <v>44259</v>
      </c>
      <c r="F141" s="20">
        <v>47911</v>
      </c>
      <c r="G141" s="21">
        <v>36104</v>
      </c>
      <c r="H141" s="22">
        <f t="shared" ca="1" si="4"/>
        <v>27</v>
      </c>
      <c r="I141" s="19" t="s">
        <v>26</v>
      </c>
      <c r="J141" s="18" t="s">
        <v>27</v>
      </c>
      <c r="K141" s="18"/>
      <c r="L141" s="23" t="s">
        <v>740</v>
      </c>
      <c r="M141" s="23" t="s">
        <v>199</v>
      </c>
      <c r="N141" s="23" t="s">
        <v>457</v>
      </c>
      <c r="O141" s="18">
        <v>11</v>
      </c>
      <c r="P141" s="24"/>
      <c r="Q141" s="25">
        <v>45292</v>
      </c>
      <c r="R141" s="13">
        <v>0</v>
      </c>
      <c r="S141" s="26" t="str">
        <f>VLOOKUP(C141,'[1]Bazaar Salary'!$B$6:$J$1193,9,0)</f>
        <v>04980010083247170012</v>
      </c>
      <c r="T141" s="25" t="s">
        <v>32</v>
      </c>
      <c r="U141" s="25" t="s">
        <v>219</v>
      </c>
      <c r="V141" s="25" t="s">
        <v>320</v>
      </c>
      <c r="W141" s="27" t="s">
        <v>741</v>
      </c>
      <c r="X141" s="28" t="s">
        <v>742</v>
      </c>
      <c r="Y141" s="28"/>
      <c r="Z141" s="29" t="s">
        <v>37</v>
      </c>
    </row>
    <row r="142" spans="1:26" ht="30" customHeight="1" thickBot="1" x14ac:dyDescent="0.25">
      <c r="A142" s="17">
        <f t="shared" si="5"/>
        <v>141</v>
      </c>
      <c r="B142" s="18" t="s">
        <v>25</v>
      </c>
      <c r="C142" s="19">
        <v>3310230362290</v>
      </c>
      <c r="D142" s="19">
        <v>152</v>
      </c>
      <c r="E142" s="20">
        <v>44510</v>
      </c>
      <c r="F142" s="20">
        <v>48162</v>
      </c>
      <c r="G142" s="21">
        <v>34888</v>
      </c>
      <c r="H142" s="22">
        <f t="shared" ca="1" si="4"/>
        <v>30</v>
      </c>
      <c r="I142" s="19" t="s">
        <v>26</v>
      </c>
      <c r="J142" s="18" t="s">
        <v>66</v>
      </c>
      <c r="K142" s="18"/>
      <c r="L142" s="23" t="s">
        <v>743</v>
      </c>
      <c r="M142" s="23" t="s">
        <v>744</v>
      </c>
      <c r="N142" s="23" t="s">
        <v>457</v>
      </c>
      <c r="O142" s="18">
        <v>11</v>
      </c>
      <c r="P142" s="24"/>
      <c r="Q142" s="25">
        <v>42522</v>
      </c>
      <c r="R142" s="13">
        <v>0</v>
      </c>
      <c r="S142" s="26" t="str">
        <f>VLOOKUP(C142,'[1]Bazaar Salary'!$B$6:$J$1193,9,0)</f>
        <v>00660010060006640032</v>
      </c>
      <c r="T142" s="25" t="s">
        <v>32</v>
      </c>
      <c r="U142" s="25" t="s">
        <v>219</v>
      </c>
      <c r="V142" s="25" t="s">
        <v>346</v>
      </c>
      <c r="W142" s="27" t="s">
        <v>745</v>
      </c>
      <c r="X142" s="28" t="s">
        <v>746</v>
      </c>
      <c r="Y142" s="28"/>
      <c r="Z142" s="29" t="s">
        <v>37</v>
      </c>
    </row>
    <row r="143" spans="1:26" ht="30" customHeight="1" thickBot="1" x14ac:dyDescent="0.25">
      <c r="A143" s="17">
        <f t="shared" si="5"/>
        <v>142</v>
      </c>
      <c r="B143" s="18" t="s">
        <v>25</v>
      </c>
      <c r="C143" s="19">
        <v>3650105740123</v>
      </c>
      <c r="D143" s="19">
        <v>1189</v>
      </c>
      <c r="E143" s="20">
        <v>42956</v>
      </c>
      <c r="F143" s="20">
        <v>46608</v>
      </c>
      <c r="G143" s="21">
        <v>36322</v>
      </c>
      <c r="H143" s="22">
        <f t="shared" ca="1" si="4"/>
        <v>27</v>
      </c>
      <c r="I143" s="19" t="s">
        <v>26</v>
      </c>
      <c r="J143" s="18" t="s">
        <v>27</v>
      </c>
      <c r="K143" s="18"/>
      <c r="L143" s="23" t="s">
        <v>747</v>
      </c>
      <c r="M143" s="23" t="s">
        <v>748</v>
      </c>
      <c r="N143" s="24" t="s">
        <v>468</v>
      </c>
      <c r="O143" s="18">
        <v>11</v>
      </c>
      <c r="P143" s="24"/>
      <c r="Q143" s="25">
        <v>44228</v>
      </c>
      <c r="R143" s="13">
        <v>0</v>
      </c>
      <c r="S143" s="26" t="str">
        <f>VLOOKUP(C143,'[1]Bazaar Salary'!$B$6:$J$1193,9,0)</f>
        <v>00660010071291680016</v>
      </c>
      <c r="T143" s="25" t="s">
        <v>32</v>
      </c>
      <c r="U143" s="25" t="s">
        <v>219</v>
      </c>
      <c r="V143" s="25" t="s">
        <v>749</v>
      </c>
      <c r="W143" s="27" t="s">
        <v>750</v>
      </c>
      <c r="X143" s="28" t="s">
        <v>751</v>
      </c>
      <c r="Y143" s="28"/>
      <c r="Z143" s="29" t="s">
        <v>37</v>
      </c>
    </row>
    <row r="144" spans="1:26" ht="30" customHeight="1" thickBot="1" x14ac:dyDescent="0.25">
      <c r="A144" s="17">
        <f t="shared" si="5"/>
        <v>143</v>
      </c>
      <c r="B144" s="18" t="s">
        <v>25</v>
      </c>
      <c r="C144" s="19">
        <v>3520269431433</v>
      </c>
      <c r="D144" s="19">
        <v>1803</v>
      </c>
      <c r="E144" s="20">
        <v>43899</v>
      </c>
      <c r="F144" s="20">
        <v>47551</v>
      </c>
      <c r="G144" s="21">
        <v>37106</v>
      </c>
      <c r="H144" s="22">
        <f t="shared" ca="1" si="4"/>
        <v>24</v>
      </c>
      <c r="I144" s="19" t="s">
        <v>26</v>
      </c>
      <c r="J144" s="18" t="s">
        <v>27</v>
      </c>
      <c r="K144" s="18"/>
      <c r="L144" s="23" t="s">
        <v>413</v>
      </c>
      <c r="M144" s="23" t="s">
        <v>68</v>
      </c>
      <c r="N144" s="24" t="s">
        <v>457</v>
      </c>
      <c r="O144" s="18">
        <v>11</v>
      </c>
      <c r="P144" s="24"/>
      <c r="Q144" s="25">
        <v>45748</v>
      </c>
      <c r="R144" s="13">
        <v>0</v>
      </c>
      <c r="S144" s="26" t="str">
        <f>VLOOKUP(C144,'[1]Bazaar Salary'!$B$6:$J$1193,9,0)</f>
        <v>51450020124375520011</v>
      </c>
      <c r="T144" s="25" t="s">
        <v>32</v>
      </c>
      <c r="U144" s="25" t="s">
        <v>376</v>
      </c>
      <c r="V144" s="25" t="s">
        <v>752</v>
      </c>
      <c r="W144" s="27" t="s">
        <v>753</v>
      </c>
      <c r="X144" s="28" t="s">
        <v>754</v>
      </c>
      <c r="Y144" s="28"/>
      <c r="Z144" s="29" t="s">
        <v>37</v>
      </c>
    </row>
    <row r="145" spans="1:26" ht="30" customHeight="1" thickBot="1" x14ac:dyDescent="0.25">
      <c r="A145" s="17">
        <f t="shared" si="5"/>
        <v>144</v>
      </c>
      <c r="B145" s="18" t="s">
        <v>25</v>
      </c>
      <c r="C145" s="19">
        <v>3520274748097</v>
      </c>
      <c r="D145" s="19">
        <v>123</v>
      </c>
      <c r="E145" s="20">
        <v>44840</v>
      </c>
      <c r="F145" s="20">
        <v>48493</v>
      </c>
      <c r="G145" s="21">
        <v>35890</v>
      </c>
      <c r="H145" s="22">
        <f t="shared" ca="1" si="4"/>
        <v>28</v>
      </c>
      <c r="I145" s="19" t="s">
        <v>26</v>
      </c>
      <c r="J145" s="18" t="s">
        <v>27</v>
      </c>
      <c r="K145" s="18"/>
      <c r="L145" s="23" t="s">
        <v>755</v>
      </c>
      <c r="M145" s="23" t="s">
        <v>756</v>
      </c>
      <c r="N145" s="23" t="s">
        <v>457</v>
      </c>
      <c r="O145" s="18">
        <v>11</v>
      </c>
      <c r="P145" s="24"/>
      <c r="Q145" s="25">
        <v>42767</v>
      </c>
      <c r="R145" s="13">
        <v>0</v>
      </c>
      <c r="S145" s="26" t="str">
        <f>VLOOKUP(C145,'[1]Bazaar Salary'!$B$6:$J$1193,9,0)</f>
        <v>02880010045856290029</v>
      </c>
      <c r="T145" s="25" t="s">
        <v>32</v>
      </c>
      <c r="U145" s="25" t="s">
        <v>376</v>
      </c>
      <c r="V145" s="25" t="s">
        <v>757</v>
      </c>
      <c r="W145" s="27" t="s">
        <v>758</v>
      </c>
      <c r="X145" s="28" t="s">
        <v>759</v>
      </c>
      <c r="Y145" s="28"/>
      <c r="Z145" s="29" t="s">
        <v>37</v>
      </c>
    </row>
    <row r="146" spans="1:26" ht="30" customHeight="1" thickBot="1" x14ac:dyDescent="0.25">
      <c r="A146" s="17">
        <f t="shared" si="5"/>
        <v>145</v>
      </c>
      <c r="B146" s="18" t="s">
        <v>25</v>
      </c>
      <c r="C146" s="19">
        <v>3520278865219</v>
      </c>
      <c r="D146" s="19">
        <v>1813</v>
      </c>
      <c r="E146" s="20">
        <v>44598</v>
      </c>
      <c r="F146" s="20">
        <v>48250</v>
      </c>
      <c r="G146" s="21">
        <v>33729</v>
      </c>
      <c r="H146" s="22">
        <f t="shared" ca="1" si="4"/>
        <v>34</v>
      </c>
      <c r="I146" s="19" t="s">
        <v>26</v>
      </c>
      <c r="J146" s="18" t="s">
        <v>27</v>
      </c>
      <c r="K146" s="18"/>
      <c r="L146" s="23" t="s">
        <v>760</v>
      </c>
      <c r="M146" s="23" t="s">
        <v>761</v>
      </c>
      <c r="N146" s="23" t="s">
        <v>457</v>
      </c>
      <c r="O146" s="18">
        <v>11</v>
      </c>
      <c r="P146" s="24"/>
      <c r="Q146" s="25">
        <v>45748</v>
      </c>
      <c r="R146" s="13">
        <v>0</v>
      </c>
      <c r="S146" s="26" t="str">
        <f>VLOOKUP(C146,'[1]Bazaar Salary'!$B$6:$J$1193,9,0)</f>
        <v>07890010141745870010</v>
      </c>
      <c r="T146" s="25" t="s">
        <v>32</v>
      </c>
      <c r="U146" s="25" t="s">
        <v>376</v>
      </c>
      <c r="V146" s="25" t="s">
        <v>265</v>
      </c>
      <c r="W146" s="27" t="s">
        <v>762</v>
      </c>
      <c r="X146" s="28" t="s">
        <v>763</v>
      </c>
      <c r="Y146" s="28"/>
      <c r="Z146" s="29" t="s">
        <v>37</v>
      </c>
    </row>
    <row r="147" spans="1:26" ht="30" customHeight="1" thickBot="1" x14ac:dyDescent="0.25">
      <c r="A147" s="17">
        <f t="shared" si="5"/>
        <v>146</v>
      </c>
      <c r="B147" s="18" t="s">
        <v>25</v>
      </c>
      <c r="C147" s="19">
        <v>3520290567665</v>
      </c>
      <c r="D147" s="19">
        <v>1749</v>
      </c>
      <c r="E147" s="20">
        <v>44599</v>
      </c>
      <c r="F147" s="20">
        <v>48251</v>
      </c>
      <c r="G147" s="21">
        <v>31422</v>
      </c>
      <c r="H147" s="22">
        <f t="shared" ca="1" si="4"/>
        <v>40</v>
      </c>
      <c r="I147" s="19" t="s">
        <v>26</v>
      </c>
      <c r="J147" s="18" t="s">
        <v>27</v>
      </c>
      <c r="K147" s="18"/>
      <c r="L147" s="23" t="s">
        <v>764</v>
      </c>
      <c r="M147" s="23" t="s">
        <v>765</v>
      </c>
      <c r="N147" s="24" t="s">
        <v>468</v>
      </c>
      <c r="O147" s="18">
        <v>11</v>
      </c>
      <c r="P147" s="24"/>
      <c r="Q147" s="25">
        <v>45748</v>
      </c>
      <c r="R147" s="13">
        <v>0</v>
      </c>
      <c r="S147" s="26" t="str">
        <f>VLOOKUP(C147,'[1]Bazaar Salary'!$B$6:$J$1193,9,0)</f>
        <v>10080010139537410010</v>
      </c>
      <c r="T147" s="25" t="s">
        <v>32</v>
      </c>
      <c r="U147" s="25" t="s">
        <v>376</v>
      </c>
      <c r="V147" s="25" t="s">
        <v>265</v>
      </c>
      <c r="W147" s="27" t="s">
        <v>766</v>
      </c>
      <c r="X147" s="28" t="s">
        <v>767</v>
      </c>
      <c r="Y147" s="28"/>
      <c r="Z147" s="29" t="s">
        <v>37</v>
      </c>
    </row>
    <row r="148" spans="1:26" ht="30" customHeight="1" thickBot="1" x14ac:dyDescent="0.25">
      <c r="A148" s="17">
        <f t="shared" si="5"/>
        <v>147</v>
      </c>
      <c r="B148" s="18" t="s">
        <v>25</v>
      </c>
      <c r="C148" s="19">
        <v>3510118564569</v>
      </c>
      <c r="D148" s="19">
        <v>374</v>
      </c>
      <c r="E148" s="20">
        <v>42955</v>
      </c>
      <c r="F148" s="20">
        <v>46607</v>
      </c>
      <c r="G148" s="21">
        <v>31413</v>
      </c>
      <c r="H148" s="22">
        <f t="shared" ca="1" si="4"/>
        <v>40</v>
      </c>
      <c r="I148" s="19" t="s">
        <v>26</v>
      </c>
      <c r="J148" s="18" t="s">
        <v>27</v>
      </c>
      <c r="K148" s="18"/>
      <c r="L148" s="23" t="s">
        <v>768</v>
      </c>
      <c r="M148" s="23" t="s">
        <v>769</v>
      </c>
      <c r="N148" s="23" t="s">
        <v>457</v>
      </c>
      <c r="O148" s="18">
        <v>11</v>
      </c>
      <c r="P148" s="24"/>
      <c r="Q148" s="25">
        <v>42196</v>
      </c>
      <c r="R148" s="13">
        <v>0</v>
      </c>
      <c r="S148" s="26" t="str">
        <f>VLOOKUP(C148,'[1]Bazaar Salary'!$B$6:$J$1193,9,0)</f>
        <v>03910010045915980015</v>
      </c>
      <c r="T148" s="25" t="s">
        <v>32</v>
      </c>
      <c r="U148" s="25" t="s">
        <v>225</v>
      </c>
      <c r="V148" s="25" t="s">
        <v>596</v>
      </c>
      <c r="W148" s="27" t="s">
        <v>770</v>
      </c>
      <c r="X148" s="28" t="s">
        <v>771</v>
      </c>
      <c r="Y148" s="28"/>
      <c r="Z148" s="29" t="s">
        <v>37</v>
      </c>
    </row>
    <row r="149" spans="1:26" ht="30" customHeight="1" thickBot="1" x14ac:dyDescent="0.25">
      <c r="A149" s="17">
        <f t="shared" si="5"/>
        <v>148</v>
      </c>
      <c r="B149" s="18" t="s">
        <v>25</v>
      </c>
      <c r="C149" s="19">
        <v>3510283669737</v>
      </c>
      <c r="D149" s="19">
        <v>219</v>
      </c>
      <c r="E149" s="20">
        <v>44654</v>
      </c>
      <c r="F149" s="20">
        <v>48307</v>
      </c>
      <c r="G149" s="21">
        <v>34506</v>
      </c>
      <c r="H149" s="22">
        <f t="shared" ca="1" si="4"/>
        <v>32</v>
      </c>
      <c r="I149" s="19" t="s">
        <v>26</v>
      </c>
      <c r="J149" s="18" t="s">
        <v>27</v>
      </c>
      <c r="K149" s="18"/>
      <c r="L149" s="23" t="s">
        <v>772</v>
      </c>
      <c r="M149" s="23" t="s">
        <v>314</v>
      </c>
      <c r="N149" s="23" t="s">
        <v>457</v>
      </c>
      <c r="O149" s="18">
        <v>11</v>
      </c>
      <c r="P149" s="24"/>
      <c r="Q149" s="25">
        <v>44256</v>
      </c>
      <c r="R149" s="13">
        <v>0</v>
      </c>
      <c r="S149" s="26" t="str">
        <f>VLOOKUP(C149,'[1]Bazaar Salary'!$B$6:$J$1193,9,0)</f>
        <v>05390010066157510023</v>
      </c>
      <c r="T149" s="25" t="s">
        <v>32</v>
      </c>
      <c r="U149" s="25" t="s">
        <v>225</v>
      </c>
      <c r="V149" s="25" t="s">
        <v>265</v>
      </c>
      <c r="W149" s="27" t="s">
        <v>773</v>
      </c>
      <c r="X149" s="28" t="s">
        <v>774</v>
      </c>
      <c r="Y149" s="28"/>
      <c r="Z149" s="29" t="s">
        <v>37</v>
      </c>
    </row>
    <row r="150" spans="1:26" ht="30" customHeight="1" thickBot="1" x14ac:dyDescent="0.25">
      <c r="A150" s="17">
        <f t="shared" si="5"/>
        <v>149</v>
      </c>
      <c r="B150" s="18" t="s">
        <v>25</v>
      </c>
      <c r="C150" s="19">
        <v>3820130007115</v>
      </c>
      <c r="D150" s="19">
        <v>1598</v>
      </c>
      <c r="E150" s="20">
        <v>44525</v>
      </c>
      <c r="F150" s="20">
        <v>48177</v>
      </c>
      <c r="G150" s="21">
        <v>30220</v>
      </c>
      <c r="H150" s="22">
        <f t="shared" ca="1" si="4"/>
        <v>43</v>
      </c>
      <c r="I150" s="19" t="s">
        <v>26</v>
      </c>
      <c r="J150" s="18" t="s">
        <v>27</v>
      </c>
      <c r="K150" s="18"/>
      <c r="L150" s="23" t="s">
        <v>775</v>
      </c>
      <c r="M150" s="23" t="s">
        <v>776</v>
      </c>
      <c r="N150" s="23" t="s">
        <v>457</v>
      </c>
      <c r="O150" s="18">
        <v>11</v>
      </c>
      <c r="P150" s="24"/>
      <c r="Q150" s="25">
        <v>45748</v>
      </c>
      <c r="R150" s="13">
        <v>0</v>
      </c>
      <c r="S150" s="26" t="str">
        <f>VLOOKUP(C150,'[1]Bazaar Salary'!$B$6:$J$1193,9,0)</f>
        <v>01220010129899050018</v>
      </c>
      <c r="T150" s="25" t="s">
        <v>32</v>
      </c>
      <c r="U150" s="25" t="s">
        <v>386</v>
      </c>
      <c r="V150" s="25" t="s">
        <v>777</v>
      </c>
      <c r="W150" s="27" t="s">
        <v>778</v>
      </c>
      <c r="X150" s="28" t="s">
        <v>779</v>
      </c>
      <c r="Y150" s="28"/>
      <c r="Z150" s="29" t="s">
        <v>37</v>
      </c>
    </row>
    <row r="151" spans="1:26" ht="30" customHeight="1" thickBot="1" x14ac:dyDescent="0.25">
      <c r="A151" s="17">
        <f t="shared" si="5"/>
        <v>150</v>
      </c>
      <c r="B151" s="18" t="s">
        <v>25</v>
      </c>
      <c r="C151" s="19">
        <v>3840397794869</v>
      </c>
      <c r="D151" s="19">
        <v>1714</v>
      </c>
      <c r="E151" s="20">
        <v>42804</v>
      </c>
      <c r="F151" s="20">
        <v>46456</v>
      </c>
      <c r="G151" s="21">
        <v>27799</v>
      </c>
      <c r="H151" s="22">
        <f t="shared" ca="1" si="4"/>
        <v>50</v>
      </c>
      <c r="I151" s="19" t="s">
        <v>26</v>
      </c>
      <c r="J151" s="18" t="s">
        <v>27</v>
      </c>
      <c r="K151" s="18"/>
      <c r="L151" s="23" t="s">
        <v>780</v>
      </c>
      <c r="M151" s="23" t="s">
        <v>199</v>
      </c>
      <c r="N151" s="24" t="s">
        <v>457</v>
      </c>
      <c r="O151" s="18">
        <v>11</v>
      </c>
      <c r="P151" s="24"/>
      <c r="Q151" s="25">
        <v>45748</v>
      </c>
      <c r="R151" s="13">
        <v>0</v>
      </c>
      <c r="S151" s="26" t="str">
        <f>VLOOKUP(C151,'[1]Bazaar Salary'!$B$6:$J$1193,9,0)</f>
        <v>51300020042103190014</v>
      </c>
      <c r="T151" s="25" t="s">
        <v>32</v>
      </c>
      <c r="U151" s="25" t="s">
        <v>386</v>
      </c>
      <c r="V151" s="25" t="s">
        <v>781</v>
      </c>
      <c r="W151" s="27" t="s">
        <v>782</v>
      </c>
      <c r="X151" s="28" t="s">
        <v>783</v>
      </c>
      <c r="Y151" s="28"/>
      <c r="Z151" s="29" t="s">
        <v>37</v>
      </c>
    </row>
    <row r="152" spans="1:26" ht="30" customHeight="1" thickBot="1" x14ac:dyDescent="0.25">
      <c r="A152" s="17">
        <f t="shared" si="5"/>
        <v>151</v>
      </c>
      <c r="B152" s="18" t="s">
        <v>25</v>
      </c>
      <c r="C152" s="19">
        <v>3230145178541</v>
      </c>
      <c r="D152" s="19">
        <v>1751</v>
      </c>
      <c r="E152" s="20">
        <v>43024</v>
      </c>
      <c r="F152" s="20">
        <v>46676</v>
      </c>
      <c r="G152" s="21">
        <v>36397</v>
      </c>
      <c r="H152" s="22">
        <f t="shared" ca="1" si="4"/>
        <v>26</v>
      </c>
      <c r="I152" s="19" t="s">
        <v>26</v>
      </c>
      <c r="J152" s="18" t="s">
        <v>27</v>
      </c>
      <c r="K152" s="18"/>
      <c r="L152" s="24" t="s">
        <v>784</v>
      </c>
      <c r="M152" s="23" t="s">
        <v>785</v>
      </c>
      <c r="N152" s="24" t="s">
        <v>457</v>
      </c>
      <c r="O152" s="18">
        <v>11</v>
      </c>
      <c r="P152" s="24"/>
      <c r="Q152" s="25">
        <v>45748</v>
      </c>
      <c r="R152" s="13">
        <v>0</v>
      </c>
      <c r="S152" s="26" t="str">
        <f>VLOOKUP(C152,'[1]Bazaar Salary'!$B$6:$J$1193,9,0)</f>
        <v>13860010110242800013</v>
      </c>
      <c r="T152" s="25" t="s">
        <v>32</v>
      </c>
      <c r="U152" s="25" t="s">
        <v>786</v>
      </c>
      <c r="V152" s="25" t="s">
        <v>787</v>
      </c>
      <c r="W152" s="27" t="s">
        <v>788</v>
      </c>
      <c r="X152" s="28" t="s">
        <v>789</v>
      </c>
      <c r="Y152" s="28"/>
      <c r="Z152" s="29" t="s">
        <v>37</v>
      </c>
    </row>
    <row r="153" spans="1:26" ht="30" customHeight="1" thickBot="1" x14ac:dyDescent="0.25">
      <c r="A153" s="17">
        <f t="shared" si="5"/>
        <v>152</v>
      </c>
      <c r="B153" s="18" t="s">
        <v>25</v>
      </c>
      <c r="C153" s="19">
        <v>3520212422893</v>
      </c>
      <c r="D153" s="19">
        <v>1603</v>
      </c>
      <c r="E153" s="20">
        <v>42605</v>
      </c>
      <c r="F153" s="20">
        <v>46257</v>
      </c>
      <c r="G153" s="21">
        <v>33963</v>
      </c>
      <c r="H153" s="22">
        <f t="shared" ca="1" si="4"/>
        <v>33</v>
      </c>
      <c r="I153" s="19" t="s">
        <v>26</v>
      </c>
      <c r="J153" s="18" t="s">
        <v>27</v>
      </c>
      <c r="K153" s="18"/>
      <c r="L153" s="24" t="s">
        <v>790</v>
      </c>
      <c r="M153" s="23" t="s">
        <v>791</v>
      </c>
      <c r="N153" s="24" t="s">
        <v>468</v>
      </c>
      <c r="O153" s="18">
        <v>11</v>
      </c>
      <c r="P153" s="24"/>
      <c r="Q153" s="25">
        <v>45748</v>
      </c>
      <c r="R153" s="13">
        <v>0</v>
      </c>
      <c r="S153" s="26" t="str">
        <f>VLOOKUP(C153,'[1]Bazaar Salary'!$B$6:$J$1193,9,0)</f>
        <v>02880010130076150013</v>
      </c>
      <c r="T153" s="25" t="s">
        <v>32</v>
      </c>
      <c r="U153" s="25" t="s">
        <v>786</v>
      </c>
      <c r="V153" s="25" t="s">
        <v>265</v>
      </c>
      <c r="W153" s="27" t="s">
        <v>792</v>
      </c>
      <c r="X153" s="28" t="s">
        <v>793</v>
      </c>
      <c r="Y153" s="28"/>
      <c r="Z153" s="29" t="s">
        <v>37</v>
      </c>
    </row>
    <row r="154" spans="1:26" ht="30" customHeight="1" thickBot="1" x14ac:dyDescent="0.25">
      <c r="A154" s="17">
        <f t="shared" si="5"/>
        <v>153</v>
      </c>
      <c r="B154" s="18" t="s">
        <v>25</v>
      </c>
      <c r="C154" s="19">
        <v>3110339206089</v>
      </c>
      <c r="D154" s="19">
        <v>1197</v>
      </c>
      <c r="E154" s="20">
        <v>43123</v>
      </c>
      <c r="F154" s="20">
        <v>46775</v>
      </c>
      <c r="G154" s="21">
        <v>36533</v>
      </c>
      <c r="H154" s="22">
        <f t="shared" ca="1" si="4"/>
        <v>26</v>
      </c>
      <c r="I154" s="19" t="s">
        <v>26</v>
      </c>
      <c r="J154" s="18" t="s">
        <v>27</v>
      </c>
      <c r="K154" s="18"/>
      <c r="L154" s="23" t="s">
        <v>794</v>
      </c>
      <c r="M154" s="23" t="s">
        <v>385</v>
      </c>
      <c r="N154" s="23" t="s">
        <v>457</v>
      </c>
      <c r="O154" s="18">
        <v>11</v>
      </c>
      <c r="P154" s="24"/>
      <c r="Q154" s="25">
        <v>44256</v>
      </c>
      <c r="R154" s="13">
        <v>0</v>
      </c>
      <c r="S154" s="26" t="str">
        <f>VLOOKUP(C154,'[1]Bazaar Salary'!$B$6:$J$1193,9,0)</f>
        <v>12310010076750780010</v>
      </c>
      <c r="T154" s="25" t="s">
        <v>32</v>
      </c>
      <c r="U154" s="25" t="s">
        <v>237</v>
      </c>
      <c r="V154" s="25" t="s">
        <v>795</v>
      </c>
      <c r="W154" s="27" t="s">
        <v>796</v>
      </c>
      <c r="X154" s="28" t="s">
        <v>797</v>
      </c>
      <c r="Y154" s="28"/>
      <c r="Z154" s="29" t="s">
        <v>37</v>
      </c>
    </row>
    <row r="155" spans="1:26" ht="30" customHeight="1" thickBot="1" x14ac:dyDescent="0.25">
      <c r="A155" s="17">
        <f t="shared" si="5"/>
        <v>154</v>
      </c>
      <c r="B155" s="18" t="s">
        <v>25</v>
      </c>
      <c r="C155" s="19">
        <v>3520166689087</v>
      </c>
      <c r="D155" s="19">
        <v>1727</v>
      </c>
      <c r="E155" s="20">
        <v>44160</v>
      </c>
      <c r="F155" s="20">
        <v>47812</v>
      </c>
      <c r="G155" s="21">
        <v>37935</v>
      </c>
      <c r="H155" s="22">
        <f t="shared" ca="1" si="4"/>
        <v>22</v>
      </c>
      <c r="I155" s="19" t="s">
        <v>26</v>
      </c>
      <c r="J155" s="18" t="s">
        <v>27</v>
      </c>
      <c r="K155" s="18"/>
      <c r="L155" s="23" t="s">
        <v>798</v>
      </c>
      <c r="M155" s="23" t="s">
        <v>799</v>
      </c>
      <c r="N155" s="23" t="s">
        <v>457</v>
      </c>
      <c r="O155" s="18">
        <v>11</v>
      </c>
      <c r="P155" s="24"/>
      <c r="Q155" s="25">
        <v>45748</v>
      </c>
      <c r="R155" s="13">
        <v>0</v>
      </c>
      <c r="S155" s="26" t="str">
        <f>VLOOKUP(C155,'[1]Bazaar Salary'!$B$6:$J$1193,9,0)</f>
        <v>05400010139324220011</v>
      </c>
      <c r="T155" s="25" t="s">
        <v>32</v>
      </c>
      <c r="U155" s="25" t="s">
        <v>800</v>
      </c>
      <c r="V155" s="25" t="s">
        <v>265</v>
      </c>
      <c r="W155" s="27" t="s">
        <v>801</v>
      </c>
      <c r="X155" s="28" t="s">
        <v>802</v>
      </c>
      <c r="Y155" s="28"/>
      <c r="Z155" s="29" t="s">
        <v>37</v>
      </c>
    </row>
    <row r="156" spans="1:26" ht="30" customHeight="1" thickBot="1" x14ac:dyDescent="0.25">
      <c r="A156" s="17">
        <f t="shared" si="5"/>
        <v>155</v>
      </c>
      <c r="B156" s="18" t="s">
        <v>25</v>
      </c>
      <c r="C156" s="19">
        <v>3130435395841</v>
      </c>
      <c r="D156" s="19">
        <v>209</v>
      </c>
      <c r="E156" s="20">
        <v>43401</v>
      </c>
      <c r="F156" s="20">
        <v>47054</v>
      </c>
      <c r="G156" s="21">
        <v>33681</v>
      </c>
      <c r="H156" s="22">
        <f t="shared" ca="1" si="4"/>
        <v>34</v>
      </c>
      <c r="I156" s="19" t="s">
        <v>26</v>
      </c>
      <c r="J156" s="18" t="s">
        <v>27</v>
      </c>
      <c r="K156" s="18"/>
      <c r="L156" s="24" t="s">
        <v>803</v>
      </c>
      <c r="M156" s="23" t="s">
        <v>804</v>
      </c>
      <c r="N156" s="24" t="s">
        <v>457</v>
      </c>
      <c r="O156" s="18">
        <v>11</v>
      </c>
      <c r="P156" s="24"/>
      <c r="Q156" s="25">
        <v>43077</v>
      </c>
      <c r="R156" s="13">
        <v>0</v>
      </c>
      <c r="S156" s="26" t="str">
        <f>VLOOKUP(C156,'[1]Bazaar Salary'!$B$6:$J$1193,9,0)</f>
        <v>09000010049724590011</v>
      </c>
      <c r="T156" s="25" t="s">
        <v>32</v>
      </c>
      <c r="U156" s="25" t="s">
        <v>805</v>
      </c>
      <c r="V156" s="25" t="s">
        <v>795</v>
      </c>
      <c r="W156" s="27" t="s">
        <v>806</v>
      </c>
      <c r="X156" s="28" t="s">
        <v>807</v>
      </c>
      <c r="Y156" s="28"/>
      <c r="Z156" s="29" t="s">
        <v>37</v>
      </c>
    </row>
    <row r="157" spans="1:26" ht="30" customHeight="1" thickBot="1" x14ac:dyDescent="0.25">
      <c r="A157" s="17">
        <f t="shared" si="5"/>
        <v>156</v>
      </c>
      <c r="B157" s="18" t="s">
        <v>25</v>
      </c>
      <c r="C157" s="19">
        <v>3310205060665</v>
      </c>
      <c r="D157" s="19">
        <v>150</v>
      </c>
      <c r="E157" s="20">
        <v>44713</v>
      </c>
      <c r="F157" s="20">
        <v>48366</v>
      </c>
      <c r="G157" s="21">
        <v>34274</v>
      </c>
      <c r="H157" s="22">
        <f t="shared" ca="1" si="4"/>
        <v>32</v>
      </c>
      <c r="I157" s="19" t="s">
        <v>26</v>
      </c>
      <c r="J157" s="18" t="s">
        <v>27</v>
      </c>
      <c r="K157" s="18"/>
      <c r="L157" s="23" t="s">
        <v>808</v>
      </c>
      <c r="M157" s="23" t="s">
        <v>350</v>
      </c>
      <c r="N157" s="24" t="s">
        <v>457</v>
      </c>
      <c r="O157" s="18">
        <v>11</v>
      </c>
      <c r="P157" s="24"/>
      <c r="Q157" s="25">
        <v>42948</v>
      </c>
      <c r="R157" s="13">
        <v>0</v>
      </c>
      <c r="S157" s="26" t="str">
        <f>VLOOKUP(C157,'[1]Bazaar Salary'!$B$6:$J$1193,9,0)</f>
        <v>00660010060006860013</v>
      </c>
      <c r="T157" s="25" t="s">
        <v>32</v>
      </c>
      <c r="U157" s="25" t="s">
        <v>809</v>
      </c>
      <c r="V157" s="25" t="s">
        <v>265</v>
      </c>
      <c r="W157" s="27" t="s">
        <v>810</v>
      </c>
      <c r="X157" s="28" t="s">
        <v>811</v>
      </c>
      <c r="Y157" s="28"/>
      <c r="Z157" s="29" t="s">
        <v>37</v>
      </c>
    </row>
    <row r="158" spans="1:26" ht="30" customHeight="1" thickBot="1" x14ac:dyDescent="0.25">
      <c r="A158" s="17">
        <f t="shared" si="5"/>
        <v>157</v>
      </c>
      <c r="B158" s="18" t="s">
        <v>25</v>
      </c>
      <c r="C158" s="19">
        <v>3210296331441</v>
      </c>
      <c r="D158" s="19">
        <v>1366</v>
      </c>
      <c r="E158" s="20">
        <v>45066</v>
      </c>
      <c r="F158" s="20">
        <v>48719</v>
      </c>
      <c r="G158" s="21">
        <v>34367</v>
      </c>
      <c r="H158" s="22">
        <f t="shared" ca="1" si="4"/>
        <v>32</v>
      </c>
      <c r="I158" s="19" t="s">
        <v>26</v>
      </c>
      <c r="J158" s="18" t="s">
        <v>27</v>
      </c>
      <c r="K158" s="18"/>
      <c r="L158" s="23" t="s">
        <v>812</v>
      </c>
      <c r="M158" s="23" t="s">
        <v>703</v>
      </c>
      <c r="N158" s="23" t="s">
        <v>457</v>
      </c>
      <c r="O158" s="18">
        <v>11</v>
      </c>
      <c r="P158" s="24"/>
      <c r="Q158" s="25">
        <v>44677</v>
      </c>
      <c r="R158" s="13">
        <v>0</v>
      </c>
      <c r="S158" s="26" t="str">
        <f>VLOOKUP(C158,'[1]Bazaar Salary'!$B$6:$J$1193,9,0)</f>
        <v>09630010094578090016</v>
      </c>
      <c r="T158" s="25" t="s">
        <v>32</v>
      </c>
      <c r="U158" s="25" t="s">
        <v>404</v>
      </c>
      <c r="V158" s="25" t="s">
        <v>265</v>
      </c>
      <c r="W158" s="27" t="s">
        <v>813</v>
      </c>
      <c r="X158" s="28" t="s">
        <v>814</v>
      </c>
      <c r="Y158" s="28"/>
      <c r="Z158" s="29" t="s">
        <v>37</v>
      </c>
    </row>
    <row r="159" spans="1:26" ht="30" customHeight="1" thickBot="1" x14ac:dyDescent="0.25">
      <c r="A159" s="17">
        <f t="shared" si="5"/>
        <v>158</v>
      </c>
      <c r="B159" s="18" t="s">
        <v>25</v>
      </c>
      <c r="C159" s="19">
        <v>3110128182747</v>
      </c>
      <c r="D159" s="19">
        <v>1737</v>
      </c>
      <c r="E159" s="20">
        <v>44288</v>
      </c>
      <c r="F159" s="20">
        <v>47940</v>
      </c>
      <c r="G159" s="21">
        <v>37632</v>
      </c>
      <c r="H159" s="22">
        <f t="shared" ca="1" si="4"/>
        <v>23</v>
      </c>
      <c r="I159" s="19" t="s">
        <v>26</v>
      </c>
      <c r="J159" s="18" t="s">
        <v>27</v>
      </c>
      <c r="K159" s="18"/>
      <c r="L159" s="23" t="s">
        <v>815</v>
      </c>
      <c r="M159" s="23" t="s">
        <v>816</v>
      </c>
      <c r="N159" s="24" t="s">
        <v>457</v>
      </c>
      <c r="O159" s="18">
        <v>11</v>
      </c>
      <c r="P159" s="24"/>
      <c r="Q159" s="25">
        <v>45748</v>
      </c>
      <c r="R159" s="13">
        <v>0</v>
      </c>
      <c r="S159" s="26" t="str">
        <f>VLOOKUP(C159,'[1]Bazaar Salary'!$B$6:$J$1193,9,0)</f>
        <v>00940010138286790013</v>
      </c>
      <c r="T159" s="25" t="s">
        <v>32</v>
      </c>
      <c r="U159" s="25" t="s">
        <v>242</v>
      </c>
      <c r="V159" s="25" t="s">
        <v>817</v>
      </c>
      <c r="W159" s="27" t="s">
        <v>818</v>
      </c>
      <c r="X159" s="28" t="s">
        <v>819</v>
      </c>
      <c r="Y159" s="28"/>
      <c r="Z159" s="29" t="s">
        <v>37</v>
      </c>
    </row>
    <row r="160" spans="1:26" ht="30" customHeight="1" thickBot="1" x14ac:dyDescent="0.25">
      <c r="A160" s="17">
        <f t="shared" si="5"/>
        <v>159</v>
      </c>
      <c r="B160" s="18" t="s">
        <v>25</v>
      </c>
      <c r="C160" s="19">
        <v>3540258307177</v>
      </c>
      <c r="D160" s="19">
        <v>1306</v>
      </c>
      <c r="E160" s="20">
        <v>42850</v>
      </c>
      <c r="F160" s="20" t="s">
        <v>196</v>
      </c>
      <c r="G160" s="21">
        <v>27828</v>
      </c>
      <c r="H160" s="22">
        <f t="shared" ca="1" si="4"/>
        <v>50</v>
      </c>
      <c r="I160" s="19" t="s">
        <v>26</v>
      </c>
      <c r="J160" s="18" t="s">
        <v>27</v>
      </c>
      <c r="K160" s="18" t="s">
        <v>197</v>
      </c>
      <c r="L160" s="23" t="s">
        <v>820</v>
      </c>
      <c r="M160" s="23" t="s">
        <v>821</v>
      </c>
      <c r="N160" s="23" t="s">
        <v>457</v>
      </c>
      <c r="O160" s="18">
        <v>11</v>
      </c>
      <c r="P160" s="24"/>
      <c r="Q160" s="25">
        <v>44652</v>
      </c>
      <c r="R160" s="13">
        <v>0</v>
      </c>
      <c r="S160" s="26" t="str">
        <f>VLOOKUP(C160,'[1]Bazaar Salary'!$B$6:$J$1193,9,0)</f>
        <v>00620010048308010013</v>
      </c>
      <c r="T160" s="25" t="s">
        <v>32</v>
      </c>
      <c r="U160" s="25" t="s">
        <v>415</v>
      </c>
      <c r="V160" s="25" t="s">
        <v>265</v>
      </c>
      <c r="W160" s="27" t="s">
        <v>822</v>
      </c>
      <c r="X160" s="28" t="s">
        <v>823</v>
      </c>
      <c r="Y160" s="28"/>
      <c r="Z160" s="29" t="s">
        <v>37</v>
      </c>
    </row>
    <row r="161" spans="1:26" ht="30" customHeight="1" thickBot="1" x14ac:dyDescent="0.25">
      <c r="A161" s="17">
        <f t="shared" si="5"/>
        <v>160</v>
      </c>
      <c r="B161" s="18" t="s">
        <v>25</v>
      </c>
      <c r="C161" s="19">
        <v>3520262578167</v>
      </c>
      <c r="D161" s="19">
        <v>1376</v>
      </c>
      <c r="E161" s="20">
        <v>42916</v>
      </c>
      <c r="F161" s="20">
        <v>46568</v>
      </c>
      <c r="G161" s="21">
        <v>36154</v>
      </c>
      <c r="H161" s="22">
        <f t="shared" ca="1" si="4"/>
        <v>27</v>
      </c>
      <c r="I161" s="19" t="s">
        <v>26</v>
      </c>
      <c r="J161" s="18" t="s">
        <v>27</v>
      </c>
      <c r="K161" s="18"/>
      <c r="L161" s="23" t="s">
        <v>824</v>
      </c>
      <c r="M161" s="23" t="s">
        <v>761</v>
      </c>
      <c r="N161" s="23" t="s">
        <v>457</v>
      </c>
      <c r="O161" s="18">
        <v>11</v>
      </c>
      <c r="P161" s="24"/>
      <c r="Q161" s="25">
        <v>45292</v>
      </c>
      <c r="R161" s="13">
        <v>0</v>
      </c>
      <c r="S161" s="26" t="str">
        <f>VLOOKUP(C161,'[1]Bazaar Salary'!$B$6:$J$1193,9,0)</f>
        <v>03910010100767720012</v>
      </c>
      <c r="T161" s="25" t="s">
        <v>32</v>
      </c>
      <c r="U161" s="25" t="s">
        <v>415</v>
      </c>
      <c r="V161" s="25" t="s">
        <v>265</v>
      </c>
      <c r="W161" s="27" t="s">
        <v>825</v>
      </c>
      <c r="X161" s="28" t="s">
        <v>826</v>
      </c>
      <c r="Y161" s="28"/>
      <c r="Z161" s="29" t="s">
        <v>37</v>
      </c>
    </row>
    <row r="162" spans="1:26" ht="30" customHeight="1" thickBot="1" x14ac:dyDescent="0.25">
      <c r="A162" s="17">
        <f t="shared" si="5"/>
        <v>161</v>
      </c>
      <c r="B162" s="18" t="s">
        <v>25</v>
      </c>
      <c r="C162" s="19">
        <v>3520246599950</v>
      </c>
      <c r="D162" s="19">
        <v>1832</v>
      </c>
      <c r="E162" s="20">
        <v>44733</v>
      </c>
      <c r="F162" s="20">
        <v>48386</v>
      </c>
      <c r="G162" s="21">
        <v>37795</v>
      </c>
      <c r="H162" s="22">
        <f t="shared" ca="1" si="4"/>
        <v>22</v>
      </c>
      <c r="I162" s="19" t="s">
        <v>26</v>
      </c>
      <c r="J162" s="18" t="s">
        <v>66</v>
      </c>
      <c r="K162" s="18"/>
      <c r="L162" s="23" t="s">
        <v>827</v>
      </c>
      <c r="M162" s="23" t="s">
        <v>828</v>
      </c>
      <c r="N162" s="23" t="s">
        <v>457</v>
      </c>
      <c r="O162" s="18">
        <v>11</v>
      </c>
      <c r="P162" s="24"/>
      <c r="Q162" s="25">
        <v>45748</v>
      </c>
      <c r="R162" s="13">
        <v>0</v>
      </c>
      <c r="S162" s="26" t="str">
        <f>VLOOKUP(C162,'[1]Bazaar Salary'!$B$6:$J$1193,9,0)</f>
        <v>03910010141671090013</v>
      </c>
      <c r="T162" s="25" t="s">
        <v>32</v>
      </c>
      <c r="U162" s="25" t="s">
        <v>415</v>
      </c>
      <c r="V162" s="25" t="s">
        <v>777</v>
      </c>
      <c r="W162" s="27" t="s">
        <v>829</v>
      </c>
      <c r="X162" s="28" t="s">
        <v>830</v>
      </c>
      <c r="Y162" s="28"/>
      <c r="Z162" s="29" t="s">
        <v>37</v>
      </c>
    </row>
    <row r="163" spans="1:26" ht="30" customHeight="1" thickBot="1" x14ac:dyDescent="0.25">
      <c r="A163" s="17">
        <f t="shared" si="5"/>
        <v>162</v>
      </c>
      <c r="B163" s="18" t="s">
        <v>25</v>
      </c>
      <c r="C163" s="19">
        <v>3520230705815</v>
      </c>
      <c r="D163" s="19">
        <v>116</v>
      </c>
      <c r="E163" s="20">
        <v>45587</v>
      </c>
      <c r="F163" s="20">
        <v>49239</v>
      </c>
      <c r="G163" s="21">
        <v>34955</v>
      </c>
      <c r="H163" s="22">
        <f t="shared" ca="1" si="4"/>
        <v>30</v>
      </c>
      <c r="I163" s="19" t="s">
        <v>26</v>
      </c>
      <c r="J163" s="18" t="s">
        <v>27</v>
      </c>
      <c r="K163" s="18"/>
      <c r="L163" s="23" t="s">
        <v>831</v>
      </c>
      <c r="M163" s="23" t="s">
        <v>832</v>
      </c>
      <c r="N163" s="24" t="s">
        <v>457</v>
      </c>
      <c r="O163" s="18">
        <v>11</v>
      </c>
      <c r="P163" s="24"/>
      <c r="Q163" s="25">
        <v>43176</v>
      </c>
      <c r="R163" s="13">
        <v>0</v>
      </c>
      <c r="S163" s="26" t="str">
        <f>VLOOKUP(C163,'[1]Bazaar Salary'!$B$6:$J$1193,9,0)</f>
        <v>03910010050957700016</v>
      </c>
      <c r="T163" s="25" t="s">
        <v>32</v>
      </c>
      <c r="U163" s="25" t="s">
        <v>415</v>
      </c>
      <c r="V163" s="25" t="s">
        <v>405</v>
      </c>
      <c r="W163" s="27" t="s">
        <v>833</v>
      </c>
      <c r="X163" s="28" t="s">
        <v>834</v>
      </c>
      <c r="Y163" s="28"/>
      <c r="Z163" s="29" t="s">
        <v>37</v>
      </c>
    </row>
    <row r="164" spans="1:26" ht="30" customHeight="1" thickBot="1" x14ac:dyDescent="0.25">
      <c r="A164" s="17">
        <f t="shared" si="5"/>
        <v>163</v>
      </c>
      <c r="B164" s="18" t="s">
        <v>25</v>
      </c>
      <c r="C164" s="19">
        <v>3520290286795</v>
      </c>
      <c r="D164" s="19">
        <v>1557</v>
      </c>
      <c r="E164" s="20">
        <v>45071</v>
      </c>
      <c r="F164" s="20">
        <v>48724</v>
      </c>
      <c r="G164" s="21">
        <v>35784</v>
      </c>
      <c r="H164" s="22">
        <f t="shared" ca="1" si="4"/>
        <v>28</v>
      </c>
      <c r="I164" s="19" t="s">
        <v>26</v>
      </c>
      <c r="J164" s="18" t="s">
        <v>27</v>
      </c>
      <c r="K164" s="18"/>
      <c r="L164" s="23" t="s">
        <v>835</v>
      </c>
      <c r="M164" s="23" t="s">
        <v>836</v>
      </c>
      <c r="N164" s="23" t="s">
        <v>457</v>
      </c>
      <c r="O164" s="18">
        <v>11</v>
      </c>
      <c r="P164" s="24"/>
      <c r="Q164" s="25">
        <v>45292</v>
      </c>
      <c r="R164" s="13">
        <v>0</v>
      </c>
      <c r="S164" s="26" t="str">
        <f>VLOOKUP(C164,'[1]Bazaar Salary'!$B$6:$J$1193,9,0)</f>
        <v>03910010120419350018</v>
      </c>
      <c r="T164" s="25" t="s">
        <v>32</v>
      </c>
      <c r="U164" s="25" t="s">
        <v>415</v>
      </c>
      <c r="V164" s="25" t="s">
        <v>265</v>
      </c>
      <c r="W164" s="27" t="s">
        <v>837</v>
      </c>
      <c r="X164" s="28" t="s">
        <v>838</v>
      </c>
      <c r="Y164" s="28"/>
      <c r="Z164" s="29" t="s">
        <v>37</v>
      </c>
    </row>
    <row r="165" spans="1:26" ht="30" customHeight="1" thickBot="1" x14ac:dyDescent="0.25">
      <c r="A165" s="17">
        <f t="shared" si="5"/>
        <v>164</v>
      </c>
      <c r="B165" s="18" t="s">
        <v>25</v>
      </c>
      <c r="C165" s="19">
        <v>3510288037173</v>
      </c>
      <c r="D165" s="19">
        <v>172</v>
      </c>
      <c r="E165" s="20">
        <v>44221</v>
      </c>
      <c r="F165" s="20">
        <v>47873</v>
      </c>
      <c r="G165" s="21">
        <v>29587</v>
      </c>
      <c r="H165" s="22">
        <f t="shared" ca="1" si="4"/>
        <v>45</v>
      </c>
      <c r="I165" s="19" t="s">
        <v>26</v>
      </c>
      <c r="J165" s="18" t="s">
        <v>27</v>
      </c>
      <c r="K165" s="18"/>
      <c r="L165" s="24" t="s">
        <v>319</v>
      </c>
      <c r="M165" s="23" t="s">
        <v>769</v>
      </c>
      <c r="N165" s="24" t="s">
        <v>457</v>
      </c>
      <c r="O165" s="18">
        <v>11</v>
      </c>
      <c r="P165" s="24"/>
      <c r="Q165" s="25">
        <v>42948</v>
      </c>
      <c r="R165" s="13">
        <v>0</v>
      </c>
      <c r="S165" s="26" t="str">
        <f>VLOOKUP(C165,'[1]Bazaar Salary'!$B$6:$J$1193,9,0)</f>
        <v>05390010045700460012</v>
      </c>
      <c r="T165" s="25" t="s">
        <v>32</v>
      </c>
      <c r="U165" s="25" t="s">
        <v>839</v>
      </c>
      <c r="V165" s="25" t="s">
        <v>265</v>
      </c>
      <c r="W165" s="27" t="s">
        <v>840</v>
      </c>
      <c r="X165" s="28" t="s">
        <v>841</v>
      </c>
      <c r="Y165" s="28"/>
      <c r="Z165" s="29" t="s">
        <v>37</v>
      </c>
    </row>
    <row r="166" spans="1:26" ht="30" customHeight="1" thickBot="1" x14ac:dyDescent="0.25">
      <c r="A166" s="17">
        <f t="shared" si="5"/>
        <v>165</v>
      </c>
      <c r="B166" s="18" t="s">
        <v>25</v>
      </c>
      <c r="C166" s="19">
        <v>3520278757531</v>
      </c>
      <c r="D166" s="19">
        <v>112</v>
      </c>
      <c r="E166" s="20">
        <v>45005</v>
      </c>
      <c r="F166" s="20">
        <v>48658</v>
      </c>
      <c r="G166" s="21">
        <v>34010</v>
      </c>
      <c r="H166" s="22">
        <f t="shared" ca="1" si="4"/>
        <v>33</v>
      </c>
      <c r="I166" s="19" t="s">
        <v>26</v>
      </c>
      <c r="J166" s="18" t="s">
        <v>27</v>
      </c>
      <c r="K166" s="18"/>
      <c r="L166" s="24" t="s">
        <v>842</v>
      </c>
      <c r="M166" s="23" t="s">
        <v>843</v>
      </c>
      <c r="N166" s="24" t="s">
        <v>468</v>
      </c>
      <c r="O166" s="18">
        <v>11</v>
      </c>
      <c r="P166" s="24"/>
      <c r="Q166" s="25">
        <v>42767</v>
      </c>
      <c r="R166" s="13">
        <v>0</v>
      </c>
      <c r="S166" s="26" t="str">
        <f>VLOOKUP(C166,'[1]Bazaar Salary'!$B$6:$J$1193,9,0)</f>
        <v>07660010078757530018</v>
      </c>
      <c r="T166" s="25" t="s">
        <v>32</v>
      </c>
      <c r="U166" s="25" t="s">
        <v>839</v>
      </c>
      <c r="V166" s="25" t="s">
        <v>405</v>
      </c>
      <c r="W166" s="27" t="s">
        <v>844</v>
      </c>
      <c r="X166" s="28" t="s">
        <v>845</v>
      </c>
      <c r="Y166" s="28"/>
      <c r="Z166" s="29" t="s">
        <v>37</v>
      </c>
    </row>
    <row r="167" spans="1:26" ht="30" customHeight="1" thickBot="1" x14ac:dyDescent="0.25">
      <c r="A167" s="17">
        <f t="shared" si="5"/>
        <v>166</v>
      </c>
      <c r="B167" s="18" t="s">
        <v>25</v>
      </c>
      <c r="C167" s="19">
        <v>3520252235012</v>
      </c>
      <c r="D167" s="19">
        <v>1400</v>
      </c>
      <c r="E167" s="20">
        <v>43897</v>
      </c>
      <c r="F167" s="20">
        <v>47549</v>
      </c>
      <c r="G167" s="21">
        <v>36029</v>
      </c>
      <c r="H167" s="22">
        <f t="shared" ca="1" si="4"/>
        <v>27</v>
      </c>
      <c r="I167" s="19" t="s">
        <v>26</v>
      </c>
      <c r="J167" s="18" t="s">
        <v>66</v>
      </c>
      <c r="K167" s="18"/>
      <c r="L167" s="23" t="s">
        <v>846</v>
      </c>
      <c r="M167" s="23" t="s">
        <v>552</v>
      </c>
      <c r="N167" s="23" t="s">
        <v>457</v>
      </c>
      <c r="O167" s="18">
        <v>11</v>
      </c>
      <c r="P167" s="24"/>
      <c r="Q167" s="25">
        <v>45292</v>
      </c>
      <c r="R167" s="13">
        <v>0</v>
      </c>
      <c r="S167" s="26" t="str">
        <f>VLOOKUP(C167,'[1]Bazaar Salary'!$B$6:$J$1193,9,0)</f>
        <v>07630010100815380016</v>
      </c>
      <c r="T167" s="25" t="s">
        <v>32</v>
      </c>
      <c r="U167" s="25" t="s">
        <v>421</v>
      </c>
      <c r="V167" s="25" t="s">
        <v>405</v>
      </c>
      <c r="W167" s="27" t="s">
        <v>554</v>
      </c>
      <c r="X167" s="28" t="s">
        <v>847</v>
      </c>
      <c r="Y167" s="28"/>
      <c r="Z167" s="29" t="s">
        <v>37</v>
      </c>
    </row>
    <row r="168" spans="1:26" ht="30" customHeight="1" thickBot="1" x14ac:dyDescent="0.25">
      <c r="A168" s="17">
        <f t="shared" si="5"/>
        <v>167</v>
      </c>
      <c r="B168" s="18" t="s">
        <v>25</v>
      </c>
      <c r="C168" s="19">
        <v>3450171176653</v>
      </c>
      <c r="D168" s="19" t="s">
        <v>542</v>
      </c>
      <c r="E168" s="20">
        <v>42448</v>
      </c>
      <c r="F168" s="20">
        <v>46100</v>
      </c>
      <c r="G168" s="21">
        <v>33597</v>
      </c>
      <c r="H168" s="22">
        <f t="shared" ca="1" si="4"/>
        <v>34</v>
      </c>
      <c r="I168" s="19" t="s">
        <v>26</v>
      </c>
      <c r="J168" s="18" t="s">
        <v>27</v>
      </c>
      <c r="K168" s="18"/>
      <c r="L168" s="23" t="s">
        <v>848</v>
      </c>
      <c r="M168" s="23" t="s">
        <v>517</v>
      </c>
      <c r="N168" s="23" t="s">
        <v>457</v>
      </c>
      <c r="O168" s="18">
        <v>11</v>
      </c>
      <c r="P168" s="24"/>
      <c r="Q168" s="25">
        <v>45748</v>
      </c>
      <c r="R168" s="13">
        <v>0</v>
      </c>
      <c r="S168" s="26" t="str">
        <f>VLOOKUP(C168,'[1]Bazaar Salary'!$B$6:$J$1193,9,0)</f>
        <v>13650010125287470015</v>
      </c>
      <c r="T168" s="25" t="s">
        <v>32</v>
      </c>
      <c r="U168" s="25" t="s">
        <v>430</v>
      </c>
      <c r="V168" s="25" t="s">
        <v>849</v>
      </c>
      <c r="W168" s="27" t="s">
        <v>850</v>
      </c>
      <c r="X168" s="28" t="s">
        <v>851</v>
      </c>
      <c r="Y168" s="28"/>
      <c r="Z168" s="29" t="s">
        <v>37</v>
      </c>
    </row>
    <row r="169" spans="1:26" ht="30" customHeight="1" thickBot="1" x14ac:dyDescent="0.25">
      <c r="A169" s="17">
        <f t="shared" si="5"/>
        <v>168</v>
      </c>
      <c r="B169" s="18" t="s">
        <v>25</v>
      </c>
      <c r="C169" s="19">
        <v>3520225571403</v>
      </c>
      <c r="D169" s="19">
        <v>221</v>
      </c>
      <c r="E169" s="20">
        <v>43090</v>
      </c>
      <c r="F169" s="20">
        <v>46742</v>
      </c>
      <c r="G169" s="21">
        <v>24554</v>
      </c>
      <c r="H169" s="22">
        <f t="shared" ca="1" si="4"/>
        <v>59</v>
      </c>
      <c r="I169" s="19" t="s">
        <v>26</v>
      </c>
      <c r="J169" s="18" t="s">
        <v>27</v>
      </c>
      <c r="K169" s="18"/>
      <c r="L169" s="23" t="s">
        <v>852</v>
      </c>
      <c r="M169" s="23" t="s">
        <v>853</v>
      </c>
      <c r="N169" s="23" t="s">
        <v>457</v>
      </c>
      <c r="O169" s="18">
        <v>11</v>
      </c>
      <c r="P169" s="24"/>
      <c r="Q169" s="25">
        <v>43678</v>
      </c>
      <c r="R169" s="13">
        <v>0</v>
      </c>
      <c r="S169" s="26" t="str">
        <f>VLOOKUP(C169,'[1]Bazaar Salary'!$B$6:$J$1193,9,0)</f>
        <v>51210020060873270010</v>
      </c>
      <c r="T169" s="25" t="s">
        <v>32</v>
      </c>
      <c r="U169" s="25" t="s">
        <v>430</v>
      </c>
      <c r="V169" s="25" t="s">
        <v>405</v>
      </c>
      <c r="W169" s="27" t="s">
        <v>854</v>
      </c>
      <c r="X169" s="28" t="s">
        <v>855</v>
      </c>
      <c r="Y169" s="28"/>
      <c r="Z169" s="29" t="s">
        <v>37</v>
      </c>
    </row>
    <row r="170" spans="1:26" ht="30" customHeight="1" thickBot="1" x14ac:dyDescent="0.25">
      <c r="A170" s="17">
        <f t="shared" si="5"/>
        <v>169</v>
      </c>
      <c r="B170" s="18" t="s">
        <v>25</v>
      </c>
      <c r="C170" s="19">
        <v>3640255955373</v>
      </c>
      <c r="D170" s="19">
        <v>120</v>
      </c>
      <c r="E170" s="20">
        <v>43053</v>
      </c>
      <c r="F170" s="20">
        <v>46705</v>
      </c>
      <c r="G170" s="21">
        <v>33938</v>
      </c>
      <c r="H170" s="22">
        <f t="shared" ca="1" si="4"/>
        <v>33</v>
      </c>
      <c r="I170" s="19" t="s">
        <v>26</v>
      </c>
      <c r="J170" s="18" t="s">
        <v>27</v>
      </c>
      <c r="K170" s="18"/>
      <c r="L170" s="23" t="s">
        <v>856</v>
      </c>
      <c r="M170" s="23" t="s">
        <v>857</v>
      </c>
      <c r="N170" s="24" t="s">
        <v>468</v>
      </c>
      <c r="O170" s="18">
        <v>11</v>
      </c>
      <c r="P170" s="24"/>
      <c r="Q170" s="25">
        <v>41604</v>
      </c>
      <c r="R170" s="13">
        <v>0</v>
      </c>
      <c r="S170" s="26" t="str">
        <f>VLOOKUP(C170,'[1]Bazaar Salary'!$B$6:$J$1193,9,0)</f>
        <v>02880010045927700014</v>
      </c>
      <c r="T170" s="25" t="s">
        <v>32</v>
      </c>
      <c r="U170" s="25" t="s">
        <v>858</v>
      </c>
      <c r="V170" s="25" t="s">
        <v>859</v>
      </c>
      <c r="W170" s="27" t="s">
        <v>860</v>
      </c>
      <c r="X170" s="28" t="s">
        <v>861</v>
      </c>
      <c r="Y170" s="28"/>
      <c r="Z170" s="29" t="s">
        <v>37</v>
      </c>
    </row>
    <row r="171" spans="1:26" ht="30" customHeight="1" thickBot="1" x14ac:dyDescent="0.25">
      <c r="A171" s="17">
        <f t="shared" si="5"/>
        <v>170</v>
      </c>
      <c r="B171" s="18" t="s">
        <v>25</v>
      </c>
      <c r="C171" s="19">
        <v>3840364484507</v>
      </c>
      <c r="D171" s="19">
        <v>1872</v>
      </c>
      <c r="E171" s="20">
        <v>45394</v>
      </c>
      <c r="F171" s="20">
        <v>49046</v>
      </c>
      <c r="G171" s="21">
        <v>35356</v>
      </c>
      <c r="H171" s="22">
        <f t="shared" ca="1" si="4"/>
        <v>29</v>
      </c>
      <c r="I171" s="19" t="s">
        <v>26</v>
      </c>
      <c r="J171" s="18" t="s">
        <v>27</v>
      </c>
      <c r="K171" s="18"/>
      <c r="L171" s="23" t="s">
        <v>862</v>
      </c>
      <c r="M171" s="23" t="s">
        <v>291</v>
      </c>
      <c r="N171" s="23" t="s">
        <v>457</v>
      </c>
      <c r="O171" s="18">
        <v>11</v>
      </c>
      <c r="P171" s="24"/>
      <c r="Q171" s="25">
        <v>45748</v>
      </c>
      <c r="R171" s="13">
        <v>0</v>
      </c>
      <c r="S171" s="26" t="str">
        <f>VLOOKUP(C171,'[1]Bazaar Salary'!$B$6:$J$1193,9,0)</f>
        <v>51300020144279740014</v>
      </c>
      <c r="T171" s="25" t="s">
        <v>32</v>
      </c>
      <c r="U171" s="25" t="s">
        <v>248</v>
      </c>
      <c r="V171" s="25" t="s">
        <v>287</v>
      </c>
      <c r="W171" s="27" t="s">
        <v>863</v>
      </c>
      <c r="X171" s="28" t="s">
        <v>864</v>
      </c>
      <c r="Y171" s="28"/>
      <c r="Z171" s="29" t="s">
        <v>37</v>
      </c>
    </row>
    <row r="172" spans="1:26" ht="30" customHeight="1" thickBot="1" x14ac:dyDescent="0.25">
      <c r="A172" s="17">
        <f t="shared" si="5"/>
        <v>171</v>
      </c>
      <c r="B172" s="18" t="s">
        <v>25</v>
      </c>
      <c r="C172" s="19">
        <v>3510349518473</v>
      </c>
      <c r="D172" s="19">
        <v>1641</v>
      </c>
      <c r="E172" s="20">
        <v>42746</v>
      </c>
      <c r="F172" s="20">
        <v>46398</v>
      </c>
      <c r="G172" s="21">
        <v>37187</v>
      </c>
      <c r="H172" s="22">
        <f t="shared" ca="1" si="4"/>
        <v>24</v>
      </c>
      <c r="I172" s="19" t="s">
        <v>26</v>
      </c>
      <c r="J172" s="18" t="s">
        <v>27</v>
      </c>
      <c r="K172" s="18"/>
      <c r="L172" s="24" t="s">
        <v>865</v>
      </c>
      <c r="M172" s="23" t="s">
        <v>866</v>
      </c>
      <c r="N172" s="24" t="s">
        <v>468</v>
      </c>
      <c r="O172" s="18">
        <v>11</v>
      </c>
      <c r="P172" s="24"/>
      <c r="Q172" s="25">
        <v>45748</v>
      </c>
      <c r="R172" s="13">
        <v>0</v>
      </c>
      <c r="S172" s="26" t="str">
        <f>VLOOKUP(C172,'[1]Bazaar Salary'!$B$6:$J$1193,9,0)</f>
        <v>03900010092542340010</v>
      </c>
      <c r="T172" s="25" t="s">
        <v>32</v>
      </c>
      <c r="U172" s="25" t="s">
        <v>867</v>
      </c>
      <c r="V172" s="25" t="s">
        <v>868</v>
      </c>
      <c r="W172" s="27" t="s">
        <v>869</v>
      </c>
      <c r="X172" s="28" t="s">
        <v>870</v>
      </c>
      <c r="Y172" s="28"/>
      <c r="Z172" s="29" t="s">
        <v>37</v>
      </c>
    </row>
    <row r="173" spans="1:26" ht="30" customHeight="1" thickBot="1" x14ac:dyDescent="0.25">
      <c r="A173" s="17">
        <f t="shared" si="5"/>
        <v>172</v>
      </c>
      <c r="B173" s="18" t="s">
        <v>25</v>
      </c>
      <c r="C173" s="19">
        <v>3510261528595</v>
      </c>
      <c r="D173" s="19">
        <v>1829</v>
      </c>
      <c r="E173" s="20">
        <v>44490</v>
      </c>
      <c r="F173" s="20">
        <v>48142</v>
      </c>
      <c r="G173" s="21">
        <v>29526</v>
      </c>
      <c r="H173" s="22">
        <f t="shared" ca="1" si="4"/>
        <v>45</v>
      </c>
      <c r="I173" s="19" t="s">
        <v>26</v>
      </c>
      <c r="J173" s="18" t="s">
        <v>27</v>
      </c>
      <c r="K173" s="18"/>
      <c r="L173" s="23" t="s">
        <v>871</v>
      </c>
      <c r="M173" s="23" t="s">
        <v>872</v>
      </c>
      <c r="N173" s="23" t="s">
        <v>457</v>
      </c>
      <c r="O173" s="18">
        <v>11</v>
      </c>
      <c r="P173" s="24"/>
      <c r="Q173" s="25">
        <v>45748</v>
      </c>
      <c r="R173" s="13">
        <v>0</v>
      </c>
      <c r="S173" s="26" t="str">
        <f>VLOOKUP(C173,'[1]Bazaar Salary'!$B$6:$J$1193,9,0)</f>
        <v>03910010018466010023</v>
      </c>
      <c r="T173" s="25" t="s">
        <v>32</v>
      </c>
      <c r="U173" s="25" t="s">
        <v>443</v>
      </c>
      <c r="V173" s="25" t="s">
        <v>873</v>
      </c>
      <c r="W173" s="27" t="s">
        <v>874</v>
      </c>
      <c r="X173" s="28" t="s">
        <v>875</v>
      </c>
      <c r="Y173" s="28"/>
      <c r="Z173" s="29" t="s">
        <v>37</v>
      </c>
    </row>
    <row r="174" spans="1:26" ht="30" customHeight="1" thickBot="1" x14ac:dyDescent="0.25">
      <c r="A174" s="17">
        <f t="shared" si="5"/>
        <v>173</v>
      </c>
      <c r="B174" s="18" t="s">
        <v>25</v>
      </c>
      <c r="C174" s="19">
        <v>3520226220123</v>
      </c>
      <c r="D174" s="19">
        <v>1824</v>
      </c>
      <c r="E174" s="20">
        <v>44833</v>
      </c>
      <c r="F174" s="20">
        <v>48486</v>
      </c>
      <c r="G174" s="21">
        <v>37756</v>
      </c>
      <c r="H174" s="22">
        <f t="shared" ca="1" si="4"/>
        <v>23</v>
      </c>
      <c r="I174" s="19" t="s">
        <v>26</v>
      </c>
      <c r="J174" s="18" t="s">
        <v>27</v>
      </c>
      <c r="K174" s="18"/>
      <c r="L174" s="23" t="s">
        <v>876</v>
      </c>
      <c r="M174" s="23" t="s">
        <v>877</v>
      </c>
      <c r="N174" s="23" t="s">
        <v>457</v>
      </c>
      <c r="O174" s="18">
        <v>11</v>
      </c>
      <c r="P174" s="24"/>
      <c r="Q174" s="25">
        <v>45748</v>
      </c>
      <c r="R174" s="13">
        <v>0</v>
      </c>
      <c r="S174" s="26" t="str">
        <f>VLOOKUP(C174,'[1]Bazaar Salary'!$B$6:$J$1193,9,0)</f>
        <v>07660010141699920017</v>
      </c>
      <c r="T174" s="25" t="s">
        <v>32</v>
      </c>
      <c r="U174" s="25" t="s">
        <v>443</v>
      </c>
      <c r="V174" s="25" t="s">
        <v>878</v>
      </c>
      <c r="W174" s="27" t="s">
        <v>879</v>
      </c>
      <c r="X174" s="28" t="s">
        <v>880</v>
      </c>
      <c r="Y174" s="28"/>
      <c r="Z174" s="29" t="s">
        <v>37</v>
      </c>
    </row>
    <row r="175" spans="1:26" ht="30" customHeight="1" thickBot="1" x14ac:dyDescent="0.25">
      <c r="A175" s="17">
        <f t="shared" si="5"/>
        <v>174</v>
      </c>
      <c r="B175" s="18" t="s">
        <v>25</v>
      </c>
      <c r="C175" s="19">
        <v>3210242351141</v>
      </c>
      <c r="D175" s="19">
        <v>1902</v>
      </c>
      <c r="E175" s="20">
        <v>43817</v>
      </c>
      <c r="F175" s="20">
        <v>47470</v>
      </c>
      <c r="G175" s="21">
        <v>32581</v>
      </c>
      <c r="H175" s="22">
        <f t="shared" ca="1" si="4"/>
        <v>37</v>
      </c>
      <c r="I175" s="19" t="s">
        <v>26</v>
      </c>
      <c r="J175" s="18" t="s">
        <v>27</v>
      </c>
      <c r="K175" s="18"/>
      <c r="L175" s="23" t="s">
        <v>881</v>
      </c>
      <c r="M175" s="23" t="s">
        <v>882</v>
      </c>
      <c r="N175" s="24" t="s">
        <v>457</v>
      </c>
      <c r="O175" s="18">
        <v>11</v>
      </c>
      <c r="P175" s="24"/>
      <c r="Q175" s="31">
        <v>45846</v>
      </c>
      <c r="R175" s="13">
        <v>0</v>
      </c>
      <c r="S175" s="26" t="str">
        <f>VLOOKUP(C175,'[1]Bazaar Salary'!$B$6:$J$1193,9,0)</f>
        <v>07330010148681410015</v>
      </c>
      <c r="T175" s="25" t="s">
        <v>32</v>
      </c>
      <c r="U175" s="25" t="s">
        <v>883</v>
      </c>
      <c r="V175" s="25" t="s">
        <v>884</v>
      </c>
      <c r="W175" s="27" t="s">
        <v>575</v>
      </c>
      <c r="X175" s="28" t="s">
        <v>885</v>
      </c>
      <c r="Y175" s="28"/>
      <c r="Z175" s="29" t="s">
        <v>37</v>
      </c>
    </row>
    <row r="176" spans="1:26" ht="30" customHeight="1" thickBot="1" x14ac:dyDescent="0.25">
      <c r="A176" s="17">
        <f t="shared" si="5"/>
        <v>175</v>
      </c>
      <c r="B176" s="18" t="s">
        <v>25</v>
      </c>
      <c r="C176" s="19">
        <v>3210337763329</v>
      </c>
      <c r="D176" s="19">
        <v>1501</v>
      </c>
      <c r="E176" s="20">
        <v>42220</v>
      </c>
      <c r="F176" s="20">
        <v>45873</v>
      </c>
      <c r="G176" s="21">
        <v>34341</v>
      </c>
      <c r="H176" s="22">
        <f t="shared" ca="1" si="4"/>
        <v>32</v>
      </c>
      <c r="I176" s="19" t="s">
        <v>26</v>
      </c>
      <c r="J176" s="18" t="s">
        <v>27</v>
      </c>
      <c r="K176" s="18"/>
      <c r="L176" s="23" t="s">
        <v>886</v>
      </c>
      <c r="M176" s="23" t="s">
        <v>711</v>
      </c>
      <c r="N176" s="23" t="s">
        <v>457</v>
      </c>
      <c r="O176" s="18">
        <v>11</v>
      </c>
      <c r="P176" s="24"/>
      <c r="Q176" s="25">
        <v>45748</v>
      </c>
      <c r="R176" s="13">
        <v>0</v>
      </c>
      <c r="S176" s="26" t="str">
        <f>VLOOKUP(C176,'[1]Bazaar Salary'!$B$6:$J$1193,9,0)</f>
        <v>07330010106850580013</v>
      </c>
      <c r="T176" s="25" t="s">
        <v>32</v>
      </c>
      <c r="U176" s="25" t="s">
        <v>883</v>
      </c>
      <c r="V176" s="25" t="s">
        <v>265</v>
      </c>
      <c r="W176" s="27" t="s">
        <v>887</v>
      </c>
      <c r="X176" s="28" t="s">
        <v>888</v>
      </c>
      <c r="Y176" s="28"/>
      <c r="Z176" s="29" t="s">
        <v>37</v>
      </c>
    </row>
    <row r="177" spans="1:26" ht="30" customHeight="1" thickBot="1" x14ac:dyDescent="0.25">
      <c r="A177" s="17">
        <f t="shared" si="5"/>
        <v>176</v>
      </c>
      <c r="B177" s="18" t="s">
        <v>25</v>
      </c>
      <c r="C177" s="19">
        <v>3240250312139</v>
      </c>
      <c r="D177" s="19">
        <v>183</v>
      </c>
      <c r="E177" s="20">
        <v>44840</v>
      </c>
      <c r="F177" s="20" t="s">
        <v>196</v>
      </c>
      <c r="G177" s="21">
        <v>32187</v>
      </c>
      <c r="H177" s="22">
        <f t="shared" ca="1" si="4"/>
        <v>38</v>
      </c>
      <c r="I177" s="19" t="s">
        <v>26</v>
      </c>
      <c r="J177" s="18" t="s">
        <v>27</v>
      </c>
      <c r="K177" s="18" t="s">
        <v>197</v>
      </c>
      <c r="L177" s="23" t="s">
        <v>889</v>
      </c>
      <c r="M177" s="23" t="s">
        <v>890</v>
      </c>
      <c r="N177" s="24" t="s">
        <v>468</v>
      </c>
      <c r="O177" s="18">
        <v>11</v>
      </c>
      <c r="P177" s="24"/>
      <c r="Q177" s="25">
        <v>42145</v>
      </c>
      <c r="R177" s="13">
        <v>0</v>
      </c>
      <c r="S177" s="26" t="str">
        <f>VLOOKUP(C177,'[1]Bazaar Salary'!$B$6:$J$1193,9,0)</f>
        <v>08210010045675070010</v>
      </c>
      <c r="T177" s="25" t="s">
        <v>32</v>
      </c>
      <c r="U177" s="25" t="s">
        <v>883</v>
      </c>
      <c r="V177" s="25" t="s">
        <v>265</v>
      </c>
      <c r="W177" s="27" t="s">
        <v>891</v>
      </c>
      <c r="X177" s="28" t="s">
        <v>892</v>
      </c>
      <c r="Y177" s="28"/>
      <c r="Z177" s="29" t="s">
        <v>37</v>
      </c>
    </row>
    <row r="178" spans="1:26" ht="30" customHeight="1" thickBot="1" x14ac:dyDescent="0.25">
      <c r="A178" s="17">
        <f t="shared" si="5"/>
        <v>177</v>
      </c>
      <c r="B178" s="18" t="s">
        <v>25</v>
      </c>
      <c r="C178" s="19">
        <v>3520403414093</v>
      </c>
      <c r="D178" s="19">
        <v>1567</v>
      </c>
      <c r="E178" s="20">
        <v>42135</v>
      </c>
      <c r="F178" s="20">
        <v>45727</v>
      </c>
      <c r="G178" s="21">
        <v>34507</v>
      </c>
      <c r="H178" s="22">
        <f t="shared" ca="1" si="4"/>
        <v>31</v>
      </c>
      <c r="I178" s="19" t="s">
        <v>26</v>
      </c>
      <c r="J178" s="18" t="s">
        <v>27</v>
      </c>
      <c r="K178" s="18"/>
      <c r="L178" s="23" t="s">
        <v>893</v>
      </c>
      <c r="M178" s="23" t="s">
        <v>894</v>
      </c>
      <c r="N178" s="24" t="s">
        <v>457</v>
      </c>
      <c r="O178" s="18">
        <v>11</v>
      </c>
      <c r="P178" s="24"/>
      <c r="Q178" s="25">
        <v>45292</v>
      </c>
      <c r="R178" s="13">
        <v>0</v>
      </c>
      <c r="S178" s="26" t="str">
        <f>VLOOKUP(C178,'[1]Bazaar Salary'!$B$6:$J$1193,9,0)</f>
        <v>09650010122391760014</v>
      </c>
      <c r="T178" s="25" t="s">
        <v>32</v>
      </c>
      <c r="U178" s="25" t="s">
        <v>448</v>
      </c>
      <c r="V178" s="25" t="s">
        <v>405</v>
      </c>
      <c r="W178" s="27" t="s">
        <v>895</v>
      </c>
      <c r="X178" s="28" t="s">
        <v>896</v>
      </c>
      <c r="Y178" s="28"/>
      <c r="Z178" s="29" t="s">
        <v>37</v>
      </c>
    </row>
    <row r="179" spans="1:26" ht="30" customHeight="1" thickBot="1" x14ac:dyDescent="0.25">
      <c r="A179" s="17">
        <f t="shared" si="5"/>
        <v>178</v>
      </c>
      <c r="B179" s="18" t="s">
        <v>25</v>
      </c>
      <c r="C179" s="19">
        <v>3520218863115</v>
      </c>
      <c r="D179" s="19">
        <v>122</v>
      </c>
      <c r="E179" s="20">
        <v>44293</v>
      </c>
      <c r="F179" s="20">
        <v>47945</v>
      </c>
      <c r="G179" s="21">
        <v>33330</v>
      </c>
      <c r="H179" s="22">
        <f t="shared" ca="1" si="4"/>
        <v>35</v>
      </c>
      <c r="I179" s="19" t="s">
        <v>26</v>
      </c>
      <c r="J179" s="18" t="s">
        <v>27</v>
      </c>
      <c r="K179" s="18"/>
      <c r="L179" s="23" t="s">
        <v>384</v>
      </c>
      <c r="M179" s="23" t="s">
        <v>897</v>
      </c>
      <c r="N179" s="23" t="s">
        <v>457</v>
      </c>
      <c r="O179" s="18">
        <v>11</v>
      </c>
      <c r="P179" s="24"/>
      <c r="Q179" s="25">
        <v>42506</v>
      </c>
      <c r="R179" s="13">
        <v>0</v>
      </c>
      <c r="S179" s="26" t="str">
        <f>VLOOKUP(C179,'[1]Bazaar Salary'!$B$6:$J$1193,9,0)</f>
        <v>06340010029482500019</v>
      </c>
      <c r="T179" s="25" t="s">
        <v>32</v>
      </c>
      <c r="U179" s="25" t="s">
        <v>448</v>
      </c>
      <c r="V179" s="25" t="s">
        <v>265</v>
      </c>
      <c r="W179" s="27" t="s">
        <v>898</v>
      </c>
      <c r="X179" s="28" t="s">
        <v>899</v>
      </c>
      <c r="Y179" s="28"/>
      <c r="Z179" s="29" t="s">
        <v>37</v>
      </c>
    </row>
    <row r="180" spans="1:26" ht="30" customHeight="1" thickBot="1" x14ac:dyDescent="0.25">
      <c r="A180" s="17">
        <f t="shared" si="5"/>
        <v>179</v>
      </c>
      <c r="B180" s="18" t="s">
        <v>25</v>
      </c>
      <c r="C180" s="19">
        <v>3330373560405</v>
      </c>
      <c r="D180" s="19">
        <v>194</v>
      </c>
      <c r="E180" s="20">
        <v>42595</v>
      </c>
      <c r="F180" s="20">
        <v>46247</v>
      </c>
      <c r="G180" s="21">
        <v>32513</v>
      </c>
      <c r="H180" s="22">
        <f t="shared" ca="1" si="4"/>
        <v>37</v>
      </c>
      <c r="I180" s="19" t="s">
        <v>26</v>
      </c>
      <c r="J180" s="18" t="s">
        <v>27</v>
      </c>
      <c r="K180" s="18"/>
      <c r="L180" s="23" t="s">
        <v>900</v>
      </c>
      <c r="M180" s="23" t="s">
        <v>901</v>
      </c>
      <c r="N180" s="24" t="s">
        <v>457</v>
      </c>
      <c r="O180" s="18">
        <v>11</v>
      </c>
      <c r="P180" s="24"/>
      <c r="Q180" s="25">
        <v>43119</v>
      </c>
      <c r="R180" s="13">
        <v>0</v>
      </c>
      <c r="S180" s="26" t="str">
        <f>VLOOKUP(C180,'[1]Bazaar Salary'!$B$6:$J$1193,9,0)</f>
        <v>03980010050052780016</v>
      </c>
      <c r="T180" s="25" t="s">
        <v>32</v>
      </c>
      <c r="U180" s="25" t="s">
        <v>506</v>
      </c>
      <c r="V180" s="25" t="s">
        <v>405</v>
      </c>
      <c r="W180" s="27" t="s">
        <v>902</v>
      </c>
      <c r="X180" s="28" t="s">
        <v>903</v>
      </c>
      <c r="Y180" s="28"/>
      <c r="Z180" s="29" t="s">
        <v>37</v>
      </c>
    </row>
    <row r="181" spans="1:26" ht="30" customHeight="1" thickBot="1" x14ac:dyDescent="0.25">
      <c r="A181" s="17">
        <f t="shared" si="5"/>
        <v>180</v>
      </c>
      <c r="B181" s="18" t="s">
        <v>25</v>
      </c>
      <c r="C181" s="19">
        <v>3330330824415</v>
      </c>
      <c r="D181" s="19">
        <v>413</v>
      </c>
      <c r="E181" s="20">
        <v>43796</v>
      </c>
      <c r="F181" s="20">
        <v>47449</v>
      </c>
      <c r="G181" s="21">
        <v>32585</v>
      </c>
      <c r="H181" s="22">
        <f t="shared" ca="1" si="4"/>
        <v>37</v>
      </c>
      <c r="I181" s="19" t="s">
        <v>26</v>
      </c>
      <c r="J181" s="18" t="s">
        <v>27</v>
      </c>
      <c r="K181" s="18"/>
      <c r="L181" s="23" t="s">
        <v>904</v>
      </c>
      <c r="M181" s="23" t="s">
        <v>905</v>
      </c>
      <c r="N181" s="23" t="s">
        <v>457</v>
      </c>
      <c r="O181" s="18">
        <v>11</v>
      </c>
      <c r="P181" s="24"/>
      <c r="Q181" s="25">
        <v>43183</v>
      </c>
      <c r="R181" s="13">
        <v>0</v>
      </c>
      <c r="S181" s="26" t="str">
        <f>VLOOKUP(C181,'[1]Bazaar Salary'!$B$6:$J$1193,9,0)</f>
        <v>04060010050744810016</v>
      </c>
      <c r="T181" s="25" t="s">
        <v>32</v>
      </c>
      <c r="U181" s="25" t="s">
        <v>506</v>
      </c>
      <c r="V181" s="25" t="s">
        <v>265</v>
      </c>
      <c r="W181" s="27" t="s">
        <v>906</v>
      </c>
      <c r="X181" s="28" t="s">
        <v>907</v>
      </c>
      <c r="Y181" s="28"/>
      <c r="Z181" s="29" t="s">
        <v>37</v>
      </c>
    </row>
    <row r="182" spans="1:26" ht="30" customHeight="1" thickBot="1" x14ac:dyDescent="0.25">
      <c r="A182" s="17">
        <f t="shared" si="5"/>
        <v>181</v>
      </c>
      <c r="B182" s="18" t="s">
        <v>25</v>
      </c>
      <c r="C182" s="19">
        <v>3520241202493</v>
      </c>
      <c r="D182" s="19">
        <v>167</v>
      </c>
      <c r="E182" s="20">
        <v>44609</v>
      </c>
      <c r="F182" s="20">
        <v>48261</v>
      </c>
      <c r="G182" s="21">
        <v>33300</v>
      </c>
      <c r="H182" s="22">
        <f t="shared" ca="1" si="4"/>
        <v>35</v>
      </c>
      <c r="I182" s="19" t="s">
        <v>26</v>
      </c>
      <c r="J182" s="18" t="s">
        <v>27</v>
      </c>
      <c r="K182" s="18"/>
      <c r="L182" s="23" t="s">
        <v>908</v>
      </c>
      <c r="M182" s="23" t="s">
        <v>909</v>
      </c>
      <c r="N182" s="23" t="s">
        <v>457</v>
      </c>
      <c r="O182" s="18">
        <v>11</v>
      </c>
      <c r="P182" s="24"/>
      <c r="Q182" s="25">
        <v>42953</v>
      </c>
      <c r="R182" s="13">
        <v>0</v>
      </c>
      <c r="S182" s="26" t="str">
        <f>VLOOKUP(C182,'[1]Bazaar Salary'!$B$6:$J$1193,9,0)</f>
        <v>01530010018110400027</v>
      </c>
      <c r="T182" s="25" t="s">
        <v>32</v>
      </c>
      <c r="U182" s="25" t="s">
        <v>254</v>
      </c>
      <c r="V182" s="25" t="s">
        <v>265</v>
      </c>
      <c r="W182" s="27" t="s">
        <v>910</v>
      </c>
      <c r="X182" s="28" t="s">
        <v>911</v>
      </c>
      <c r="Y182" s="28"/>
      <c r="Z182" s="29" t="s">
        <v>37</v>
      </c>
    </row>
    <row r="183" spans="1:26" ht="30" customHeight="1" thickBot="1" x14ac:dyDescent="0.25">
      <c r="A183" s="17">
        <f t="shared" si="5"/>
        <v>182</v>
      </c>
      <c r="B183" s="18" t="s">
        <v>25</v>
      </c>
      <c r="C183" s="19">
        <v>3520188006911</v>
      </c>
      <c r="D183" s="19"/>
      <c r="E183" s="20">
        <v>44970</v>
      </c>
      <c r="F183" s="20">
        <v>48623</v>
      </c>
      <c r="G183" s="21">
        <v>27134</v>
      </c>
      <c r="H183" s="22">
        <f t="shared" ca="1" si="4"/>
        <v>52</v>
      </c>
      <c r="I183" s="19" t="s">
        <v>912</v>
      </c>
      <c r="J183" s="18" t="s">
        <v>27</v>
      </c>
      <c r="K183" s="18"/>
      <c r="L183" s="23" t="s">
        <v>913</v>
      </c>
      <c r="M183" s="23" t="s">
        <v>914</v>
      </c>
      <c r="N183" s="23" t="s">
        <v>457</v>
      </c>
      <c r="O183" s="18">
        <v>11</v>
      </c>
      <c r="P183" s="24"/>
      <c r="Q183" s="25">
        <v>45748</v>
      </c>
      <c r="R183" s="13">
        <v>0</v>
      </c>
      <c r="S183" s="26" t="str">
        <f>VLOOKUP(C183,'[1]Bazaar Salary'!$B$6:$J$1193,9,0)</f>
        <v>02880010136692650023</v>
      </c>
      <c r="T183" s="25" t="s">
        <v>32</v>
      </c>
      <c r="U183" s="25" t="s">
        <v>254</v>
      </c>
      <c r="V183" s="25" t="s">
        <v>265</v>
      </c>
      <c r="W183" s="27" t="s">
        <v>915</v>
      </c>
      <c r="X183" s="28" t="s">
        <v>916</v>
      </c>
      <c r="Y183" s="28"/>
      <c r="Z183" s="29" t="s">
        <v>37</v>
      </c>
    </row>
    <row r="184" spans="1:26" ht="30" customHeight="1" thickBot="1" x14ac:dyDescent="0.25">
      <c r="A184" s="17">
        <f t="shared" si="5"/>
        <v>183</v>
      </c>
      <c r="B184" s="18" t="s">
        <v>25</v>
      </c>
      <c r="C184" s="19">
        <v>3520287651143</v>
      </c>
      <c r="D184" s="19">
        <v>1743</v>
      </c>
      <c r="E184" s="20">
        <v>43285</v>
      </c>
      <c r="F184" s="20">
        <v>46938</v>
      </c>
      <c r="G184" s="21">
        <v>34886</v>
      </c>
      <c r="H184" s="22">
        <f t="shared" ca="1" si="4"/>
        <v>30</v>
      </c>
      <c r="I184" s="19" t="s">
        <v>26</v>
      </c>
      <c r="J184" s="18" t="s">
        <v>27</v>
      </c>
      <c r="K184" s="18"/>
      <c r="L184" s="24" t="s">
        <v>917</v>
      </c>
      <c r="M184" s="23" t="s">
        <v>918</v>
      </c>
      <c r="N184" s="24" t="s">
        <v>457</v>
      </c>
      <c r="O184" s="18">
        <v>11</v>
      </c>
      <c r="P184" s="24"/>
      <c r="Q184" s="25">
        <v>45748</v>
      </c>
      <c r="R184" s="13">
        <v>0</v>
      </c>
      <c r="S184" s="26" t="str">
        <f>VLOOKUP(C184,'[1]Bazaar Salary'!$B$6:$J$1193,9,0)</f>
        <v>11950010080957750018</v>
      </c>
      <c r="T184" s="25" t="s">
        <v>32</v>
      </c>
      <c r="U184" s="25" t="s">
        <v>919</v>
      </c>
      <c r="V184" s="25" t="s">
        <v>77</v>
      </c>
      <c r="W184" s="27" t="s">
        <v>920</v>
      </c>
      <c r="X184" s="28" t="s">
        <v>921</v>
      </c>
      <c r="Y184" s="28"/>
      <c r="Z184" s="29" t="s">
        <v>37</v>
      </c>
    </row>
    <row r="185" spans="1:26" ht="30" customHeight="1" thickBot="1" x14ac:dyDescent="0.25">
      <c r="A185" s="17">
        <f t="shared" si="5"/>
        <v>184</v>
      </c>
      <c r="B185" s="18" t="s">
        <v>25</v>
      </c>
      <c r="C185" s="19">
        <v>3510377418599</v>
      </c>
      <c r="D185" s="19">
        <v>127</v>
      </c>
      <c r="E185" s="20">
        <v>43501</v>
      </c>
      <c r="F185" s="20">
        <v>47154</v>
      </c>
      <c r="G185" s="21">
        <v>32143</v>
      </c>
      <c r="H185" s="22">
        <f t="shared" ca="1" si="4"/>
        <v>38</v>
      </c>
      <c r="I185" s="19" t="s">
        <v>26</v>
      </c>
      <c r="J185" s="18" t="s">
        <v>27</v>
      </c>
      <c r="K185" s="18"/>
      <c r="L185" s="24" t="s">
        <v>68</v>
      </c>
      <c r="M185" s="23" t="s">
        <v>414</v>
      </c>
      <c r="N185" s="24" t="s">
        <v>468</v>
      </c>
      <c r="O185" s="18">
        <v>11</v>
      </c>
      <c r="P185" s="24"/>
      <c r="Q185" s="25">
        <v>42005</v>
      </c>
      <c r="R185" s="13">
        <v>0</v>
      </c>
      <c r="S185" s="26" t="str">
        <f>VLOOKUP(C185,'[1]Bazaar Salary'!$B$6:$J$1193,9,0)</f>
        <v>09580010045808120020</v>
      </c>
      <c r="T185" s="25" t="s">
        <v>32</v>
      </c>
      <c r="U185" s="25" t="s">
        <v>922</v>
      </c>
      <c r="V185" s="25" t="s">
        <v>265</v>
      </c>
      <c r="W185" s="27" t="s">
        <v>923</v>
      </c>
      <c r="X185" s="28" t="s">
        <v>924</v>
      </c>
      <c r="Y185" s="28"/>
      <c r="Z185" s="29" t="s">
        <v>37</v>
      </c>
    </row>
    <row r="186" spans="1:26" ht="30" customHeight="1" thickBot="1" x14ac:dyDescent="0.25">
      <c r="A186" s="17">
        <f t="shared" si="5"/>
        <v>185</v>
      </c>
      <c r="B186" s="18" t="s">
        <v>25</v>
      </c>
      <c r="C186" s="19">
        <v>3520219808247</v>
      </c>
      <c r="D186" s="19">
        <v>1655</v>
      </c>
      <c r="E186" s="21">
        <v>42607</v>
      </c>
      <c r="F186" s="21">
        <v>46259</v>
      </c>
      <c r="G186" s="21">
        <v>35856</v>
      </c>
      <c r="H186" s="22">
        <f t="shared" ca="1" si="4"/>
        <v>28</v>
      </c>
      <c r="I186" s="18" t="s">
        <v>26</v>
      </c>
      <c r="J186" s="18" t="s">
        <v>27</v>
      </c>
      <c r="K186" s="23"/>
      <c r="L186" s="24" t="s">
        <v>925</v>
      </c>
      <c r="M186" s="33" t="s">
        <v>926</v>
      </c>
      <c r="N186" s="23" t="s">
        <v>457</v>
      </c>
      <c r="O186" s="18">
        <v>11</v>
      </c>
      <c r="P186" s="24"/>
      <c r="Q186" s="25">
        <v>45748</v>
      </c>
      <c r="R186" s="13">
        <v>0</v>
      </c>
      <c r="S186" s="26" t="str">
        <f>VLOOKUP(C186,'[1]Bazaar Salary'!$B$6:$J$1193,9,0)</f>
        <v>11960010079993190010</v>
      </c>
      <c r="T186" s="25" t="s">
        <v>32</v>
      </c>
      <c r="U186" s="25" t="s">
        <v>512</v>
      </c>
      <c r="V186" s="25" t="s">
        <v>927</v>
      </c>
      <c r="W186" s="33" t="s">
        <v>928</v>
      </c>
      <c r="X186" s="28" t="s">
        <v>929</v>
      </c>
      <c r="Y186" s="28"/>
      <c r="Z186" s="29" t="s">
        <v>37</v>
      </c>
    </row>
    <row r="187" spans="1:26" ht="30" customHeight="1" thickBot="1" x14ac:dyDescent="0.25">
      <c r="A187" s="17">
        <f t="shared" si="5"/>
        <v>186</v>
      </c>
      <c r="B187" s="18" t="s">
        <v>25</v>
      </c>
      <c r="C187" s="19">
        <v>3410173713697</v>
      </c>
      <c r="D187" s="19">
        <v>1256</v>
      </c>
      <c r="E187" s="20">
        <v>42858</v>
      </c>
      <c r="F187" s="20">
        <v>46510</v>
      </c>
      <c r="G187" s="21">
        <v>35613</v>
      </c>
      <c r="H187" s="22">
        <f t="shared" ca="1" si="4"/>
        <v>28</v>
      </c>
      <c r="I187" s="19" t="s">
        <v>26</v>
      </c>
      <c r="J187" s="18" t="s">
        <v>27</v>
      </c>
      <c r="K187" s="18"/>
      <c r="L187" s="24" t="s">
        <v>930</v>
      </c>
      <c r="M187" s="23" t="s">
        <v>931</v>
      </c>
      <c r="N187" s="24" t="s">
        <v>468</v>
      </c>
      <c r="O187" s="18">
        <v>11</v>
      </c>
      <c r="P187" s="24"/>
      <c r="Q187" s="25">
        <v>44652</v>
      </c>
      <c r="R187" s="13">
        <v>0</v>
      </c>
      <c r="S187" s="26" t="str">
        <f>VLOOKUP(C187,'[1]Bazaar Salary'!$B$6:$J$1193,9,0)</f>
        <v>51580020081038970013</v>
      </c>
      <c r="T187" s="25" t="s">
        <v>32</v>
      </c>
      <c r="U187" s="25" t="s">
        <v>512</v>
      </c>
      <c r="V187" s="25" t="s">
        <v>405</v>
      </c>
      <c r="W187" s="27" t="s">
        <v>932</v>
      </c>
      <c r="X187" s="28" t="s">
        <v>933</v>
      </c>
      <c r="Y187" s="28"/>
      <c r="Z187" s="29" t="s">
        <v>37</v>
      </c>
    </row>
    <row r="188" spans="1:26" ht="30" customHeight="1" thickBot="1" x14ac:dyDescent="0.25">
      <c r="A188" s="17">
        <f t="shared" si="5"/>
        <v>187</v>
      </c>
      <c r="B188" s="18" t="s">
        <v>25</v>
      </c>
      <c r="C188" s="19">
        <v>3410179998009</v>
      </c>
      <c r="D188" s="19">
        <v>1697</v>
      </c>
      <c r="E188" s="20">
        <v>44630</v>
      </c>
      <c r="F188" s="20">
        <v>48283</v>
      </c>
      <c r="G188" s="21">
        <v>30872</v>
      </c>
      <c r="H188" s="22">
        <f t="shared" ca="1" si="4"/>
        <v>41</v>
      </c>
      <c r="I188" s="19" t="s">
        <v>26</v>
      </c>
      <c r="J188" s="18" t="s">
        <v>27</v>
      </c>
      <c r="K188" s="18"/>
      <c r="L188" s="24" t="s">
        <v>934</v>
      </c>
      <c r="M188" s="23" t="s">
        <v>935</v>
      </c>
      <c r="N188" s="24" t="s">
        <v>457</v>
      </c>
      <c r="O188" s="18">
        <v>11</v>
      </c>
      <c r="P188" s="24"/>
      <c r="Q188" s="25">
        <v>45748</v>
      </c>
      <c r="R188" s="13">
        <v>0</v>
      </c>
      <c r="S188" s="26" t="str">
        <f>VLOOKUP(C188,'[1]Bazaar Salary'!$B$6:$J$1193,9,0)</f>
        <v>51140020136154430010</v>
      </c>
      <c r="T188" s="25" t="s">
        <v>32</v>
      </c>
      <c r="U188" s="25" t="s">
        <v>936</v>
      </c>
      <c r="V188" s="25" t="s">
        <v>937</v>
      </c>
      <c r="W188" s="27" t="s">
        <v>938</v>
      </c>
      <c r="X188" s="28" t="s">
        <v>939</v>
      </c>
      <c r="Y188" s="28"/>
      <c r="Z188" s="29" t="s">
        <v>37</v>
      </c>
    </row>
    <row r="189" spans="1:26" ht="30" customHeight="1" thickBot="1" x14ac:dyDescent="0.25">
      <c r="A189" s="17">
        <f t="shared" si="5"/>
        <v>188</v>
      </c>
      <c r="B189" s="18" t="s">
        <v>25</v>
      </c>
      <c r="C189" s="19">
        <v>3840393284969</v>
      </c>
      <c r="D189" s="19">
        <v>73</v>
      </c>
      <c r="E189" s="20">
        <v>43548</v>
      </c>
      <c r="F189" s="20">
        <v>47201</v>
      </c>
      <c r="G189" s="21">
        <v>32932</v>
      </c>
      <c r="H189" s="22">
        <f t="shared" ca="1" si="4"/>
        <v>36</v>
      </c>
      <c r="I189" s="19" t="s">
        <v>26</v>
      </c>
      <c r="J189" s="18" t="s">
        <v>27</v>
      </c>
      <c r="K189" s="18"/>
      <c r="L189" s="23" t="s">
        <v>940</v>
      </c>
      <c r="M189" s="23" t="s">
        <v>941</v>
      </c>
      <c r="N189" s="23" t="s">
        <v>334</v>
      </c>
      <c r="O189" s="18">
        <v>9</v>
      </c>
      <c r="P189" s="24" t="s">
        <v>109</v>
      </c>
      <c r="Q189" s="25">
        <v>44287</v>
      </c>
      <c r="R189" s="13">
        <v>0</v>
      </c>
      <c r="S189" s="26" t="str">
        <f>VLOOKUP(C189,'[1]Head Office '!$B$7:$I$98,8,0)</f>
        <v>02880010064248660014</v>
      </c>
      <c r="T189" s="25" t="s">
        <v>32</v>
      </c>
      <c r="U189" s="25" t="s">
        <v>33</v>
      </c>
      <c r="V189" s="25" t="s">
        <v>942</v>
      </c>
      <c r="W189" s="27" t="s">
        <v>943</v>
      </c>
      <c r="X189" s="28" t="s">
        <v>944</v>
      </c>
      <c r="Y189" s="28" t="str">
        <f>VLOOKUP(C189,[2]Final!$J$2:$T$175,11,0)</f>
        <v>zeeshan.pmbmc@outlook.com</v>
      </c>
      <c r="Z189" s="29" t="s">
        <v>37</v>
      </c>
    </row>
    <row r="190" spans="1:26" ht="30" customHeight="1" thickBot="1" x14ac:dyDescent="0.25">
      <c r="A190" s="17">
        <f t="shared" si="5"/>
        <v>189</v>
      </c>
      <c r="B190" s="18" t="s">
        <v>25</v>
      </c>
      <c r="C190" s="19">
        <v>3520272743683</v>
      </c>
      <c r="D190" s="19">
        <v>82</v>
      </c>
      <c r="E190" s="20">
        <v>44075</v>
      </c>
      <c r="F190" s="20">
        <v>47727</v>
      </c>
      <c r="G190" s="21">
        <v>37271</v>
      </c>
      <c r="H190" s="22">
        <f t="shared" ca="1" si="4"/>
        <v>24</v>
      </c>
      <c r="I190" s="19" t="s">
        <v>26</v>
      </c>
      <c r="J190" s="18" t="s">
        <v>27</v>
      </c>
      <c r="K190" s="18"/>
      <c r="L190" s="23" t="s">
        <v>945</v>
      </c>
      <c r="M190" s="23" t="s">
        <v>946</v>
      </c>
      <c r="N190" s="23" t="s">
        <v>947</v>
      </c>
      <c r="O190" s="18">
        <v>9</v>
      </c>
      <c r="P190" s="24" t="s">
        <v>48</v>
      </c>
      <c r="Q190" s="25">
        <v>44228</v>
      </c>
      <c r="R190" s="13">
        <v>0</v>
      </c>
      <c r="S190" s="26" t="str">
        <f>VLOOKUP(C190,'[1]Head Office '!$B$7:$I$98,8,0)</f>
        <v>02880010072883450018</v>
      </c>
      <c r="T190" s="25" t="s">
        <v>32</v>
      </c>
      <c r="U190" s="25" t="s">
        <v>33</v>
      </c>
      <c r="V190" s="25" t="s">
        <v>320</v>
      </c>
      <c r="W190" s="27" t="s">
        <v>43</v>
      </c>
      <c r="X190" s="28" t="s">
        <v>948</v>
      </c>
      <c r="Y190" s="28" t="str">
        <f>VLOOKUP(C190,[2]Final!$J$2:$T$175,11,0)</f>
        <v>moizshoaib@gmail.com</v>
      </c>
      <c r="Z190" s="29" t="s">
        <v>37</v>
      </c>
    </row>
    <row r="191" spans="1:26" ht="30" customHeight="1" thickBot="1" x14ac:dyDescent="0.25">
      <c r="A191" s="17">
        <f t="shared" si="5"/>
        <v>190</v>
      </c>
      <c r="B191" s="18" t="s">
        <v>25</v>
      </c>
      <c r="C191" s="19">
        <v>3520159024231</v>
      </c>
      <c r="D191" s="19">
        <v>1340</v>
      </c>
      <c r="E191" s="20">
        <v>44987</v>
      </c>
      <c r="F191" s="20">
        <v>48640</v>
      </c>
      <c r="G191" s="21">
        <v>35315</v>
      </c>
      <c r="H191" s="22">
        <f t="shared" ca="1" si="4"/>
        <v>29</v>
      </c>
      <c r="I191" s="19" t="s">
        <v>26</v>
      </c>
      <c r="J191" s="18" t="s">
        <v>27</v>
      </c>
      <c r="K191" s="18"/>
      <c r="L191" s="23" t="s">
        <v>949</v>
      </c>
      <c r="M191" s="23" t="s">
        <v>950</v>
      </c>
      <c r="N191" s="23" t="s">
        <v>947</v>
      </c>
      <c r="O191" s="18">
        <v>9</v>
      </c>
      <c r="P191" s="24" t="s">
        <v>55</v>
      </c>
      <c r="Q191" s="25">
        <v>44652</v>
      </c>
      <c r="R191" s="13">
        <v>0</v>
      </c>
      <c r="S191" s="26" t="str">
        <f>VLOOKUP(C191,'[1]Head Office '!$B$7:$I$98,8,0)</f>
        <v>02880010089150200010</v>
      </c>
      <c r="T191" s="25" t="s">
        <v>32</v>
      </c>
      <c r="U191" s="25" t="s">
        <v>33</v>
      </c>
      <c r="V191" s="25" t="s">
        <v>320</v>
      </c>
      <c r="W191" s="27" t="s">
        <v>951</v>
      </c>
      <c r="X191" s="28" t="s">
        <v>952</v>
      </c>
      <c r="Y191" s="28" t="str">
        <f>VLOOKUP(C191,[2]Final!$J$2:$T$175,11,0)</f>
        <v>anashadi1122@gmail.com</v>
      </c>
      <c r="Z191" s="29" t="s">
        <v>37</v>
      </c>
    </row>
    <row r="192" spans="1:26" ht="30" customHeight="1" thickBot="1" x14ac:dyDescent="0.25">
      <c r="A192" s="17">
        <f t="shared" si="5"/>
        <v>191</v>
      </c>
      <c r="B192" s="18" t="s">
        <v>25</v>
      </c>
      <c r="C192" s="19">
        <v>3520228042483</v>
      </c>
      <c r="D192" s="19">
        <v>1493</v>
      </c>
      <c r="E192" s="20">
        <v>44946</v>
      </c>
      <c r="F192" s="20">
        <v>48599</v>
      </c>
      <c r="G192" s="21">
        <v>33255</v>
      </c>
      <c r="H192" s="22">
        <f t="shared" ca="1" si="4"/>
        <v>35</v>
      </c>
      <c r="I192" s="19" t="s">
        <v>26</v>
      </c>
      <c r="J192" s="18" t="s">
        <v>27</v>
      </c>
      <c r="K192" s="18"/>
      <c r="L192" s="23" t="s">
        <v>953</v>
      </c>
      <c r="M192" s="23" t="s">
        <v>711</v>
      </c>
      <c r="N192" s="23" t="s">
        <v>947</v>
      </c>
      <c r="O192" s="18">
        <v>9</v>
      </c>
      <c r="P192" s="24" t="s">
        <v>70</v>
      </c>
      <c r="Q192" s="25">
        <v>45292</v>
      </c>
      <c r="R192" s="13">
        <v>0</v>
      </c>
      <c r="S192" s="26" t="str">
        <f>VLOOKUP(C192,'[1]Bazaar Salary'!$B$6:$J$1193,9,0)</f>
        <v>02880010105872840017</v>
      </c>
      <c r="T192" s="25" t="s">
        <v>32</v>
      </c>
      <c r="U192" s="25" t="s">
        <v>33</v>
      </c>
      <c r="V192" s="25" t="s">
        <v>320</v>
      </c>
      <c r="W192" s="27" t="s">
        <v>954</v>
      </c>
      <c r="X192" s="28" t="s">
        <v>955</v>
      </c>
      <c r="Y192" s="28" t="str">
        <f>VLOOKUP(C192,[2]Final!$J$2:$T$175,11,0)</f>
        <v>friend.click50@gmail.com</v>
      </c>
      <c r="Z192" s="29" t="s">
        <v>37</v>
      </c>
    </row>
    <row r="193" spans="1:26" ht="30" customHeight="1" thickBot="1" x14ac:dyDescent="0.25">
      <c r="A193" s="17">
        <f t="shared" si="5"/>
        <v>192</v>
      </c>
      <c r="B193" s="18" t="s">
        <v>25</v>
      </c>
      <c r="C193" s="19">
        <v>3530187459235</v>
      </c>
      <c r="D193" s="19">
        <v>334</v>
      </c>
      <c r="E193" s="20">
        <v>42984</v>
      </c>
      <c r="F193" s="20">
        <v>46636</v>
      </c>
      <c r="G193" s="21">
        <v>36344</v>
      </c>
      <c r="H193" s="22">
        <f t="shared" ca="1" si="4"/>
        <v>26</v>
      </c>
      <c r="I193" s="19" t="s">
        <v>26</v>
      </c>
      <c r="J193" s="18" t="s">
        <v>27</v>
      </c>
      <c r="K193" s="18"/>
      <c r="L193" s="23" t="s">
        <v>956</v>
      </c>
      <c r="M193" s="23" t="s">
        <v>957</v>
      </c>
      <c r="N193" s="23" t="s">
        <v>947</v>
      </c>
      <c r="O193" s="18">
        <v>9</v>
      </c>
      <c r="P193" s="24" t="s">
        <v>102</v>
      </c>
      <c r="Q193" s="25">
        <v>43109</v>
      </c>
      <c r="R193" s="13">
        <v>0</v>
      </c>
      <c r="S193" s="26" t="str">
        <f>VLOOKUP(C193,'[1]Bazaar Salary'!$B$6:$J$1193,9,0)</f>
        <v>07170010049344210017</v>
      </c>
      <c r="T193" s="25" t="s">
        <v>32</v>
      </c>
      <c r="U193" s="25" t="s">
        <v>33</v>
      </c>
      <c r="V193" s="25" t="s">
        <v>884</v>
      </c>
      <c r="W193" s="27" t="s">
        <v>958</v>
      </c>
      <c r="X193" s="28" t="s">
        <v>959</v>
      </c>
      <c r="Y193" s="28" t="str">
        <f>VLOOKUP(C193,[2]Final!$J$2:$T$175,11,0)</f>
        <v>ma9657224@gmail.com</v>
      </c>
      <c r="Z193" s="29" t="s">
        <v>37</v>
      </c>
    </row>
    <row r="194" spans="1:26" ht="30" customHeight="1" thickBot="1" x14ac:dyDescent="0.25">
      <c r="A194" s="17">
        <f t="shared" si="5"/>
        <v>193</v>
      </c>
      <c r="B194" s="18" t="s">
        <v>25</v>
      </c>
      <c r="C194" s="19">
        <v>3520256072309</v>
      </c>
      <c r="D194" s="19">
        <v>1499</v>
      </c>
      <c r="E194" s="20">
        <v>43659</v>
      </c>
      <c r="F194" s="20">
        <v>47312</v>
      </c>
      <c r="G194" s="21">
        <v>36853</v>
      </c>
      <c r="H194" s="22">
        <f t="shared" ref="H194:H257" ca="1" si="6">INT((TODAY()-G194)/365)</f>
        <v>25</v>
      </c>
      <c r="I194" s="19" t="s">
        <v>26</v>
      </c>
      <c r="J194" s="18" t="s">
        <v>27</v>
      </c>
      <c r="K194" s="18"/>
      <c r="L194" s="23" t="s">
        <v>960</v>
      </c>
      <c r="M194" s="23" t="s">
        <v>961</v>
      </c>
      <c r="N194" s="23" t="s">
        <v>947</v>
      </c>
      <c r="O194" s="18">
        <v>9</v>
      </c>
      <c r="P194" s="24" t="s">
        <v>70</v>
      </c>
      <c r="Q194" s="25">
        <v>45292</v>
      </c>
      <c r="R194" s="13">
        <v>0</v>
      </c>
      <c r="S194" s="26" t="str">
        <f>VLOOKUP(C194,'[1]Bazaar Salary'!$B$6:$J$1193,9,0)</f>
        <v>06880010106597320018</v>
      </c>
      <c r="T194" s="25" t="s">
        <v>32</v>
      </c>
      <c r="U194" s="25" t="s">
        <v>33</v>
      </c>
      <c r="V194" s="25" t="s">
        <v>320</v>
      </c>
      <c r="W194" s="27" t="s">
        <v>962</v>
      </c>
      <c r="X194" s="28" t="s">
        <v>963</v>
      </c>
      <c r="Y194" s="28" t="str">
        <f>VLOOKUP(C194,[2]Final!$J$2:$T$175,11,0)</f>
        <v>tajamulchaudhary228@gmail.com</v>
      </c>
      <c r="Z194" s="29" t="s">
        <v>37</v>
      </c>
    </row>
    <row r="195" spans="1:26" ht="30" customHeight="1" thickBot="1" x14ac:dyDescent="0.25">
      <c r="A195" s="17">
        <f t="shared" si="5"/>
        <v>194</v>
      </c>
      <c r="B195" s="18" t="s">
        <v>25</v>
      </c>
      <c r="C195" s="19">
        <v>3520271964359</v>
      </c>
      <c r="D195" s="19">
        <v>11</v>
      </c>
      <c r="E195" s="20">
        <v>43512</v>
      </c>
      <c r="F195" s="20">
        <v>47165</v>
      </c>
      <c r="G195" s="21">
        <v>34551</v>
      </c>
      <c r="H195" s="22">
        <f t="shared" ca="1" si="6"/>
        <v>31</v>
      </c>
      <c r="I195" s="19" t="s">
        <v>26</v>
      </c>
      <c r="J195" s="18" t="s">
        <v>27</v>
      </c>
      <c r="K195" s="18"/>
      <c r="L195" s="23" t="s">
        <v>964</v>
      </c>
      <c r="M195" s="23" t="s">
        <v>965</v>
      </c>
      <c r="N195" s="23" t="s">
        <v>947</v>
      </c>
      <c r="O195" s="18">
        <v>9</v>
      </c>
      <c r="P195" s="24" t="s">
        <v>48</v>
      </c>
      <c r="Q195" s="25">
        <v>44228</v>
      </c>
      <c r="R195" s="13">
        <v>0</v>
      </c>
      <c r="S195" s="26" t="str">
        <f>VLOOKUP(C195,'[1]Head Office '!$B$7:$I$98,8,0)</f>
        <v>02880010076051010011</v>
      </c>
      <c r="T195" s="25" t="s">
        <v>32</v>
      </c>
      <c r="U195" s="25" t="s">
        <v>33</v>
      </c>
      <c r="V195" s="25" t="s">
        <v>320</v>
      </c>
      <c r="W195" s="27" t="s">
        <v>966</v>
      </c>
      <c r="X195" s="28" t="s">
        <v>967</v>
      </c>
      <c r="Y195" s="28" t="str">
        <f>VLOOKUP(C195,[2]Final!$J$2:$T$175,11,0)</f>
        <v>umerkhan4500.uk@gmail.com</v>
      </c>
      <c r="Z195" s="29" t="s">
        <v>37</v>
      </c>
    </row>
    <row r="196" spans="1:26" ht="30" customHeight="1" thickBot="1" x14ac:dyDescent="0.25">
      <c r="A196" s="17">
        <f t="shared" ref="A196:A259" si="7">A195+1</f>
        <v>195</v>
      </c>
      <c r="B196" s="18" t="s">
        <v>25</v>
      </c>
      <c r="C196" s="19">
        <v>3520203699861</v>
      </c>
      <c r="D196" s="19">
        <v>1812</v>
      </c>
      <c r="E196" s="20">
        <v>44714</v>
      </c>
      <c r="F196" s="20">
        <v>48367</v>
      </c>
      <c r="G196" s="21">
        <v>34047</v>
      </c>
      <c r="H196" s="22">
        <f t="shared" ca="1" si="6"/>
        <v>33</v>
      </c>
      <c r="I196" s="19" t="s">
        <v>26</v>
      </c>
      <c r="J196" s="18" t="s">
        <v>27</v>
      </c>
      <c r="K196" s="18"/>
      <c r="L196" s="23" t="s">
        <v>968</v>
      </c>
      <c r="M196" s="23" t="s">
        <v>199</v>
      </c>
      <c r="N196" s="23" t="s">
        <v>457</v>
      </c>
      <c r="O196" s="18">
        <v>7</v>
      </c>
      <c r="P196" s="24"/>
      <c r="Q196" s="25">
        <v>45748</v>
      </c>
      <c r="R196" s="13">
        <v>0</v>
      </c>
      <c r="S196" s="26" t="str">
        <f>VLOOKUP(C196,'[1]Bazaar Salary'!$B$6:$J$1193,9,0)</f>
        <v>13470010100528710021</v>
      </c>
      <c r="T196" s="25" t="s">
        <v>32</v>
      </c>
      <c r="U196" s="25" t="s">
        <v>458</v>
      </c>
      <c r="V196" s="25" t="s">
        <v>320</v>
      </c>
      <c r="W196" s="27" t="s">
        <v>969</v>
      </c>
      <c r="X196" s="28" t="s">
        <v>970</v>
      </c>
      <c r="Y196" s="28"/>
      <c r="Z196" s="29" t="s">
        <v>37</v>
      </c>
    </row>
    <row r="197" spans="1:26" ht="30" customHeight="1" thickBot="1" x14ac:dyDescent="0.25">
      <c r="A197" s="17">
        <f t="shared" si="7"/>
        <v>196</v>
      </c>
      <c r="B197" s="18" t="s">
        <v>25</v>
      </c>
      <c r="C197" s="19">
        <v>3510323003369</v>
      </c>
      <c r="D197" s="19">
        <v>1775</v>
      </c>
      <c r="E197" s="20">
        <v>43026</v>
      </c>
      <c r="F197" s="20">
        <v>46678</v>
      </c>
      <c r="G197" s="21">
        <v>36019</v>
      </c>
      <c r="H197" s="22">
        <f t="shared" ca="1" si="6"/>
        <v>27</v>
      </c>
      <c r="I197" s="19" t="s">
        <v>26</v>
      </c>
      <c r="J197" s="18" t="s">
        <v>27</v>
      </c>
      <c r="K197" s="18"/>
      <c r="L197" s="23" t="s">
        <v>971</v>
      </c>
      <c r="M197" s="23" t="s">
        <v>695</v>
      </c>
      <c r="N197" s="23" t="s">
        <v>457</v>
      </c>
      <c r="O197" s="18">
        <v>7</v>
      </c>
      <c r="P197" s="24"/>
      <c r="Q197" s="25">
        <v>45748</v>
      </c>
      <c r="R197" s="13">
        <v>0</v>
      </c>
      <c r="S197" s="26" t="str">
        <f>VLOOKUP(C197,'[1]Bazaar Salary'!$B$6:$J$1193,9,0)</f>
        <v>03900010138839040011</v>
      </c>
      <c r="T197" s="25" t="s">
        <v>32</v>
      </c>
      <c r="U197" s="25" t="s">
        <v>458</v>
      </c>
      <c r="V197" s="25" t="s">
        <v>320</v>
      </c>
      <c r="W197" s="27" t="s">
        <v>972</v>
      </c>
      <c r="X197" s="28" t="s">
        <v>973</v>
      </c>
      <c r="Y197" s="28"/>
      <c r="Z197" s="29" t="s">
        <v>37</v>
      </c>
    </row>
    <row r="198" spans="1:26" ht="30" customHeight="1" thickBot="1" x14ac:dyDescent="0.25">
      <c r="A198" s="17">
        <f t="shared" si="7"/>
        <v>197</v>
      </c>
      <c r="B198" s="18" t="s">
        <v>25</v>
      </c>
      <c r="C198" s="19">
        <v>3520262569395</v>
      </c>
      <c r="D198" s="19">
        <v>1779</v>
      </c>
      <c r="E198" s="20">
        <v>44263</v>
      </c>
      <c r="F198" s="20">
        <v>47915</v>
      </c>
      <c r="G198" s="21">
        <v>37500</v>
      </c>
      <c r="H198" s="22">
        <f t="shared" ca="1" si="6"/>
        <v>23</v>
      </c>
      <c r="I198" s="19" t="s">
        <v>26</v>
      </c>
      <c r="J198" s="18" t="s">
        <v>27</v>
      </c>
      <c r="K198" s="18"/>
      <c r="L198" s="23" t="s">
        <v>99</v>
      </c>
      <c r="M198" s="23" t="s">
        <v>974</v>
      </c>
      <c r="N198" s="23" t="s">
        <v>457</v>
      </c>
      <c r="O198" s="18">
        <v>7</v>
      </c>
      <c r="P198" s="24"/>
      <c r="Q198" s="25">
        <v>45748</v>
      </c>
      <c r="R198" s="13">
        <v>0</v>
      </c>
      <c r="S198" s="26" t="str">
        <f>VLOOKUP(C198,'[1]Bazaar Salary'!$B$6:$J$1193,9,0)</f>
        <v>12630010139339150017</v>
      </c>
      <c r="T198" s="25" t="s">
        <v>32</v>
      </c>
      <c r="U198" s="25" t="s">
        <v>458</v>
      </c>
      <c r="V198" s="25" t="s">
        <v>320</v>
      </c>
      <c r="W198" s="27" t="s">
        <v>975</v>
      </c>
      <c r="X198" s="28" t="s">
        <v>976</v>
      </c>
      <c r="Y198" s="28"/>
      <c r="Z198" s="29" t="s">
        <v>37</v>
      </c>
    </row>
    <row r="199" spans="1:26" ht="30" customHeight="1" thickBot="1" x14ac:dyDescent="0.25">
      <c r="A199" s="17">
        <f t="shared" si="7"/>
        <v>198</v>
      </c>
      <c r="B199" s="18" t="s">
        <v>25</v>
      </c>
      <c r="C199" s="19">
        <v>3520253369153</v>
      </c>
      <c r="D199" s="19">
        <v>1774</v>
      </c>
      <c r="E199" s="20">
        <v>43679</v>
      </c>
      <c r="F199" s="20">
        <v>47332</v>
      </c>
      <c r="G199" s="21">
        <v>36832</v>
      </c>
      <c r="H199" s="22">
        <f t="shared" ca="1" si="6"/>
        <v>25</v>
      </c>
      <c r="I199" s="19" t="s">
        <v>26</v>
      </c>
      <c r="J199" s="18" t="s">
        <v>27</v>
      </c>
      <c r="K199" s="18"/>
      <c r="L199" s="23" t="s">
        <v>977</v>
      </c>
      <c r="M199" s="23" t="s">
        <v>978</v>
      </c>
      <c r="N199" s="23" t="s">
        <v>457</v>
      </c>
      <c r="O199" s="18">
        <v>7</v>
      </c>
      <c r="P199" s="24"/>
      <c r="Q199" s="25">
        <v>45748</v>
      </c>
      <c r="R199" s="13">
        <v>0</v>
      </c>
      <c r="S199" s="26" t="str">
        <f>VLOOKUP(C199,'[1]Bazaar Salary'!$B$6:$J$1193,9,0)</f>
        <v>10520010138323080012</v>
      </c>
      <c r="T199" s="25" t="s">
        <v>32</v>
      </c>
      <c r="U199" s="25" t="s">
        <v>458</v>
      </c>
      <c r="V199" s="25" t="s">
        <v>320</v>
      </c>
      <c r="W199" s="27" t="s">
        <v>979</v>
      </c>
      <c r="X199" s="28" t="s">
        <v>980</v>
      </c>
      <c r="Y199" s="28"/>
      <c r="Z199" s="29" t="s">
        <v>37</v>
      </c>
    </row>
    <row r="200" spans="1:26" ht="30" customHeight="1" thickBot="1" x14ac:dyDescent="0.25">
      <c r="A200" s="17">
        <f t="shared" si="7"/>
        <v>199</v>
      </c>
      <c r="B200" s="18" t="s">
        <v>25</v>
      </c>
      <c r="C200" s="19">
        <v>3520291968959</v>
      </c>
      <c r="D200" s="19">
        <v>1778</v>
      </c>
      <c r="E200" s="20">
        <v>43325</v>
      </c>
      <c r="F200" s="20">
        <v>46978</v>
      </c>
      <c r="G200" s="21">
        <v>36145</v>
      </c>
      <c r="H200" s="22">
        <f t="shared" ca="1" si="6"/>
        <v>27</v>
      </c>
      <c r="I200" s="19" t="s">
        <v>912</v>
      </c>
      <c r="J200" s="18" t="s">
        <v>27</v>
      </c>
      <c r="K200" s="18"/>
      <c r="L200" s="23" t="s">
        <v>981</v>
      </c>
      <c r="M200" s="23" t="s">
        <v>982</v>
      </c>
      <c r="N200" s="23" t="s">
        <v>457</v>
      </c>
      <c r="O200" s="18">
        <v>7</v>
      </c>
      <c r="P200" s="24"/>
      <c r="Q200" s="25">
        <v>45748</v>
      </c>
      <c r="R200" s="13">
        <v>0</v>
      </c>
      <c r="S200" s="26" t="str">
        <f>VLOOKUP(C200,'[1]Bazaar Salary'!$B$6:$J$1193,9,0)</f>
        <v>04810010103264930014</v>
      </c>
      <c r="T200" s="25" t="s">
        <v>32</v>
      </c>
      <c r="U200" s="25" t="s">
        <v>458</v>
      </c>
      <c r="V200" s="25" t="s">
        <v>320</v>
      </c>
      <c r="W200" s="27" t="s">
        <v>983</v>
      </c>
      <c r="X200" s="28" t="s">
        <v>984</v>
      </c>
      <c r="Y200" s="28"/>
      <c r="Z200" s="29" t="s">
        <v>37</v>
      </c>
    </row>
    <row r="201" spans="1:26" ht="30" customHeight="1" thickBot="1" x14ac:dyDescent="0.25">
      <c r="A201" s="17">
        <f t="shared" si="7"/>
        <v>200</v>
      </c>
      <c r="B201" s="18" t="s">
        <v>25</v>
      </c>
      <c r="C201" s="19">
        <v>3520273282247</v>
      </c>
      <c r="D201" s="19">
        <v>1771</v>
      </c>
      <c r="E201" s="20">
        <v>42984</v>
      </c>
      <c r="F201" s="20">
        <v>46636</v>
      </c>
      <c r="G201" s="21">
        <v>33464</v>
      </c>
      <c r="H201" s="22">
        <f t="shared" ca="1" si="6"/>
        <v>34</v>
      </c>
      <c r="I201" s="19" t="s">
        <v>26</v>
      </c>
      <c r="J201" s="18" t="s">
        <v>27</v>
      </c>
      <c r="K201" s="18"/>
      <c r="L201" s="23" t="s">
        <v>985</v>
      </c>
      <c r="M201" s="23" t="s">
        <v>986</v>
      </c>
      <c r="N201" s="23" t="s">
        <v>457</v>
      </c>
      <c r="O201" s="18">
        <v>7</v>
      </c>
      <c r="P201" s="24"/>
      <c r="Q201" s="25">
        <v>45748</v>
      </c>
      <c r="R201" s="13">
        <v>0</v>
      </c>
      <c r="S201" s="26" t="str">
        <f>VLOOKUP(C201,'[1]Bazaar Salary'!$B$6:$J$1193,9,0)</f>
        <v>03910010007946400020</v>
      </c>
      <c r="T201" s="25" t="s">
        <v>32</v>
      </c>
      <c r="U201" s="25" t="s">
        <v>458</v>
      </c>
      <c r="V201" s="25" t="s">
        <v>320</v>
      </c>
      <c r="W201" s="27" t="s">
        <v>987</v>
      </c>
      <c r="X201" s="28" t="s">
        <v>988</v>
      </c>
      <c r="Y201" s="28"/>
      <c r="Z201" s="29" t="s">
        <v>37</v>
      </c>
    </row>
    <row r="202" spans="1:26" ht="30" customHeight="1" thickBot="1" x14ac:dyDescent="0.25">
      <c r="A202" s="17">
        <f t="shared" si="7"/>
        <v>201</v>
      </c>
      <c r="B202" s="18" t="s">
        <v>25</v>
      </c>
      <c r="C202" s="19">
        <v>3520219484371</v>
      </c>
      <c r="D202" s="19">
        <v>1741</v>
      </c>
      <c r="E202" s="20">
        <v>44426</v>
      </c>
      <c r="F202" s="20">
        <v>48078</v>
      </c>
      <c r="G202" s="21">
        <v>37803</v>
      </c>
      <c r="H202" s="22">
        <f t="shared" ca="1" si="6"/>
        <v>22</v>
      </c>
      <c r="I202" s="19" t="s">
        <v>26</v>
      </c>
      <c r="J202" s="18" t="s">
        <v>27</v>
      </c>
      <c r="K202" s="18"/>
      <c r="L202" s="23" t="s">
        <v>989</v>
      </c>
      <c r="M202" s="23" t="s">
        <v>990</v>
      </c>
      <c r="N202" s="24" t="s">
        <v>457</v>
      </c>
      <c r="O202" s="18">
        <v>7</v>
      </c>
      <c r="P202" s="24"/>
      <c r="Q202" s="25">
        <v>45748</v>
      </c>
      <c r="R202" s="13">
        <v>0</v>
      </c>
      <c r="S202" s="26" t="str">
        <f>VLOOKUP(C202,'[1]Bazaar Salary'!$B$6:$J$1193,9,0)</f>
        <v>06890010138628050018</v>
      </c>
      <c r="T202" s="25" t="s">
        <v>32</v>
      </c>
      <c r="U202" s="25" t="s">
        <v>991</v>
      </c>
      <c r="V202" s="25" t="s">
        <v>320</v>
      </c>
      <c r="W202" s="27" t="s">
        <v>992</v>
      </c>
      <c r="X202" s="28" t="s">
        <v>993</v>
      </c>
      <c r="Y202" s="28"/>
      <c r="Z202" s="29" t="s">
        <v>37</v>
      </c>
    </row>
    <row r="203" spans="1:26" ht="30" customHeight="1" thickBot="1" x14ac:dyDescent="0.25">
      <c r="A203" s="17">
        <f t="shared" si="7"/>
        <v>202</v>
      </c>
      <c r="B203" s="18" t="s">
        <v>25</v>
      </c>
      <c r="C203" s="19">
        <v>3520403829873</v>
      </c>
      <c r="D203" s="19">
        <v>1747</v>
      </c>
      <c r="E203" s="20">
        <v>45545</v>
      </c>
      <c r="F203" s="20">
        <v>49197</v>
      </c>
      <c r="G203" s="21">
        <v>36954</v>
      </c>
      <c r="H203" s="22">
        <f t="shared" ca="1" si="6"/>
        <v>25</v>
      </c>
      <c r="I203" s="19" t="s">
        <v>26</v>
      </c>
      <c r="J203" s="18" t="s">
        <v>27</v>
      </c>
      <c r="K203" s="18"/>
      <c r="L203" s="23" t="s">
        <v>994</v>
      </c>
      <c r="M203" s="23" t="s">
        <v>890</v>
      </c>
      <c r="N203" s="23" t="s">
        <v>457</v>
      </c>
      <c r="O203" s="18">
        <v>7</v>
      </c>
      <c r="P203" s="24"/>
      <c r="Q203" s="25">
        <v>45809</v>
      </c>
      <c r="R203" s="13">
        <v>0</v>
      </c>
      <c r="S203" s="26" t="str">
        <f>VLOOKUP(C203,'[1]Bazaar Salary'!$B$6:$J$1193,9,0)</f>
        <v>09880010104253300011</v>
      </c>
      <c r="T203" s="25" t="s">
        <v>32</v>
      </c>
      <c r="U203" s="25" t="s">
        <v>991</v>
      </c>
      <c r="V203" s="25" t="s">
        <v>320</v>
      </c>
      <c r="W203" s="27" t="s">
        <v>995</v>
      </c>
      <c r="X203" s="28" t="s">
        <v>996</v>
      </c>
      <c r="Y203" s="28"/>
      <c r="Z203" s="29" t="s">
        <v>37</v>
      </c>
    </row>
    <row r="204" spans="1:26" ht="30" customHeight="1" thickBot="1" x14ac:dyDescent="0.25">
      <c r="A204" s="17">
        <f t="shared" si="7"/>
        <v>203</v>
      </c>
      <c r="B204" s="18" t="s">
        <v>25</v>
      </c>
      <c r="C204" s="19">
        <v>3520203941713</v>
      </c>
      <c r="D204" s="19">
        <v>1746</v>
      </c>
      <c r="E204" s="20">
        <v>45194</v>
      </c>
      <c r="F204" s="20">
        <v>48847</v>
      </c>
      <c r="G204" s="21">
        <v>33703</v>
      </c>
      <c r="H204" s="22">
        <f t="shared" ca="1" si="6"/>
        <v>34</v>
      </c>
      <c r="I204" s="19" t="s">
        <v>26</v>
      </c>
      <c r="J204" s="18" t="s">
        <v>27</v>
      </c>
      <c r="K204" s="18"/>
      <c r="L204" s="23" t="s">
        <v>413</v>
      </c>
      <c r="M204" s="23" t="s">
        <v>974</v>
      </c>
      <c r="N204" s="23" t="s">
        <v>457</v>
      </c>
      <c r="O204" s="18">
        <v>7</v>
      </c>
      <c r="P204" s="24"/>
      <c r="Q204" s="25">
        <v>45748</v>
      </c>
      <c r="R204" s="13">
        <v>0</v>
      </c>
      <c r="S204" s="26" t="str">
        <f>VLOOKUP(C204,'[1]Bazaar Salary'!$B$6:$J$1193,9,0)</f>
        <v>51570020089258640013</v>
      </c>
      <c r="T204" s="25" t="s">
        <v>32</v>
      </c>
      <c r="U204" s="25" t="s">
        <v>991</v>
      </c>
      <c r="V204" s="25" t="s">
        <v>320</v>
      </c>
      <c r="W204" s="27" t="s">
        <v>997</v>
      </c>
      <c r="X204" s="28" t="s">
        <v>998</v>
      </c>
      <c r="Y204" s="28"/>
      <c r="Z204" s="29" t="s">
        <v>37</v>
      </c>
    </row>
    <row r="205" spans="1:26" ht="30" customHeight="1" thickBot="1" x14ac:dyDescent="0.25">
      <c r="A205" s="17">
        <f t="shared" si="7"/>
        <v>204</v>
      </c>
      <c r="B205" s="18" t="s">
        <v>25</v>
      </c>
      <c r="C205" s="19">
        <v>3520292242625</v>
      </c>
      <c r="D205" s="19">
        <v>1821</v>
      </c>
      <c r="E205" s="20">
        <v>44616</v>
      </c>
      <c r="F205" s="20">
        <v>48268</v>
      </c>
      <c r="G205" s="21">
        <v>34696</v>
      </c>
      <c r="H205" s="22">
        <f t="shared" ca="1" si="6"/>
        <v>31</v>
      </c>
      <c r="I205" s="19" t="s">
        <v>26</v>
      </c>
      <c r="J205" s="18" t="s">
        <v>27</v>
      </c>
      <c r="K205" s="18"/>
      <c r="L205" s="23" t="s">
        <v>999</v>
      </c>
      <c r="M205" s="23" t="s">
        <v>1000</v>
      </c>
      <c r="N205" s="23" t="s">
        <v>457</v>
      </c>
      <c r="O205" s="18">
        <v>7</v>
      </c>
      <c r="P205" s="24"/>
      <c r="Q205" s="25">
        <v>45748</v>
      </c>
      <c r="R205" s="13">
        <v>0</v>
      </c>
      <c r="S205" s="26" t="str">
        <f>VLOOKUP(C205,'[1]Bazaar Salary'!$B$6:$J$1193,9,0)</f>
        <v>12960010107115560019</v>
      </c>
      <c r="T205" s="25" t="s">
        <v>32</v>
      </c>
      <c r="U205" s="25" t="s">
        <v>991</v>
      </c>
      <c r="V205" s="25" t="s">
        <v>320</v>
      </c>
      <c r="W205" s="27" t="s">
        <v>1001</v>
      </c>
      <c r="X205" s="28" t="s">
        <v>1002</v>
      </c>
      <c r="Y205" s="28"/>
      <c r="Z205" s="29" t="s">
        <v>37</v>
      </c>
    </row>
    <row r="206" spans="1:26" ht="30" customHeight="1" thickBot="1" x14ac:dyDescent="0.25">
      <c r="A206" s="17">
        <f t="shared" si="7"/>
        <v>205</v>
      </c>
      <c r="B206" s="18" t="s">
        <v>25</v>
      </c>
      <c r="C206" s="19">
        <v>3520403433969</v>
      </c>
      <c r="D206" s="19">
        <v>1768</v>
      </c>
      <c r="E206" s="20">
        <v>43913</v>
      </c>
      <c r="F206" s="20">
        <v>47565</v>
      </c>
      <c r="G206" s="21">
        <v>37223</v>
      </c>
      <c r="H206" s="22">
        <f t="shared" ca="1" si="6"/>
        <v>24</v>
      </c>
      <c r="I206" s="19" t="s">
        <v>26</v>
      </c>
      <c r="J206" s="18" t="s">
        <v>27</v>
      </c>
      <c r="K206" s="18"/>
      <c r="L206" s="23" t="s">
        <v>1003</v>
      </c>
      <c r="M206" s="23" t="s">
        <v>133</v>
      </c>
      <c r="N206" s="23" t="s">
        <v>457</v>
      </c>
      <c r="O206" s="18">
        <v>7</v>
      </c>
      <c r="P206" s="24"/>
      <c r="Q206" s="25">
        <v>45748</v>
      </c>
      <c r="R206" s="13">
        <v>0</v>
      </c>
      <c r="S206" s="26" t="str">
        <f>VLOOKUP(C206,'[1]Bazaar Salary'!$B$6:$J$1193,9,0)</f>
        <v>13860010139449000017</v>
      </c>
      <c r="T206" s="25" t="s">
        <v>32</v>
      </c>
      <c r="U206" s="25" t="s">
        <v>991</v>
      </c>
      <c r="V206" s="25" t="s">
        <v>320</v>
      </c>
      <c r="W206" s="27" t="s">
        <v>1004</v>
      </c>
      <c r="X206" s="28" t="s">
        <v>1005</v>
      </c>
      <c r="Y206" s="28"/>
      <c r="Z206" s="29" t="s">
        <v>37</v>
      </c>
    </row>
    <row r="207" spans="1:26" ht="30" customHeight="1" thickBot="1" x14ac:dyDescent="0.25">
      <c r="A207" s="17">
        <f t="shared" si="7"/>
        <v>206</v>
      </c>
      <c r="B207" s="18" t="s">
        <v>25</v>
      </c>
      <c r="C207" s="19">
        <v>3520276038885</v>
      </c>
      <c r="D207" s="19">
        <v>1847</v>
      </c>
      <c r="E207" s="20">
        <v>44933</v>
      </c>
      <c r="F207" s="20">
        <v>48586</v>
      </c>
      <c r="G207" s="21">
        <v>38348</v>
      </c>
      <c r="H207" s="22">
        <f t="shared" ca="1" si="6"/>
        <v>21</v>
      </c>
      <c r="I207" s="19" t="s">
        <v>26</v>
      </c>
      <c r="J207" s="18" t="s">
        <v>27</v>
      </c>
      <c r="K207" s="18"/>
      <c r="L207" s="23" t="s">
        <v>1006</v>
      </c>
      <c r="M207" s="23" t="s">
        <v>324</v>
      </c>
      <c r="N207" s="23" t="s">
        <v>457</v>
      </c>
      <c r="O207" s="18">
        <v>7</v>
      </c>
      <c r="P207" s="24"/>
      <c r="Q207" s="25">
        <v>45748</v>
      </c>
      <c r="R207" s="13">
        <v>0</v>
      </c>
      <c r="S207" s="26" t="str">
        <f>VLOOKUP(C207,'[1]Bazaar Salary'!$B$6:$J$1193,9,0)</f>
        <v>02880010142853920010</v>
      </c>
      <c r="T207" s="25" t="s">
        <v>32</v>
      </c>
      <c r="U207" s="25" t="s">
        <v>991</v>
      </c>
      <c r="V207" s="25" t="s">
        <v>320</v>
      </c>
      <c r="W207" s="27" t="s">
        <v>1007</v>
      </c>
      <c r="X207" s="28" t="s">
        <v>1008</v>
      </c>
      <c r="Y207" s="28"/>
      <c r="Z207" s="29" t="s">
        <v>37</v>
      </c>
    </row>
    <row r="208" spans="1:26" ht="30" customHeight="1" thickBot="1" x14ac:dyDescent="0.25">
      <c r="A208" s="17">
        <f t="shared" si="7"/>
        <v>207</v>
      </c>
      <c r="B208" s="18" t="s">
        <v>25</v>
      </c>
      <c r="C208" s="19">
        <v>3520283315345</v>
      </c>
      <c r="D208" s="19">
        <v>1739</v>
      </c>
      <c r="E208" s="20">
        <v>44668</v>
      </c>
      <c r="F208" s="20">
        <v>48331</v>
      </c>
      <c r="G208" s="21">
        <v>31967</v>
      </c>
      <c r="H208" s="22">
        <f t="shared" ca="1" si="6"/>
        <v>38</v>
      </c>
      <c r="I208" s="19" t="s">
        <v>26</v>
      </c>
      <c r="J208" s="18" t="s">
        <v>27</v>
      </c>
      <c r="K208" s="18"/>
      <c r="L208" s="23" t="s">
        <v>1009</v>
      </c>
      <c r="M208" s="23" t="s">
        <v>409</v>
      </c>
      <c r="N208" s="23" t="s">
        <v>457</v>
      </c>
      <c r="O208" s="18">
        <v>7</v>
      </c>
      <c r="P208" s="24"/>
      <c r="Q208" s="25">
        <v>45748</v>
      </c>
      <c r="R208" s="13">
        <v>0</v>
      </c>
      <c r="S208" s="26" t="str">
        <f>VLOOKUP(C208,'[1]Bazaar Salary'!$B$6:$J$1193,9,0)</f>
        <v>12630010090982510013</v>
      </c>
      <c r="T208" s="25" t="s">
        <v>32</v>
      </c>
      <c r="U208" s="25" t="s">
        <v>534</v>
      </c>
      <c r="V208" s="25" t="s">
        <v>1010</v>
      </c>
      <c r="W208" s="27" t="s">
        <v>1011</v>
      </c>
      <c r="X208" s="28" t="s">
        <v>1012</v>
      </c>
      <c r="Y208" s="28"/>
      <c r="Z208" s="29" t="s">
        <v>37</v>
      </c>
    </row>
    <row r="209" spans="1:26" ht="30" customHeight="1" thickBot="1" x14ac:dyDescent="0.25">
      <c r="A209" s="17">
        <f t="shared" si="7"/>
        <v>208</v>
      </c>
      <c r="B209" s="18" t="s">
        <v>25</v>
      </c>
      <c r="C209" s="19">
        <v>3130303989769</v>
      </c>
      <c r="D209" s="19">
        <v>1752</v>
      </c>
      <c r="E209" s="20">
        <v>44817</v>
      </c>
      <c r="F209" s="20">
        <v>48470</v>
      </c>
      <c r="G209" s="21">
        <v>37316</v>
      </c>
      <c r="H209" s="22">
        <f t="shared" ca="1" si="6"/>
        <v>24</v>
      </c>
      <c r="I209" s="19" t="s">
        <v>26</v>
      </c>
      <c r="J209" s="18" t="s">
        <v>27</v>
      </c>
      <c r="K209" s="18"/>
      <c r="L209" s="23" t="s">
        <v>1013</v>
      </c>
      <c r="M209" s="23" t="s">
        <v>1014</v>
      </c>
      <c r="N209" s="23" t="s">
        <v>457</v>
      </c>
      <c r="O209" s="18">
        <v>7</v>
      </c>
      <c r="P209" s="24"/>
      <c r="Q209" s="25">
        <v>45748</v>
      </c>
      <c r="R209" s="13">
        <v>0</v>
      </c>
      <c r="S209" s="26" t="str">
        <f>VLOOKUP(C209,'[1]Bazaar Salary'!$B$6:$J$1193,9,0)</f>
        <v>12700010139148160010</v>
      </c>
      <c r="T209" s="25" t="s">
        <v>32</v>
      </c>
      <c r="U209" s="25" t="s">
        <v>539</v>
      </c>
      <c r="V209" s="25" t="s">
        <v>1015</v>
      </c>
      <c r="W209" s="27" t="s">
        <v>1016</v>
      </c>
      <c r="X209" s="28" t="s">
        <v>1017</v>
      </c>
      <c r="Y209" s="28"/>
      <c r="Z209" s="29" t="s">
        <v>37</v>
      </c>
    </row>
    <row r="210" spans="1:26" ht="30" customHeight="1" thickBot="1" x14ac:dyDescent="0.25">
      <c r="A210" s="17">
        <f t="shared" si="7"/>
        <v>209</v>
      </c>
      <c r="B210" s="18" t="s">
        <v>25</v>
      </c>
      <c r="C210" s="19">
        <v>3520270735919</v>
      </c>
      <c r="D210" s="19">
        <v>1625</v>
      </c>
      <c r="E210" s="20">
        <v>44676</v>
      </c>
      <c r="F210" s="20">
        <v>48329</v>
      </c>
      <c r="G210" s="21">
        <v>35860</v>
      </c>
      <c r="H210" s="22">
        <f t="shared" ca="1" si="6"/>
        <v>28</v>
      </c>
      <c r="I210" s="19" t="s">
        <v>26</v>
      </c>
      <c r="J210" s="18" t="s">
        <v>27</v>
      </c>
      <c r="K210" s="18"/>
      <c r="L210" s="24" t="s">
        <v>1018</v>
      </c>
      <c r="M210" s="23" t="s">
        <v>1019</v>
      </c>
      <c r="N210" s="24" t="s">
        <v>457</v>
      </c>
      <c r="O210" s="18">
        <v>7</v>
      </c>
      <c r="P210" s="24"/>
      <c r="Q210" s="25">
        <v>45748</v>
      </c>
      <c r="R210" s="13">
        <v>0</v>
      </c>
      <c r="S210" s="26" t="str">
        <f>VLOOKUP(C210,'[1]Bazaar Salary'!$B$6:$J$1193,9,0)</f>
        <v>04730010115715770011</v>
      </c>
      <c r="T210" s="25" t="s">
        <v>32</v>
      </c>
      <c r="U210" s="25" t="s">
        <v>1020</v>
      </c>
      <c r="V210" s="25" t="s">
        <v>320</v>
      </c>
      <c r="W210" s="27" t="s">
        <v>1021</v>
      </c>
      <c r="X210" s="28" t="s">
        <v>1022</v>
      </c>
      <c r="Y210" s="28"/>
      <c r="Z210" s="29" t="s">
        <v>37</v>
      </c>
    </row>
    <row r="211" spans="1:26" ht="30" customHeight="1" thickBot="1" x14ac:dyDescent="0.25">
      <c r="A211" s="17">
        <f t="shared" si="7"/>
        <v>210</v>
      </c>
      <c r="B211" s="18" t="s">
        <v>25</v>
      </c>
      <c r="C211" s="19">
        <v>3520290494201</v>
      </c>
      <c r="D211" s="19">
        <v>158</v>
      </c>
      <c r="E211" s="20">
        <v>45056</v>
      </c>
      <c r="F211" s="20">
        <v>48709</v>
      </c>
      <c r="G211" s="21">
        <v>34205</v>
      </c>
      <c r="H211" s="22">
        <f t="shared" ca="1" si="6"/>
        <v>32</v>
      </c>
      <c r="I211" s="19" t="s">
        <v>26</v>
      </c>
      <c r="J211" s="18" t="s">
        <v>27</v>
      </c>
      <c r="K211" s="18"/>
      <c r="L211" s="23" t="s">
        <v>1023</v>
      </c>
      <c r="M211" s="23" t="s">
        <v>1024</v>
      </c>
      <c r="N211" s="24" t="s">
        <v>457</v>
      </c>
      <c r="O211" s="18">
        <v>7</v>
      </c>
      <c r="P211" s="24"/>
      <c r="Q211" s="25">
        <v>42953</v>
      </c>
      <c r="R211" s="13">
        <v>0</v>
      </c>
      <c r="S211" s="26" t="str">
        <f>VLOOKUP(C211,'[1]Bazaar Salary'!$B$6:$J$1193,9,0)</f>
        <v>02880010046402500013</v>
      </c>
      <c r="T211" s="25" t="s">
        <v>32</v>
      </c>
      <c r="U211" s="25" t="s">
        <v>286</v>
      </c>
      <c r="V211" s="25" t="s">
        <v>320</v>
      </c>
      <c r="W211" s="27" t="s">
        <v>1025</v>
      </c>
      <c r="X211" s="28" t="s">
        <v>1026</v>
      </c>
      <c r="Y211" s="28"/>
      <c r="Z211" s="29" t="s">
        <v>37</v>
      </c>
    </row>
    <row r="212" spans="1:26" ht="30" customHeight="1" thickBot="1" x14ac:dyDescent="0.25">
      <c r="A212" s="17">
        <f t="shared" si="7"/>
        <v>211</v>
      </c>
      <c r="B212" s="18" t="s">
        <v>25</v>
      </c>
      <c r="C212" s="19">
        <v>3210293919685</v>
      </c>
      <c r="D212" s="19">
        <v>1536</v>
      </c>
      <c r="E212" s="20">
        <v>44925</v>
      </c>
      <c r="F212" s="20">
        <v>48578</v>
      </c>
      <c r="G212" s="21">
        <v>38019</v>
      </c>
      <c r="H212" s="22">
        <f t="shared" ca="1" si="6"/>
        <v>22</v>
      </c>
      <c r="I212" s="19" t="s">
        <v>26</v>
      </c>
      <c r="J212" s="18" t="s">
        <v>27</v>
      </c>
      <c r="K212" s="18"/>
      <c r="L212" s="23" t="s">
        <v>1027</v>
      </c>
      <c r="M212" s="23" t="s">
        <v>1028</v>
      </c>
      <c r="N212" s="23" t="s">
        <v>457</v>
      </c>
      <c r="O212" s="18">
        <v>7</v>
      </c>
      <c r="P212" s="24"/>
      <c r="Q212" s="25">
        <v>45748</v>
      </c>
      <c r="R212" s="13">
        <v>0</v>
      </c>
      <c r="S212" s="26" t="str">
        <f>VLOOKUP(C212,'[1]Bazaar Salary'!$B$6:$J$1193,9,0)</f>
        <v>00720010117465790018</v>
      </c>
      <c r="T212" s="25" t="s">
        <v>32</v>
      </c>
      <c r="U212" s="25" t="s">
        <v>298</v>
      </c>
      <c r="V212" s="25" t="s">
        <v>320</v>
      </c>
      <c r="W212" s="27" t="s">
        <v>1029</v>
      </c>
      <c r="X212" s="28" t="s">
        <v>1030</v>
      </c>
      <c r="Y212" s="28"/>
      <c r="Z212" s="29" t="s">
        <v>37</v>
      </c>
    </row>
    <row r="213" spans="1:26" ht="30" customHeight="1" thickBot="1" x14ac:dyDescent="0.25">
      <c r="A213" s="17">
        <f t="shared" si="7"/>
        <v>212</v>
      </c>
      <c r="B213" s="18" t="s">
        <v>25</v>
      </c>
      <c r="C213" s="19">
        <v>3210170185357</v>
      </c>
      <c r="D213" s="19">
        <v>1213</v>
      </c>
      <c r="E213" s="20">
        <v>43805</v>
      </c>
      <c r="F213" s="20">
        <v>47458</v>
      </c>
      <c r="G213" s="21">
        <v>35522</v>
      </c>
      <c r="H213" s="22">
        <f t="shared" ca="1" si="6"/>
        <v>29</v>
      </c>
      <c r="I213" s="19" t="s">
        <v>26</v>
      </c>
      <c r="J213" s="18" t="s">
        <v>27</v>
      </c>
      <c r="K213" s="18"/>
      <c r="L213" s="23" t="s">
        <v>1031</v>
      </c>
      <c r="M213" s="23" t="s">
        <v>1032</v>
      </c>
      <c r="N213" s="23" t="s">
        <v>457</v>
      </c>
      <c r="O213" s="18">
        <v>7</v>
      </c>
      <c r="P213" s="24"/>
      <c r="Q213" s="25">
        <v>44317</v>
      </c>
      <c r="R213" s="13">
        <v>0</v>
      </c>
      <c r="S213" s="26" t="str">
        <f>VLOOKUP(C213,'[1]Bazaar Salary'!$B$6:$J$1193,9,0)</f>
        <v>00720010073942090010</v>
      </c>
      <c r="T213" s="25" t="s">
        <v>32</v>
      </c>
      <c r="U213" s="25" t="s">
        <v>298</v>
      </c>
      <c r="V213" s="25" t="s">
        <v>320</v>
      </c>
      <c r="W213" s="27" t="s">
        <v>1033</v>
      </c>
      <c r="X213" s="28" t="s">
        <v>1034</v>
      </c>
      <c r="Y213" s="28"/>
      <c r="Z213" s="29" t="s">
        <v>37</v>
      </c>
    </row>
    <row r="214" spans="1:26" ht="30" customHeight="1" thickBot="1" x14ac:dyDescent="0.25">
      <c r="A214" s="17">
        <f t="shared" si="7"/>
        <v>213</v>
      </c>
      <c r="B214" s="18" t="s">
        <v>25</v>
      </c>
      <c r="C214" s="19">
        <v>3510269174189</v>
      </c>
      <c r="D214" s="19">
        <v>1862</v>
      </c>
      <c r="E214" s="20">
        <v>44359</v>
      </c>
      <c r="F214" s="20">
        <v>48011</v>
      </c>
      <c r="G214" s="21">
        <v>30510</v>
      </c>
      <c r="H214" s="22">
        <f t="shared" ca="1" si="6"/>
        <v>42</v>
      </c>
      <c r="I214" s="19" t="s">
        <v>26</v>
      </c>
      <c r="J214" s="18" t="s">
        <v>27</v>
      </c>
      <c r="K214" s="18"/>
      <c r="L214" s="23" t="s">
        <v>1035</v>
      </c>
      <c r="M214" s="23" t="s">
        <v>1036</v>
      </c>
      <c r="N214" s="23" t="s">
        <v>457</v>
      </c>
      <c r="O214" s="18">
        <v>7</v>
      </c>
      <c r="P214" s="24"/>
      <c r="Q214" s="25">
        <v>45748</v>
      </c>
      <c r="R214" s="13">
        <v>0</v>
      </c>
      <c r="S214" s="26" t="str">
        <f>VLOOKUP(C214,'[1]Bazaar Salary'!$B$6:$J$1193,9,0)</f>
        <v>13620010111840240018</v>
      </c>
      <c r="T214" s="25" t="s">
        <v>32</v>
      </c>
      <c r="U214" s="25" t="s">
        <v>298</v>
      </c>
      <c r="V214" s="25" t="s">
        <v>320</v>
      </c>
      <c r="W214" s="27" t="s">
        <v>1037</v>
      </c>
      <c r="X214" s="28" t="s">
        <v>1038</v>
      </c>
      <c r="Y214" s="28"/>
      <c r="Z214" s="29" t="s">
        <v>37</v>
      </c>
    </row>
    <row r="215" spans="1:26" ht="30" customHeight="1" thickBot="1" x14ac:dyDescent="0.25">
      <c r="A215" s="17">
        <f t="shared" si="7"/>
        <v>214</v>
      </c>
      <c r="B215" s="18" t="s">
        <v>25</v>
      </c>
      <c r="C215" s="19">
        <v>3540415626073</v>
      </c>
      <c r="D215" s="19">
        <v>1437</v>
      </c>
      <c r="E215" s="20">
        <v>43568</v>
      </c>
      <c r="F215" s="20">
        <v>47221</v>
      </c>
      <c r="G215" s="21">
        <v>29649</v>
      </c>
      <c r="H215" s="22">
        <f t="shared" ca="1" si="6"/>
        <v>45</v>
      </c>
      <c r="I215" s="19" t="s">
        <v>26</v>
      </c>
      <c r="J215" s="18" t="s">
        <v>27</v>
      </c>
      <c r="K215" s="18"/>
      <c r="L215" s="23" t="s">
        <v>1039</v>
      </c>
      <c r="M215" s="23" t="s">
        <v>1040</v>
      </c>
      <c r="N215" s="24" t="s">
        <v>457</v>
      </c>
      <c r="O215" s="18">
        <v>7</v>
      </c>
      <c r="P215" s="24"/>
      <c r="Q215" s="25">
        <v>45292</v>
      </c>
      <c r="R215" s="13">
        <v>0</v>
      </c>
      <c r="S215" s="26" t="str">
        <f>VLOOKUP(C215,'[1]Bazaar Salary'!$B$6:$J$1193,9,0)</f>
        <v>52030020100587840010</v>
      </c>
      <c r="T215" s="25" t="s">
        <v>32</v>
      </c>
      <c r="U215" s="25" t="s">
        <v>1041</v>
      </c>
      <c r="V215" s="25" t="s">
        <v>1042</v>
      </c>
      <c r="W215" s="27" t="s">
        <v>1043</v>
      </c>
      <c r="X215" s="28" t="s">
        <v>1044</v>
      </c>
      <c r="Y215" s="28"/>
      <c r="Z215" s="29" t="s">
        <v>37</v>
      </c>
    </row>
    <row r="216" spans="1:26" ht="30" customHeight="1" thickBot="1" x14ac:dyDescent="0.25">
      <c r="A216" s="17">
        <f t="shared" si="7"/>
        <v>215</v>
      </c>
      <c r="B216" s="18" t="s">
        <v>25</v>
      </c>
      <c r="C216" s="19">
        <v>3410103736049</v>
      </c>
      <c r="D216" s="19">
        <v>1632</v>
      </c>
      <c r="E216" s="20">
        <v>43677</v>
      </c>
      <c r="F216" s="20">
        <v>47330</v>
      </c>
      <c r="G216" s="21">
        <v>36800</v>
      </c>
      <c r="H216" s="22">
        <f t="shared" ca="1" si="6"/>
        <v>25</v>
      </c>
      <c r="I216" s="19" t="s">
        <v>26</v>
      </c>
      <c r="J216" s="18" t="s">
        <v>27</v>
      </c>
      <c r="K216" s="18"/>
      <c r="L216" s="23" t="s">
        <v>1045</v>
      </c>
      <c r="M216" s="23" t="s">
        <v>1046</v>
      </c>
      <c r="N216" s="24" t="s">
        <v>457</v>
      </c>
      <c r="O216" s="18">
        <v>7</v>
      </c>
      <c r="P216" s="24"/>
      <c r="Q216" s="25">
        <v>45748</v>
      </c>
      <c r="R216" s="13">
        <v>0</v>
      </c>
      <c r="S216" s="26" t="str">
        <f>VLOOKUP(C216,'[1]Bazaar Salary'!$B$6:$J$1193,9,0)</f>
        <v>07300010132326870017</v>
      </c>
      <c r="T216" s="25" t="s">
        <v>32</v>
      </c>
      <c r="U216" s="25" t="s">
        <v>159</v>
      </c>
      <c r="V216" s="25" t="s">
        <v>1047</v>
      </c>
      <c r="W216" s="27" t="s">
        <v>1048</v>
      </c>
      <c r="X216" s="28" t="s">
        <v>1049</v>
      </c>
      <c r="Y216" s="28"/>
      <c r="Z216" s="29" t="s">
        <v>37</v>
      </c>
    </row>
    <row r="217" spans="1:26" ht="30" customHeight="1" thickBot="1" x14ac:dyDescent="0.25">
      <c r="A217" s="17">
        <f t="shared" si="7"/>
        <v>216</v>
      </c>
      <c r="B217" s="18" t="s">
        <v>25</v>
      </c>
      <c r="C217" s="19">
        <v>3520218965289</v>
      </c>
      <c r="D217" s="19">
        <v>1842</v>
      </c>
      <c r="E217" s="20">
        <v>43889</v>
      </c>
      <c r="F217" s="20">
        <v>47542</v>
      </c>
      <c r="G217" s="21">
        <v>37233</v>
      </c>
      <c r="H217" s="22">
        <f t="shared" ca="1" si="6"/>
        <v>24</v>
      </c>
      <c r="I217" s="19" t="s">
        <v>26</v>
      </c>
      <c r="J217" s="18" t="s">
        <v>27</v>
      </c>
      <c r="K217" s="18"/>
      <c r="L217" s="23" t="s">
        <v>1050</v>
      </c>
      <c r="M217" s="23" t="s">
        <v>1051</v>
      </c>
      <c r="N217" s="23" t="s">
        <v>457</v>
      </c>
      <c r="O217" s="18">
        <v>7</v>
      </c>
      <c r="P217" s="24"/>
      <c r="Q217" s="25">
        <v>45748</v>
      </c>
      <c r="R217" s="13">
        <v>0</v>
      </c>
      <c r="S217" s="26" t="str">
        <f>VLOOKUP(C217,'[1]Bazaar Salary'!$B$6:$J$1193,9,0)</f>
        <v>06850010142887680010</v>
      </c>
      <c r="T217" s="25" t="s">
        <v>32</v>
      </c>
      <c r="U217" s="25" t="s">
        <v>583</v>
      </c>
      <c r="V217" s="25" t="s">
        <v>320</v>
      </c>
      <c r="W217" s="27" t="s">
        <v>1052</v>
      </c>
      <c r="X217" s="28" t="s">
        <v>1053</v>
      </c>
      <c r="Y217" s="28"/>
      <c r="Z217" s="29" t="s">
        <v>37</v>
      </c>
    </row>
    <row r="218" spans="1:26" ht="30" customHeight="1" thickBot="1" x14ac:dyDescent="0.25">
      <c r="A218" s="17">
        <f t="shared" si="7"/>
        <v>217</v>
      </c>
      <c r="B218" s="18" t="s">
        <v>25</v>
      </c>
      <c r="C218" s="19">
        <v>3520157085097</v>
      </c>
      <c r="D218" s="19">
        <v>1867</v>
      </c>
      <c r="E218" s="20">
        <v>45016</v>
      </c>
      <c r="F218" s="20">
        <v>48669</v>
      </c>
      <c r="G218" s="21">
        <v>32274</v>
      </c>
      <c r="H218" s="22">
        <f t="shared" ca="1" si="6"/>
        <v>38</v>
      </c>
      <c r="I218" s="19" t="s">
        <v>26</v>
      </c>
      <c r="J218" s="18" t="s">
        <v>27</v>
      </c>
      <c r="K218" s="18"/>
      <c r="L218" s="23" t="s">
        <v>1054</v>
      </c>
      <c r="M218" s="23" t="s">
        <v>127</v>
      </c>
      <c r="N218" s="23" t="s">
        <v>457</v>
      </c>
      <c r="O218" s="18">
        <v>7</v>
      </c>
      <c r="P218" s="24"/>
      <c r="Q218" s="25">
        <v>45748</v>
      </c>
      <c r="R218" s="13">
        <v>0</v>
      </c>
      <c r="S218" s="26" t="str">
        <f>VLOOKUP(C218,'[1]Bazaar Salary'!$B$6:$J$1193,9,0)</f>
        <v>09410010144778930016</v>
      </c>
      <c r="T218" s="25" t="s">
        <v>32</v>
      </c>
      <c r="U218" s="25" t="s">
        <v>583</v>
      </c>
      <c r="V218" s="25" t="s">
        <v>320</v>
      </c>
      <c r="W218" s="27" t="s">
        <v>1055</v>
      </c>
      <c r="X218" s="28" t="s">
        <v>1056</v>
      </c>
      <c r="Y218" s="28"/>
      <c r="Z218" s="29" t="s">
        <v>37</v>
      </c>
    </row>
    <row r="219" spans="1:26" ht="30" customHeight="1" thickBot="1" x14ac:dyDescent="0.25">
      <c r="A219" s="17">
        <f t="shared" si="7"/>
        <v>218</v>
      </c>
      <c r="B219" s="18" t="s">
        <v>25</v>
      </c>
      <c r="C219" s="19">
        <v>3520503523469</v>
      </c>
      <c r="D219" s="19">
        <v>1720</v>
      </c>
      <c r="E219" s="20">
        <v>44642</v>
      </c>
      <c r="F219" s="20">
        <v>48295</v>
      </c>
      <c r="G219" s="21">
        <v>38040</v>
      </c>
      <c r="H219" s="22">
        <f t="shared" ca="1" si="6"/>
        <v>22</v>
      </c>
      <c r="I219" s="19" t="s">
        <v>26</v>
      </c>
      <c r="J219" s="18" t="s">
        <v>27</v>
      </c>
      <c r="K219" s="18"/>
      <c r="L219" s="23" t="s">
        <v>1057</v>
      </c>
      <c r="M219" s="23" t="s">
        <v>1058</v>
      </c>
      <c r="N219" s="24" t="s">
        <v>457</v>
      </c>
      <c r="O219" s="18">
        <v>7</v>
      </c>
      <c r="P219" s="24"/>
      <c r="Q219" s="25">
        <v>45748</v>
      </c>
      <c r="R219" s="13">
        <v>0</v>
      </c>
      <c r="S219" s="26" t="str">
        <f>VLOOKUP(C219,'[1]Bazaar Salary'!$B$6:$J$1193,9,0)</f>
        <v>01260010138301080017</v>
      </c>
      <c r="T219" s="25" t="s">
        <v>32</v>
      </c>
      <c r="U219" s="25" t="s">
        <v>309</v>
      </c>
      <c r="V219" s="25" t="s">
        <v>320</v>
      </c>
      <c r="W219" s="27" t="s">
        <v>1059</v>
      </c>
      <c r="X219" s="28" t="s">
        <v>1060</v>
      </c>
      <c r="Y219" s="28"/>
      <c r="Z219" s="29" t="s">
        <v>37</v>
      </c>
    </row>
    <row r="220" spans="1:26" ht="30" customHeight="1" thickBot="1" x14ac:dyDescent="0.25">
      <c r="A220" s="17">
        <f t="shared" si="7"/>
        <v>219</v>
      </c>
      <c r="B220" s="18" t="s">
        <v>25</v>
      </c>
      <c r="C220" s="19">
        <v>3520182963623</v>
      </c>
      <c r="D220" s="19">
        <v>136</v>
      </c>
      <c r="E220" s="20">
        <v>43866</v>
      </c>
      <c r="F220" s="20">
        <v>47519</v>
      </c>
      <c r="G220" s="21">
        <v>34518</v>
      </c>
      <c r="H220" s="22">
        <f t="shared" ca="1" si="6"/>
        <v>31</v>
      </c>
      <c r="I220" s="19" t="s">
        <v>26</v>
      </c>
      <c r="J220" s="18" t="s">
        <v>27</v>
      </c>
      <c r="K220" s="18"/>
      <c r="L220" s="24" t="s">
        <v>1061</v>
      </c>
      <c r="M220" s="23" t="s">
        <v>1062</v>
      </c>
      <c r="N220" s="24" t="s">
        <v>457</v>
      </c>
      <c r="O220" s="18">
        <v>7</v>
      </c>
      <c r="P220" s="24"/>
      <c r="Q220" s="25">
        <v>42512</v>
      </c>
      <c r="R220" s="13">
        <v>0</v>
      </c>
      <c r="S220" s="26" t="str">
        <f>VLOOKUP(C220,'[1]Bazaar Salary'!$B$6:$J$1193,9,0)</f>
        <v>01260010045909920010</v>
      </c>
      <c r="T220" s="25" t="s">
        <v>32</v>
      </c>
      <c r="U220" s="25" t="s">
        <v>309</v>
      </c>
      <c r="V220" s="25" t="s">
        <v>320</v>
      </c>
      <c r="W220" s="27" t="s">
        <v>1063</v>
      </c>
      <c r="X220" s="28" t="s">
        <v>1064</v>
      </c>
      <c r="Y220" s="28"/>
      <c r="Z220" s="29" t="s">
        <v>37</v>
      </c>
    </row>
    <row r="221" spans="1:26" ht="30" customHeight="1" thickBot="1" x14ac:dyDescent="0.25">
      <c r="A221" s="17">
        <f t="shared" si="7"/>
        <v>220</v>
      </c>
      <c r="B221" s="18" t="s">
        <v>25</v>
      </c>
      <c r="C221" s="19">
        <v>3610222457351</v>
      </c>
      <c r="D221" s="19">
        <v>1706</v>
      </c>
      <c r="E221" s="20">
        <v>45729</v>
      </c>
      <c r="F221" s="20">
        <v>49381</v>
      </c>
      <c r="G221" s="21">
        <v>35158</v>
      </c>
      <c r="H221" s="22">
        <f t="shared" ca="1" si="6"/>
        <v>30</v>
      </c>
      <c r="I221" s="19" t="s">
        <v>26</v>
      </c>
      <c r="J221" s="18" t="s">
        <v>27</v>
      </c>
      <c r="K221" s="18"/>
      <c r="L221" s="23" t="s">
        <v>1065</v>
      </c>
      <c r="M221" s="23" t="s">
        <v>1066</v>
      </c>
      <c r="N221" s="23" t="s">
        <v>1067</v>
      </c>
      <c r="O221" s="18">
        <v>7</v>
      </c>
      <c r="P221" s="24" t="s">
        <v>109</v>
      </c>
      <c r="Q221" s="25">
        <v>45748</v>
      </c>
      <c r="R221" s="13">
        <v>0</v>
      </c>
      <c r="S221" s="26" t="str">
        <f>VLOOKUP(C221,'[1]Bazaar Salary'!$B$6:$J$1193,9,0)</f>
        <v>06970010090769680015</v>
      </c>
      <c r="T221" s="25" t="s">
        <v>32</v>
      </c>
      <c r="U221" s="25" t="s">
        <v>33</v>
      </c>
      <c r="V221" s="25" t="s">
        <v>1047</v>
      </c>
      <c r="W221" s="27" t="s">
        <v>1068</v>
      </c>
      <c r="X221" s="28" t="s">
        <v>1069</v>
      </c>
      <c r="Y221" s="28" t="str">
        <f>VLOOKUP(C221,[2]Final!$J$2:$T$175,11,0)</f>
        <v>haideralihaider7868@gmail.com</v>
      </c>
      <c r="Z221" s="29" t="s">
        <v>37</v>
      </c>
    </row>
    <row r="222" spans="1:26" ht="30" customHeight="1" thickBot="1" x14ac:dyDescent="0.25">
      <c r="A222" s="17">
        <f t="shared" si="7"/>
        <v>221</v>
      </c>
      <c r="B222" s="18" t="s">
        <v>25</v>
      </c>
      <c r="C222" s="19">
        <v>3540436842517</v>
      </c>
      <c r="D222" s="19">
        <v>1221</v>
      </c>
      <c r="E222" s="20">
        <v>46105</v>
      </c>
      <c r="F222" s="20">
        <v>48802</v>
      </c>
      <c r="G222" s="21">
        <v>35979</v>
      </c>
      <c r="H222" s="22">
        <f t="shared" ca="1" si="6"/>
        <v>27</v>
      </c>
      <c r="I222" s="19" t="s">
        <v>26</v>
      </c>
      <c r="J222" s="18" t="s">
        <v>27</v>
      </c>
      <c r="K222" s="18"/>
      <c r="L222" s="23" t="s">
        <v>1070</v>
      </c>
      <c r="M222" s="23" t="s">
        <v>1071</v>
      </c>
      <c r="N222" s="23" t="s">
        <v>1067</v>
      </c>
      <c r="O222" s="18">
        <v>7</v>
      </c>
      <c r="P222" s="24" t="s">
        <v>109</v>
      </c>
      <c r="Q222" s="25">
        <v>44317</v>
      </c>
      <c r="R222" s="13">
        <v>0</v>
      </c>
      <c r="S222" s="26" t="str">
        <f>VLOOKUP(C222,'[1]Bazaar Salary'!$B$6:$J$1193,9,0)</f>
        <v>07300010076509760011</v>
      </c>
      <c r="T222" s="25" t="s">
        <v>32</v>
      </c>
      <c r="U222" s="25" t="s">
        <v>33</v>
      </c>
      <c r="V222" s="25" t="s">
        <v>1047</v>
      </c>
      <c r="W222" s="27" t="s">
        <v>1072</v>
      </c>
      <c r="X222" s="28" t="s">
        <v>1073</v>
      </c>
      <c r="Y222" s="28" t="str">
        <f>VLOOKUP(C222,[2]Final!$J$2:$T$175,11,0)</f>
        <v>alizar2513@gmail.com</v>
      </c>
      <c r="Z222" s="29" t="s">
        <v>37</v>
      </c>
    </row>
    <row r="223" spans="1:26" ht="30" customHeight="1" thickBot="1" x14ac:dyDescent="0.25">
      <c r="A223" s="17">
        <f t="shared" si="7"/>
        <v>222</v>
      </c>
      <c r="B223" s="18" t="s">
        <v>25</v>
      </c>
      <c r="C223" s="19">
        <v>3520267206256</v>
      </c>
      <c r="D223" s="19">
        <v>1719</v>
      </c>
      <c r="E223" s="20">
        <v>44956</v>
      </c>
      <c r="F223" s="20">
        <v>48609</v>
      </c>
      <c r="G223" s="21">
        <v>36188</v>
      </c>
      <c r="H223" s="22">
        <f t="shared" ca="1" si="6"/>
        <v>27</v>
      </c>
      <c r="I223" s="19" t="s">
        <v>26</v>
      </c>
      <c r="J223" s="18" t="s">
        <v>66</v>
      </c>
      <c r="K223" s="18"/>
      <c r="L223" s="23" t="s">
        <v>1074</v>
      </c>
      <c r="M223" s="23" t="s">
        <v>1075</v>
      </c>
      <c r="N223" s="23" t="s">
        <v>947</v>
      </c>
      <c r="O223" s="18">
        <v>7</v>
      </c>
      <c r="P223" s="24" t="s">
        <v>487</v>
      </c>
      <c r="Q223" s="25">
        <v>45748</v>
      </c>
      <c r="R223" s="13">
        <v>0</v>
      </c>
      <c r="S223" s="26" t="str">
        <f>VLOOKUP(C223,'[1]Bazaar Salary'!$B$6:$J$1193,9,0)</f>
        <v>05400010134609250017</v>
      </c>
      <c r="T223" s="25" t="s">
        <v>32</v>
      </c>
      <c r="U223" s="25" t="s">
        <v>33</v>
      </c>
      <c r="V223" s="25" t="s">
        <v>320</v>
      </c>
      <c r="W223" s="27" t="s">
        <v>1076</v>
      </c>
      <c r="X223" s="28" t="s">
        <v>1077</v>
      </c>
      <c r="Y223" s="28" t="str">
        <f>VLOOKUP(C223,[2]Final!$J$2:$T$175,11,0)</f>
        <v>iqraamir3550@gmail.com</v>
      </c>
      <c r="Z223" s="29" t="s">
        <v>37</v>
      </c>
    </row>
    <row r="224" spans="1:26" ht="30" customHeight="1" thickBot="1" x14ac:dyDescent="0.25">
      <c r="A224" s="17">
        <f t="shared" si="7"/>
        <v>223</v>
      </c>
      <c r="B224" s="18" t="s">
        <v>25</v>
      </c>
      <c r="C224" s="19">
        <v>3520242510771</v>
      </c>
      <c r="D224" s="19">
        <v>1846</v>
      </c>
      <c r="E224" s="20">
        <v>45925</v>
      </c>
      <c r="F224" s="20">
        <v>49367</v>
      </c>
      <c r="G224" s="21">
        <v>37106</v>
      </c>
      <c r="H224" s="22">
        <f t="shared" ca="1" si="6"/>
        <v>24</v>
      </c>
      <c r="I224" s="19" t="s">
        <v>26</v>
      </c>
      <c r="J224" s="18" t="s">
        <v>27</v>
      </c>
      <c r="K224" s="18"/>
      <c r="L224" s="23" t="s">
        <v>1078</v>
      </c>
      <c r="M224" s="23" t="s">
        <v>280</v>
      </c>
      <c r="N224" s="23" t="s">
        <v>947</v>
      </c>
      <c r="O224" s="18">
        <v>7</v>
      </c>
      <c r="P224" s="24" t="s">
        <v>55</v>
      </c>
      <c r="Q224" s="25">
        <v>45748</v>
      </c>
      <c r="R224" s="13">
        <v>0</v>
      </c>
      <c r="S224" s="26" t="str">
        <f>VLOOKUP(C224,'[1]Bazaar Salary'!$B$6:$J$1193,9,0)</f>
        <v>09410010142854850010</v>
      </c>
      <c r="T224" s="25" t="s">
        <v>32</v>
      </c>
      <c r="U224" s="25" t="s">
        <v>33</v>
      </c>
      <c r="V224" s="25" t="s">
        <v>320</v>
      </c>
      <c r="W224" s="27" t="s">
        <v>1079</v>
      </c>
      <c r="X224" s="28" t="s">
        <v>1080</v>
      </c>
      <c r="Y224" s="28" t="str">
        <f>VLOOKUP(C224,[2]Final!$J$2:$T$175,11,0)</f>
        <v>mudassirmahmood1614@gmail.com</v>
      </c>
      <c r="Z224" s="29" t="s">
        <v>37</v>
      </c>
    </row>
    <row r="225" spans="1:26" ht="30" customHeight="1" thickBot="1" x14ac:dyDescent="0.25">
      <c r="A225" s="17">
        <f t="shared" si="7"/>
        <v>224</v>
      </c>
      <c r="B225" s="18" t="s">
        <v>25</v>
      </c>
      <c r="C225" s="19">
        <v>3520156786955</v>
      </c>
      <c r="D225" s="19">
        <v>1602</v>
      </c>
      <c r="E225" s="20">
        <v>43202</v>
      </c>
      <c r="F225" s="20">
        <v>46855</v>
      </c>
      <c r="G225" s="21">
        <v>36603</v>
      </c>
      <c r="H225" s="22">
        <f t="shared" ca="1" si="6"/>
        <v>26</v>
      </c>
      <c r="I225" s="19" t="s">
        <v>26</v>
      </c>
      <c r="J225" s="18" t="s">
        <v>27</v>
      </c>
      <c r="K225" s="18"/>
      <c r="L225" s="23" t="s">
        <v>1081</v>
      </c>
      <c r="M225" s="23" t="s">
        <v>1082</v>
      </c>
      <c r="N225" s="23" t="s">
        <v>947</v>
      </c>
      <c r="O225" s="18">
        <v>7</v>
      </c>
      <c r="P225" s="24" t="s">
        <v>102</v>
      </c>
      <c r="Q225" s="25">
        <v>45748</v>
      </c>
      <c r="R225" s="13">
        <v>0</v>
      </c>
      <c r="S225" s="26" t="str">
        <f>VLOOKUP(C225,'[1]Bazaar Salary'!$B$6:$J$1193,9,0)</f>
        <v>02880010130028170010</v>
      </c>
      <c r="T225" s="25" t="s">
        <v>32</v>
      </c>
      <c r="U225" s="25" t="s">
        <v>33</v>
      </c>
      <c r="V225" s="25" t="s">
        <v>320</v>
      </c>
      <c r="W225" s="27" t="s">
        <v>1083</v>
      </c>
      <c r="X225" s="28" t="s">
        <v>1084</v>
      </c>
      <c r="Y225" s="28" t="str">
        <f>VLOOKUP(C225,[2]Final!$J$2:$T$175,11,0)</f>
        <v>qazimuneeb04@gmail.com</v>
      </c>
      <c r="Z225" s="29" t="s">
        <v>37</v>
      </c>
    </row>
    <row r="226" spans="1:26" ht="30" customHeight="1" thickBot="1" x14ac:dyDescent="0.25">
      <c r="A226" s="17">
        <f t="shared" si="7"/>
        <v>225</v>
      </c>
      <c r="B226" s="18" t="s">
        <v>25</v>
      </c>
      <c r="C226" s="19">
        <v>3520258707499</v>
      </c>
      <c r="D226" s="19">
        <v>391</v>
      </c>
      <c r="E226" s="20">
        <v>43514</v>
      </c>
      <c r="F226" s="20">
        <v>47167</v>
      </c>
      <c r="G226" s="21">
        <v>31883</v>
      </c>
      <c r="H226" s="22">
        <f t="shared" ca="1" si="6"/>
        <v>39</v>
      </c>
      <c r="I226" s="19" t="s">
        <v>26</v>
      </c>
      <c r="J226" s="18" t="s">
        <v>27</v>
      </c>
      <c r="K226" s="18"/>
      <c r="L226" s="23" t="s">
        <v>1085</v>
      </c>
      <c r="M226" s="23" t="s">
        <v>776</v>
      </c>
      <c r="N226" s="23" t="s">
        <v>947</v>
      </c>
      <c r="O226" s="18">
        <v>7</v>
      </c>
      <c r="P226" s="24" t="s">
        <v>620</v>
      </c>
      <c r="Q226" s="25">
        <v>41978</v>
      </c>
      <c r="R226" s="13">
        <v>0</v>
      </c>
      <c r="S226" s="26" t="str">
        <f>VLOOKUP(C226,'[1]Bazaar Salary'!$B$6:$J$1193,9,0)</f>
        <v>01530010045879810016</v>
      </c>
      <c r="T226" s="25" t="s">
        <v>32</v>
      </c>
      <c r="U226" s="25" t="s">
        <v>33</v>
      </c>
      <c r="V226" s="25" t="s">
        <v>320</v>
      </c>
      <c r="W226" s="27" t="s">
        <v>1086</v>
      </c>
      <c r="X226" s="28" t="s">
        <v>1087</v>
      </c>
      <c r="Y226" s="28" t="str">
        <f>VLOOKUP(C226,[2]Final!$J$2:$T$175,11,0)</f>
        <v>shahzad510@gmail.com</v>
      </c>
      <c r="Z226" s="29" t="s">
        <v>37</v>
      </c>
    </row>
    <row r="227" spans="1:26" ht="30" customHeight="1" thickBot="1" x14ac:dyDescent="0.25">
      <c r="A227" s="17">
        <f t="shared" si="7"/>
        <v>226</v>
      </c>
      <c r="B227" s="18" t="s">
        <v>25</v>
      </c>
      <c r="C227" s="19">
        <v>3220320690559</v>
      </c>
      <c r="D227" s="19">
        <v>1654</v>
      </c>
      <c r="E227" s="20">
        <v>45718</v>
      </c>
      <c r="F227" s="21">
        <v>48613</v>
      </c>
      <c r="G227" s="21">
        <v>37430</v>
      </c>
      <c r="H227" s="22">
        <f t="shared" ca="1" si="6"/>
        <v>23</v>
      </c>
      <c r="I227" s="18" t="s">
        <v>912</v>
      </c>
      <c r="J227" s="18" t="s">
        <v>27</v>
      </c>
      <c r="K227" s="23"/>
      <c r="L227" s="24" t="s">
        <v>1088</v>
      </c>
      <c r="M227" s="33" t="s">
        <v>1089</v>
      </c>
      <c r="N227" s="23" t="s">
        <v>947</v>
      </c>
      <c r="O227" s="18">
        <v>7</v>
      </c>
      <c r="P227" s="24" t="s">
        <v>83</v>
      </c>
      <c r="Q227" s="25">
        <v>45748</v>
      </c>
      <c r="R227" s="13">
        <v>0</v>
      </c>
      <c r="S227" s="26" t="str">
        <f>VLOOKUP(C227,'[1]Bazaar Salary'!$B$6:$J$1193,9,0)</f>
        <v>02880010133890770018</v>
      </c>
      <c r="T227" s="25" t="s">
        <v>32</v>
      </c>
      <c r="U227" s="25" t="s">
        <v>33</v>
      </c>
      <c r="V227" s="25" t="s">
        <v>320</v>
      </c>
      <c r="W227" s="33" t="s">
        <v>1090</v>
      </c>
      <c r="X227" s="28" t="s">
        <v>1091</v>
      </c>
      <c r="Y227" s="28" t="str">
        <f>VLOOKUP(C227,[2]Final!$J$2:$T$175,11,0)</f>
        <v>salamatpmbmc@gmail.com</v>
      </c>
      <c r="Z227" s="29" t="s">
        <v>37</v>
      </c>
    </row>
    <row r="228" spans="1:26" ht="30" customHeight="1" thickBot="1" x14ac:dyDescent="0.25">
      <c r="A228" s="17">
        <f t="shared" si="7"/>
        <v>227</v>
      </c>
      <c r="B228" s="18" t="s">
        <v>25</v>
      </c>
      <c r="C228" s="19">
        <v>3230155001545</v>
      </c>
      <c r="D228" s="19" t="s">
        <v>542</v>
      </c>
      <c r="E228" s="20">
        <v>43096</v>
      </c>
      <c r="F228" s="20">
        <v>46748</v>
      </c>
      <c r="G228" s="21">
        <v>34091</v>
      </c>
      <c r="H228" s="22">
        <f t="shared" ca="1" si="6"/>
        <v>33</v>
      </c>
      <c r="I228" s="19" t="s">
        <v>26</v>
      </c>
      <c r="J228" s="18" t="s">
        <v>27</v>
      </c>
      <c r="K228" s="18"/>
      <c r="L228" s="23" t="s">
        <v>1092</v>
      </c>
      <c r="M228" s="23" t="s">
        <v>785</v>
      </c>
      <c r="N228" s="23" t="s">
        <v>947</v>
      </c>
      <c r="O228" s="18">
        <v>7</v>
      </c>
      <c r="P228" s="24"/>
      <c r="Q228" s="25">
        <v>45748</v>
      </c>
      <c r="R228" s="13">
        <v>0</v>
      </c>
      <c r="S228" s="26" t="str">
        <f>VLOOKUP(C228,'[1]Bazaar Salary'!$B$6:$J$1193,9,0)</f>
        <v>12670010124743160013</v>
      </c>
      <c r="T228" s="25" t="s">
        <v>32</v>
      </c>
      <c r="U228" s="25" t="s">
        <v>33</v>
      </c>
      <c r="V228" s="25" t="s">
        <v>1093</v>
      </c>
      <c r="W228" s="27" t="s">
        <v>1094</v>
      </c>
      <c r="X228" s="28" t="s">
        <v>1095</v>
      </c>
      <c r="Y228" s="28"/>
      <c r="Z228" s="29" t="s">
        <v>37</v>
      </c>
    </row>
    <row r="229" spans="1:26" ht="30" customHeight="1" thickBot="1" x14ac:dyDescent="0.25">
      <c r="A229" s="17">
        <f t="shared" si="7"/>
        <v>228</v>
      </c>
      <c r="B229" s="18" t="s">
        <v>25</v>
      </c>
      <c r="C229" s="19">
        <v>3520201507099</v>
      </c>
      <c r="D229" s="19">
        <v>1599</v>
      </c>
      <c r="E229" s="20">
        <v>44599</v>
      </c>
      <c r="F229" s="20">
        <v>48251</v>
      </c>
      <c r="G229" s="21">
        <v>35455</v>
      </c>
      <c r="H229" s="22">
        <f t="shared" ca="1" si="6"/>
        <v>29</v>
      </c>
      <c r="I229" s="19" t="s">
        <v>26</v>
      </c>
      <c r="J229" s="18" t="s">
        <v>27</v>
      </c>
      <c r="K229" s="18"/>
      <c r="L229" s="23" t="s">
        <v>517</v>
      </c>
      <c r="M229" s="23" t="s">
        <v>1096</v>
      </c>
      <c r="N229" s="23" t="s">
        <v>457</v>
      </c>
      <c r="O229" s="18">
        <v>7</v>
      </c>
      <c r="P229" s="24" t="s">
        <v>48</v>
      </c>
      <c r="Q229" s="25">
        <v>45748</v>
      </c>
      <c r="R229" s="13">
        <v>0</v>
      </c>
      <c r="S229" s="26" t="str">
        <f>VLOOKUP(C229,'[1]Bazaar Salary'!$B$6:$J$1193,9,0)</f>
        <v>02880010051099580025</v>
      </c>
      <c r="T229" s="25" t="s">
        <v>32</v>
      </c>
      <c r="U229" s="25" t="s">
        <v>33</v>
      </c>
      <c r="V229" s="25" t="s">
        <v>1047</v>
      </c>
      <c r="W229" s="27" t="s">
        <v>1097</v>
      </c>
      <c r="X229" s="28" t="s">
        <v>1098</v>
      </c>
      <c r="Y229" s="28" t="str">
        <f>VLOOKUP(C229,[2]Final!$J$2:$T$175,11,0)</f>
        <v>khalid.mehmood0363@gmail.com</v>
      </c>
      <c r="Z229" s="29" t="s">
        <v>37</v>
      </c>
    </row>
    <row r="230" spans="1:26" ht="30" customHeight="1" thickBot="1" x14ac:dyDescent="0.25">
      <c r="A230" s="17">
        <f t="shared" si="7"/>
        <v>229</v>
      </c>
      <c r="B230" s="18" t="s">
        <v>25</v>
      </c>
      <c r="C230" s="19">
        <v>3540167536479</v>
      </c>
      <c r="D230" s="19">
        <v>1270</v>
      </c>
      <c r="E230" s="20">
        <v>42604</v>
      </c>
      <c r="F230" s="20">
        <v>46256</v>
      </c>
      <c r="G230" s="21">
        <v>35735</v>
      </c>
      <c r="H230" s="22">
        <f t="shared" ca="1" si="6"/>
        <v>28</v>
      </c>
      <c r="I230" s="19" t="s">
        <v>26</v>
      </c>
      <c r="J230" s="18" t="s">
        <v>27</v>
      </c>
      <c r="K230" s="18"/>
      <c r="L230" s="23" t="s">
        <v>1099</v>
      </c>
      <c r="M230" s="23" t="s">
        <v>1100</v>
      </c>
      <c r="N230" s="23" t="s">
        <v>457</v>
      </c>
      <c r="O230" s="18">
        <v>7</v>
      </c>
      <c r="P230" s="24" t="s">
        <v>48</v>
      </c>
      <c r="Q230" s="25">
        <v>44652</v>
      </c>
      <c r="R230" s="13">
        <v>0</v>
      </c>
      <c r="S230" s="26" t="str">
        <f>VLOOKUP(C230,'[1]Bazaar Salary'!$B$6:$J$1193,9,0)</f>
        <v>11200010083638240014</v>
      </c>
      <c r="T230" s="25" t="s">
        <v>32</v>
      </c>
      <c r="U230" s="25" t="s">
        <v>33</v>
      </c>
      <c r="V230" s="25" t="s">
        <v>1101</v>
      </c>
      <c r="W230" s="27" t="s">
        <v>1102</v>
      </c>
      <c r="X230" s="28" t="s">
        <v>1103</v>
      </c>
      <c r="Y230" s="28" t="str">
        <f>VLOOKUP(C230,[2]Final!$J$2:$T$175,11,0)</f>
        <v>umarafzal351@gmail.com</v>
      </c>
      <c r="Z230" s="29" t="s">
        <v>37</v>
      </c>
    </row>
    <row r="231" spans="1:26" ht="30" customHeight="1" thickBot="1" x14ac:dyDescent="0.25">
      <c r="A231" s="17">
        <f t="shared" si="7"/>
        <v>230</v>
      </c>
      <c r="B231" s="18" t="s">
        <v>25</v>
      </c>
      <c r="C231" s="19">
        <v>3520135397073</v>
      </c>
      <c r="D231" s="19">
        <v>1267</v>
      </c>
      <c r="E231" s="20">
        <v>44358</v>
      </c>
      <c r="F231" s="20">
        <v>48010</v>
      </c>
      <c r="G231" s="21">
        <v>37778</v>
      </c>
      <c r="H231" s="22">
        <f t="shared" ca="1" si="6"/>
        <v>23</v>
      </c>
      <c r="I231" s="19" t="s">
        <v>26</v>
      </c>
      <c r="J231" s="18" t="s">
        <v>27</v>
      </c>
      <c r="K231" s="18"/>
      <c r="L231" s="23" t="s">
        <v>1104</v>
      </c>
      <c r="M231" s="23" t="s">
        <v>1105</v>
      </c>
      <c r="N231" s="23" t="s">
        <v>457</v>
      </c>
      <c r="O231" s="18">
        <v>7</v>
      </c>
      <c r="P231" s="24"/>
      <c r="Q231" s="25">
        <v>44652</v>
      </c>
      <c r="R231" s="13">
        <v>0</v>
      </c>
      <c r="S231" s="26" t="str">
        <f>VLOOKUP(C231,'[1]Bazaar Salary'!$B$6:$J$1193,9,0)</f>
        <v>00720010081731220017</v>
      </c>
      <c r="T231" s="25" t="s">
        <v>32</v>
      </c>
      <c r="U231" s="25" t="s">
        <v>370</v>
      </c>
      <c r="V231" s="25" t="s">
        <v>320</v>
      </c>
      <c r="W231" s="27" t="s">
        <v>1106</v>
      </c>
      <c r="X231" s="28" t="s">
        <v>1107</v>
      </c>
      <c r="Y231" s="28"/>
      <c r="Z231" s="29" t="s">
        <v>37</v>
      </c>
    </row>
    <row r="232" spans="1:26" ht="30" customHeight="1" thickBot="1" x14ac:dyDescent="0.25">
      <c r="A232" s="17">
        <f t="shared" si="7"/>
        <v>231</v>
      </c>
      <c r="B232" s="18" t="s">
        <v>25</v>
      </c>
      <c r="C232" s="19">
        <v>3210404104193</v>
      </c>
      <c r="D232" s="19">
        <v>1766</v>
      </c>
      <c r="E232" s="20">
        <v>44515</v>
      </c>
      <c r="F232" s="20">
        <v>48167</v>
      </c>
      <c r="G232" s="21">
        <v>36008</v>
      </c>
      <c r="H232" s="22">
        <f t="shared" ca="1" si="6"/>
        <v>27</v>
      </c>
      <c r="I232" s="19" t="s">
        <v>26</v>
      </c>
      <c r="J232" s="18" t="s">
        <v>27</v>
      </c>
      <c r="K232" s="18"/>
      <c r="L232" s="23" t="s">
        <v>990</v>
      </c>
      <c r="M232" s="23" t="s">
        <v>1108</v>
      </c>
      <c r="N232" s="24" t="s">
        <v>457</v>
      </c>
      <c r="O232" s="18">
        <v>7</v>
      </c>
      <c r="P232" s="24"/>
      <c r="Q232" s="25">
        <v>45748</v>
      </c>
      <c r="R232" s="13">
        <v>0</v>
      </c>
      <c r="S232" s="26" t="str">
        <f>VLOOKUP(C232,'[1]Bazaar Salary'!$B$6:$J$1193,9,0)</f>
        <v>03660010139350330010</v>
      </c>
      <c r="T232" s="25" t="s">
        <v>32</v>
      </c>
      <c r="U232" s="25" t="s">
        <v>370</v>
      </c>
      <c r="V232" s="25" t="s">
        <v>320</v>
      </c>
      <c r="W232" s="27" t="s">
        <v>1109</v>
      </c>
      <c r="X232" s="28" t="s">
        <v>1110</v>
      </c>
      <c r="Y232" s="28"/>
      <c r="Z232" s="29" t="s">
        <v>37</v>
      </c>
    </row>
    <row r="233" spans="1:26" ht="30" customHeight="1" thickBot="1" x14ac:dyDescent="0.25">
      <c r="A233" s="17">
        <f t="shared" si="7"/>
        <v>232</v>
      </c>
      <c r="B233" s="18" t="s">
        <v>25</v>
      </c>
      <c r="C233" s="19">
        <v>3310478480785</v>
      </c>
      <c r="D233" s="19">
        <v>1738</v>
      </c>
      <c r="E233" s="20">
        <v>43360</v>
      </c>
      <c r="F233" s="20">
        <v>47013</v>
      </c>
      <c r="G233" s="21">
        <v>36608</v>
      </c>
      <c r="H233" s="22">
        <f t="shared" ca="1" si="6"/>
        <v>26</v>
      </c>
      <c r="I233" s="19" t="s">
        <v>26</v>
      </c>
      <c r="J233" s="18" t="s">
        <v>27</v>
      </c>
      <c r="K233" s="18"/>
      <c r="L233" s="23" t="s">
        <v>1111</v>
      </c>
      <c r="M233" s="23" t="s">
        <v>711</v>
      </c>
      <c r="N233" s="23" t="s">
        <v>457</v>
      </c>
      <c r="O233" s="18">
        <v>7</v>
      </c>
      <c r="P233" s="24"/>
      <c r="Q233" s="25">
        <v>45748</v>
      </c>
      <c r="R233" s="13">
        <v>0</v>
      </c>
      <c r="S233" s="26" t="str">
        <f>VLOOKUP(C233,'[1]Bazaar Salary'!$B$6:$J$1193,9,0)</f>
        <v>01210010138367060015</v>
      </c>
      <c r="T233" s="25" t="s">
        <v>32</v>
      </c>
      <c r="U233" s="25" t="s">
        <v>712</v>
      </c>
      <c r="V233" s="25" t="s">
        <v>320</v>
      </c>
      <c r="W233" s="27" t="s">
        <v>1112</v>
      </c>
      <c r="X233" s="28" t="s">
        <v>1113</v>
      </c>
      <c r="Y233" s="28"/>
      <c r="Z233" s="29" t="s">
        <v>37</v>
      </c>
    </row>
    <row r="234" spans="1:26" ht="30" customHeight="1" thickBot="1" x14ac:dyDescent="0.25">
      <c r="A234" s="17">
        <f t="shared" si="7"/>
        <v>233</v>
      </c>
      <c r="B234" s="18" t="s">
        <v>25</v>
      </c>
      <c r="C234" s="19">
        <v>3310007365737</v>
      </c>
      <c r="D234" s="19">
        <v>155</v>
      </c>
      <c r="E234" s="20">
        <v>43733</v>
      </c>
      <c r="F234" s="20" t="s">
        <v>196</v>
      </c>
      <c r="G234" s="21">
        <v>23116</v>
      </c>
      <c r="H234" s="22">
        <f t="shared" ca="1" si="6"/>
        <v>63</v>
      </c>
      <c r="I234" s="19" t="s">
        <v>26</v>
      </c>
      <c r="J234" s="18" t="s">
        <v>27</v>
      </c>
      <c r="K234" s="18"/>
      <c r="L234" s="23" t="s">
        <v>1114</v>
      </c>
      <c r="M234" s="23" t="s">
        <v>1115</v>
      </c>
      <c r="N234" s="23" t="s">
        <v>1067</v>
      </c>
      <c r="O234" s="18">
        <v>7</v>
      </c>
      <c r="P234" s="24"/>
      <c r="Q234" s="25">
        <v>42767</v>
      </c>
      <c r="R234" s="13">
        <v>0</v>
      </c>
      <c r="S234" s="26" t="str">
        <f>VLOOKUP(C234,'[1]Bazaar Salary'!$B$6:$J$1193,9,0)</f>
        <v>00660010060006500010</v>
      </c>
      <c r="T234" s="25" t="s">
        <v>32</v>
      </c>
      <c r="U234" s="25" t="s">
        <v>219</v>
      </c>
      <c r="V234" s="25" t="s">
        <v>1047</v>
      </c>
      <c r="W234" s="27" t="s">
        <v>1116</v>
      </c>
      <c r="X234" s="28" t="s">
        <v>1117</v>
      </c>
      <c r="Y234" s="28"/>
      <c r="Z234" s="29" t="s">
        <v>37</v>
      </c>
    </row>
    <row r="235" spans="1:26" ht="30" customHeight="1" thickBot="1" x14ac:dyDescent="0.25">
      <c r="A235" s="17">
        <f t="shared" si="7"/>
        <v>234</v>
      </c>
      <c r="B235" s="18" t="s">
        <v>25</v>
      </c>
      <c r="C235" s="19">
        <v>3310014492727</v>
      </c>
      <c r="D235" s="19">
        <v>1733</v>
      </c>
      <c r="E235" s="20">
        <v>45012</v>
      </c>
      <c r="F235" s="20">
        <v>48665</v>
      </c>
      <c r="G235" s="21">
        <v>38302</v>
      </c>
      <c r="H235" s="22">
        <f t="shared" ca="1" si="6"/>
        <v>21</v>
      </c>
      <c r="I235" s="19" t="s">
        <v>26</v>
      </c>
      <c r="J235" s="18" t="s">
        <v>27</v>
      </c>
      <c r="K235" s="18"/>
      <c r="L235" s="23" t="s">
        <v>994</v>
      </c>
      <c r="M235" s="23" t="s">
        <v>1118</v>
      </c>
      <c r="N235" s="23" t="s">
        <v>457</v>
      </c>
      <c r="O235" s="18">
        <v>7</v>
      </c>
      <c r="P235" s="24"/>
      <c r="Q235" s="25">
        <v>45748</v>
      </c>
      <c r="R235" s="13">
        <v>0</v>
      </c>
      <c r="S235" s="26" t="str">
        <f>VLOOKUP(C235,'[1]Bazaar Salary'!$B$6:$J$1193,9,0)</f>
        <v>02600010138936760015</v>
      </c>
      <c r="T235" s="25" t="s">
        <v>32</v>
      </c>
      <c r="U235" s="25" t="s">
        <v>219</v>
      </c>
      <c r="V235" s="25" t="s">
        <v>320</v>
      </c>
      <c r="W235" s="27" t="s">
        <v>1119</v>
      </c>
      <c r="X235" s="28" t="s">
        <v>1120</v>
      </c>
      <c r="Y235" s="28"/>
      <c r="Z235" s="29" t="s">
        <v>37</v>
      </c>
    </row>
    <row r="236" spans="1:26" ht="30" customHeight="1" thickBot="1" x14ac:dyDescent="0.25">
      <c r="A236" s="17">
        <f t="shared" si="7"/>
        <v>235</v>
      </c>
      <c r="B236" s="18" t="s">
        <v>25</v>
      </c>
      <c r="C236" s="19">
        <v>3110195976935</v>
      </c>
      <c r="D236" s="19"/>
      <c r="E236" s="20">
        <v>44573</v>
      </c>
      <c r="F236" s="20">
        <v>48225</v>
      </c>
      <c r="G236" s="25">
        <v>33762</v>
      </c>
      <c r="H236" s="22">
        <f t="shared" ca="1" si="6"/>
        <v>34</v>
      </c>
      <c r="I236" s="19" t="s">
        <v>26</v>
      </c>
      <c r="J236" s="18" t="s">
        <v>27</v>
      </c>
      <c r="K236" s="18"/>
      <c r="L236" s="23" t="s">
        <v>1121</v>
      </c>
      <c r="M236" s="23" t="s">
        <v>1122</v>
      </c>
      <c r="N236" s="23" t="s">
        <v>457</v>
      </c>
      <c r="O236" s="18">
        <v>7</v>
      </c>
      <c r="P236" s="24"/>
      <c r="Q236" s="25">
        <v>45748</v>
      </c>
      <c r="R236" s="13">
        <v>0</v>
      </c>
      <c r="S236" s="26" t="str">
        <f>VLOOKUP(C236,'[1]Bazaar Salary'!$B$6:$J$1193,9,0)</f>
        <v>10080010103621750010</v>
      </c>
      <c r="T236" s="25" t="s">
        <v>32</v>
      </c>
      <c r="U236" s="25" t="s">
        <v>219</v>
      </c>
      <c r="V236" s="25" t="s">
        <v>1047</v>
      </c>
      <c r="W236" s="27" t="s">
        <v>1123</v>
      </c>
      <c r="X236" s="28" t="s">
        <v>1124</v>
      </c>
      <c r="Y236" s="28"/>
      <c r="Z236" s="29" t="s">
        <v>37</v>
      </c>
    </row>
    <row r="237" spans="1:26" ht="30" customHeight="1" thickBot="1" x14ac:dyDescent="0.25">
      <c r="A237" s="17">
        <f t="shared" si="7"/>
        <v>236</v>
      </c>
      <c r="B237" s="18" t="s">
        <v>25</v>
      </c>
      <c r="C237" s="19">
        <v>3520170121565</v>
      </c>
      <c r="D237" s="19">
        <v>1728</v>
      </c>
      <c r="E237" s="20">
        <v>44502</v>
      </c>
      <c r="F237" s="20">
        <v>48154</v>
      </c>
      <c r="G237" s="21">
        <v>37787</v>
      </c>
      <c r="H237" s="22">
        <f t="shared" ca="1" si="6"/>
        <v>23</v>
      </c>
      <c r="I237" s="19" t="s">
        <v>26</v>
      </c>
      <c r="J237" s="18" t="s">
        <v>27</v>
      </c>
      <c r="K237" s="18"/>
      <c r="L237" s="23" t="s">
        <v>994</v>
      </c>
      <c r="M237" s="23" t="s">
        <v>1125</v>
      </c>
      <c r="N237" s="23" t="s">
        <v>457</v>
      </c>
      <c r="O237" s="18">
        <v>7</v>
      </c>
      <c r="P237" s="24"/>
      <c r="Q237" s="25">
        <v>45748</v>
      </c>
      <c r="R237" s="13">
        <v>0</v>
      </c>
      <c r="S237" s="26" t="str">
        <f>VLOOKUP(C237,'[1]Bazaar Salary'!$B$6:$J$1193,9,0)</f>
        <v>12950010138632440010</v>
      </c>
      <c r="T237" s="25" t="s">
        <v>32</v>
      </c>
      <c r="U237" s="25" t="s">
        <v>225</v>
      </c>
      <c r="V237" s="25" t="s">
        <v>320</v>
      </c>
      <c r="W237" s="27" t="s">
        <v>1126</v>
      </c>
      <c r="X237" s="28" t="s">
        <v>1127</v>
      </c>
      <c r="Y237" s="28"/>
      <c r="Z237" s="29" t="s">
        <v>37</v>
      </c>
    </row>
    <row r="238" spans="1:26" ht="30" customHeight="1" thickBot="1" x14ac:dyDescent="0.25">
      <c r="A238" s="17">
        <f t="shared" si="7"/>
        <v>237</v>
      </c>
      <c r="B238" s="18" t="s">
        <v>25</v>
      </c>
      <c r="C238" s="19">
        <v>3510213801911</v>
      </c>
      <c r="D238" s="19">
        <v>1873</v>
      </c>
      <c r="E238" s="20">
        <v>45109</v>
      </c>
      <c r="F238" s="20">
        <v>48762</v>
      </c>
      <c r="G238" s="21">
        <v>37790</v>
      </c>
      <c r="H238" s="22">
        <f t="shared" ca="1" si="6"/>
        <v>23</v>
      </c>
      <c r="I238" s="19" t="s">
        <v>26</v>
      </c>
      <c r="J238" s="18" t="s">
        <v>27</v>
      </c>
      <c r="K238" s="18"/>
      <c r="L238" s="23" t="s">
        <v>1128</v>
      </c>
      <c r="M238" s="23" t="s">
        <v>1129</v>
      </c>
      <c r="N238" s="23" t="s">
        <v>457</v>
      </c>
      <c r="O238" s="18">
        <v>7</v>
      </c>
      <c r="P238" s="24"/>
      <c r="Q238" s="25">
        <v>45748</v>
      </c>
      <c r="R238" s="13">
        <v>0</v>
      </c>
      <c r="S238" s="26" t="str">
        <f>VLOOKUP(C238,'[1]Bazaar Salary'!$B$6:$J$1193,9,0)</f>
        <v>13440010144825390010</v>
      </c>
      <c r="T238" s="25" t="s">
        <v>32</v>
      </c>
      <c r="U238" s="25" t="s">
        <v>225</v>
      </c>
      <c r="V238" s="25" t="s">
        <v>320</v>
      </c>
      <c r="W238" s="27" t="s">
        <v>1130</v>
      </c>
      <c r="X238" s="28" t="s">
        <v>1131</v>
      </c>
      <c r="Y238" s="28"/>
      <c r="Z238" s="29" t="s">
        <v>37</v>
      </c>
    </row>
    <row r="239" spans="1:26" ht="30" customHeight="1" thickBot="1" x14ac:dyDescent="0.25">
      <c r="A239" s="17">
        <f t="shared" si="7"/>
        <v>238</v>
      </c>
      <c r="B239" s="18" t="s">
        <v>25</v>
      </c>
      <c r="C239" s="19">
        <v>3110385498487</v>
      </c>
      <c r="D239" s="19">
        <v>1635</v>
      </c>
      <c r="E239" s="21">
        <v>44913</v>
      </c>
      <c r="F239" s="21">
        <v>48566</v>
      </c>
      <c r="G239" s="21">
        <v>36875</v>
      </c>
      <c r="H239" s="22">
        <f t="shared" ca="1" si="6"/>
        <v>25</v>
      </c>
      <c r="I239" s="18" t="s">
        <v>26</v>
      </c>
      <c r="J239" s="18" t="s">
        <v>27</v>
      </c>
      <c r="K239" s="23"/>
      <c r="L239" s="24" t="s">
        <v>1132</v>
      </c>
      <c r="M239" s="33" t="s">
        <v>1133</v>
      </c>
      <c r="N239" s="24" t="s">
        <v>457</v>
      </c>
      <c r="O239" s="18">
        <v>7</v>
      </c>
      <c r="P239" s="24"/>
      <c r="Q239" s="25">
        <v>45748</v>
      </c>
      <c r="R239" s="13">
        <v>0</v>
      </c>
      <c r="S239" s="26" t="str">
        <f>VLOOKUP(C239,'[1]Bazaar Salary'!$B$6:$J$1193,9,0)</f>
        <v>05400010134351570018</v>
      </c>
      <c r="T239" s="25" t="s">
        <v>32</v>
      </c>
      <c r="U239" s="25" t="s">
        <v>1134</v>
      </c>
      <c r="V239" s="25" t="s">
        <v>320</v>
      </c>
      <c r="W239" s="33" t="s">
        <v>1135</v>
      </c>
      <c r="X239" s="28" t="s">
        <v>1136</v>
      </c>
      <c r="Y239" s="28"/>
      <c r="Z239" s="29" t="s">
        <v>37</v>
      </c>
    </row>
    <row r="240" spans="1:26" ht="30" customHeight="1" thickBot="1" x14ac:dyDescent="0.25">
      <c r="A240" s="17">
        <f t="shared" si="7"/>
        <v>239</v>
      </c>
      <c r="B240" s="18" t="s">
        <v>25</v>
      </c>
      <c r="C240" s="19">
        <v>3520219815663</v>
      </c>
      <c r="D240" s="19">
        <v>1820</v>
      </c>
      <c r="E240" s="20">
        <v>44516</v>
      </c>
      <c r="F240" s="20">
        <v>48168</v>
      </c>
      <c r="G240" s="21">
        <v>37911</v>
      </c>
      <c r="H240" s="22">
        <f t="shared" ca="1" si="6"/>
        <v>22</v>
      </c>
      <c r="I240" s="19" t="s">
        <v>26</v>
      </c>
      <c r="J240" s="18" t="s">
        <v>27</v>
      </c>
      <c r="K240" s="18"/>
      <c r="L240" s="23" t="s">
        <v>1137</v>
      </c>
      <c r="M240" s="23" t="s">
        <v>1138</v>
      </c>
      <c r="N240" s="23" t="s">
        <v>457</v>
      </c>
      <c r="O240" s="18">
        <v>7</v>
      </c>
      <c r="P240" s="24"/>
      <c r="Q240" s="25">
        <v>45748</v>
      </c>
      <c r="R240" s="13">
        <v>0</v>
      </c>
      <c r="S240" s="26" t="str">
        <f>VLOOKUP(C240,'[1]Bazaar Salary'!$B$6:$J$1193,9,0)</f>
        <v>09650010095770330017</v>
      </c>
      <c r="T240" s="25" t="s">
        <v>32</v>
      </c>
      <c r="U240" s="25" t="s">
        <v>786</v>
      </c>
      <c r="V240" s="25" t="s">
        <v>320</v>
      </c>
      <c r="W240" s="27" t="s">
        <v>1139</v>
      </c>
      <c r="X240" s="28" t="s">
        <v>1140</v>
      </c>
      <c r="Y240" s="28"/>
      <c r="Z240" s="29" t="s">
        <v>37</v>
      </c>
    </row>
    <row r="241" spans="1:26" ht="30" customHeight="1" thickBot="1" x14ac:dyDescent="0.25">
      <c r="A241" s="17">
        <f t="shared" si="7"/>
        <v>240</v>
      </c>
      <c r="B241" s="18" t="s">
        <v>25</v>
      </c>
      <c r="C241" s="19">
        <v>3620365317975</v>
      </c>
      <c r="D241" s="19">
        <v>1799</v>
      </c>
      <c r="E241" s="20">
        <v>43647</v>
      </c>
      <c r="F241" s="20">
        <v>47300</v>
      </c>
      <c r="G241" s="21">
        <v>36989</v>
      </c>
      <c r="H241" s="22">
        <f t="shared" ca="1" si="6"/>
        <v>25</v>
      </c>
      <c r="I241" s="19" t="s">
        <v>26</v>
      </c>
      <c r="J241" s="18" t="s">
        <v>27</v>
      </c>
      <c r="K241" s="18"/>
      <c r="L241" s="23" t="s">
        <v>1141</v>
      </c>
      <c r="M241" s="23" t="s">
        <v>1142</v>
      </c>
      <c r="N241" s="24" t="s">
        <v>457</v>
      </c>
      <c r="O241" s="18">
        <v>7</v>
      </c>
      <c r="P241" s="24"/>
      <c r="Q241" s="25">
        <v>45748</v>
      </c>
      <c r="R241" s="13">
        <v>0</v>
      </c>
      <c r="S241" s="26" t="str">
        <f>VLOOKUP(C241,'[1]Bazaar Salary'!$B$6:$J$1193,9,0)</f>
        <v>08390010140773910010</v>
      </c>
      <c r="T241" s="25" t="s">
        <v>32</v>
      </c>
      <c r="U241" s="25" t="s">
        <v>237</v>
      </c>
      <c r="V241" s="25" t="s">
        <v>320</v>
      </c>
      <c r="W241" s="27" t="s">
        <v>1143</v>
      </c>
      <c r="X241" s="28" t="s">
        <v>1144</v>
      </c>
      <c r="Y241" s="28"/>
      <c r="Z241" s="29" t="s">
        <v>37</v>
      </c>
    </row>
    <row r="242" spans="1:26" ht="30" customHeight="1" thickBot="1" x14ac:dyDescent="0.25">
      <c r="A242" s="17">
        <f t="shared" si="7"/>
        <v>241</v>
      </c>
      <c r="B242" s="18" t="s">
        <v>25</v>
      </c>
      <c r="C242" s="19">
        <v>3520290888511</v>
      </c>
      <c r="D242" s="19">
        <v>1620</v>
      </c>
      <c r="E242" s="20">
        <v>42635</v>
      </c>
      <c r="F242" s="20">
        <v>46287</v>
      </c>
      <c r="G242" s="21">
        <v>35243</v>
      </c>
      <c r="H242" s="22">
        <f t="shared" ca="1" si="6"/>
        <v>29</v>
      </c>
      <c r="I242" s="19" t="s">
        <v>26</v>
      </c>
      <c r="J242" s="18" t="s">
        <v>27</v>
      </c>
      <c r="K242" s="18"/>
      <c r="L242" s="23" t="s">
        <v>1145</v>
      </c>
      <c r="M242" s="23" t="s">
        <v>1146</v>
      </c>
      <c r="N242" s="24" t="s">
        <v>457</v>
      </c>
      <c r="O242" s="18">
        <v>7</v>
      </c>
      <c r="P242" s="24"/>
      <c r="Q242" s="25">
        <v>45748</v>
      </c>
      <c r="R242" s="13">
        <v>0</v>
      </c>
      <c r="S242" s="26" t="str">
        <f>VLOOKUP(C242,'[1]Bazaar Salary'!$B$6:$J$1193,9,0)</f>
        <v>01530010132457830010</v>
      </c>
      <c r="T242" s="25" t="s">
        <v>32</v>
      </c>
      <c r="U242" s="25" t="s">
        <v>1147</v>
      </c>
      <c r="V242" s="25" t="s">
        <v>320</v>
      </c>
      <c r="W242" s="27" t="s">
        <v>1148</v>
      </c>
      <c r="X242" s="28" t="s">
        <v>1149</v>
      </c>
      <c r="Y242" s="28"/>
      <c r="Z242" s="29" t="s">
        <v>37</v>
      </c>
    </row>
    <row r="243" spans="1:26" ht="30" customHeight="1" thickBot="1" x14ac:dyDescent="0.25">
      <c r="A243" s="17">
        <f t="shared" si="7"/>
        <v>242</v>
      </c>
      <c r="B243" s="18" t="s">
        <v>25</v>
      </c>
      <c r="C243" s="19">
        <v>3520258204277</v>
      </c>
      <c r="D243" s="19">
        <v>1748</v>
      </c>
      <c r="E243" s="20">
        <v>42907</v>
      </c>
      <c r="F243" s="20">
        <v>46559</v>
      </c>
      <c r="G243" s="21">
        <v>36314</v>
      </c>
      <c r="H243" s="22">
        <f t="shared" ca="1" si="6"/>
        <v>27</v>
      </c>
      <c r="I243" s="19" t="s">
        <v>26</v>
      </c>
      <c r="J243" s="18" t="s">
        <v>27</v>
      </c>
      <c r="K243" s="18"/>
      <c r="L243" s="23" t="s">
        <v>1150</v>
      </c>
      <c r="M243" s="23" t="s">
        <v>1151</v>
      </c>
      <c r="N243" s="24" t="s">
        <v>457</v>
      </c>
      <c r="O243" s="18">
        <v>7</v>
      </c>
      <c r="P243" s="24"/>
      <c r="Q243" s="25">
        <v>45748</v>
      </c>
      <c r="R243" s="13">
        <v>0</v>
      </c>
      <c r="S243" s="26" t="str">
        <f>VLOOKUP(C243,'[1]Bazaar Salary'!$B$6:$J$1193,9,0)</f>
        <v>07660010138488290019</v>
      </c>
      <c r="T243" s="25" t="s">
        <v>32</v>
      </c>
      <c r="U243" s="25" t="s">
        <v>1147</v>
      </c>
      <c r="V243" s="25" t="s">
        <v>320</v>
      </c>
      <c r="W243" s="27" t="s">
        <v>1152</v>
      </c>
      <c r="X243" s="28" t="s">
        <v>1153</v>
      </c>
      <c r="Y243" s="28"/>
      <c r="Z243" s="29" t="s">
        <v>37</v>
      </c>
    </row>
    <row r="244" spans="1:26" ht="30" customHeight="1" thickBot="1" x14ac:dyDescent="0.25">
      <c r="A244" s="17">
        <f t="shared" si="7"/>
        <v>243</v>
      </c>
      <c r="B244" s="18" t="s">
        <v>25</v>
      </c>
      <c r="C244" s="19">
        <v>3110191662981</v>
      </c>
      <c r="D244" s="19">
        <v>1414</v>
      </c>
      <c r="E244" s="20">
        <v>44734</v>
      </c>
      <c r="F244" s="20">
        <v>48387</v>
      </c>
      <c r="G244" s="21">
        <v>33244</v>
      </c>
      <c r="H244" s="22">
        <f t="shared" ca="1" si="6"/>
        <v>35</v>
      </c>
      <c r="I244" s="19" t="s">
        <v>26</v>
      </c>
      <c r="J244" s="18" t="s">
        <v>27</v>
      </c>
      <c r="K244" s="18"/>
      <c r="L244" s="23" t="s">
        <v>100</v>
      </c>
      <c r="M244" s="23" t="s">
        <v>1154</v>
      </c>
      <c r="N244" s="23" t="s">
        <v>1067</v>
      </c>
      <c r="O244" s="18">
        <v>7</v>
      </c>
      <c r="P244" s="24"/>
      <c r="Q244" s="25">
        <v>44715</v>
      </c>
      <c r="R244" s="13">
        <v>0</v>
      </c>
      <c r="S244" s="26" t="str">
        <f>VLOOKUP(C244,'[1]Bazaar Salary'!$B$6:$J$1193,9,0)</f>
        <v>05980010086500920015</v>
      </c>
      <c r="T244" s="25" t="s">
        <v>32</v>
      </c>
      <c r="U244" s="25" t="s">
        <v>805</v>
      </c>
      <c r="V244" s="25" t="s">
        <v>1047</v>
      </c>
      <c r="W244" s="27" t="s">
        <v>1155</v>
      </c>
      <c r="X244" s="28" t="s">
        <v>1156</v>
      </c>
      <c r="Y244" s="28"/>
      <c r="Z244" s="29" t="s">
        <v>37</v>
      </c>
    </row>
    <row r="245" spans="1:26" ht="30" customHeight="1" thickBot="1" x14ac:dyDescent="0.25">
      <c r="A245" s="17">
        <f t="shared" si="7"/>
        <v>244</v>
      </c>
      <c r="B245" s="18" t="s">
        <v>25</v>
      </c>
      <c r="C245" s="19">
        <v>3530385533611</v>
      </c>
      <c r="D245" s="19"/>
      <c r="E245" s="20">
        <v>43914</v>
      </c>
      <c r="F245" s="20">
        <v>47566</v>
      </c>
      <c r="G245" s="21">
        <v>36383</v>
      </c>
      <c r="H245" s="22">
        <f t="shared" ca="1" si="6"/>
        <v>26</v>
      </c>
      <c r="I245" s="19" t="s">
        <v>26</v>
      </c>
      <c r="J245" s="18" t="s">
        <v>27</v>
      </c>
      <c r="K245" s="18"/>
      <c r="L245" s="23" t="s">
        <v>1157</v>
      </c>
      <c r="M245" s="23" t="s">
        <v>1158</v>
      </c>
      <c r="N245" s="23" t="s">
        <v>457</v>
      </c>
      <c r="O245" s="18">
        <v>7</v>
      </c>
      <c r="P245" s="24"/>
      <c r="Q245" s="25">
        <v>45748</v>
      </c>
      <c r="R245" s="13">
        <v>0</v>
      </c>
      <c r="S245" s="26" t="str">
        <f>VLOOKUP(C245,'[1]Bazaar Salary'!$B$6:$J$1193,9,0)</f>
        <v>03480010142177150010</v>
      </c>
      <c r="T245" s="25" t="s">
        <v>32</v>
      </c>
      <c r="U245" s="25" t="s">
        <v>242</v>
      </c>
      <c r="V245" s="25" t="s">
        <v>320</v>
      </c>
      <c r="W245" s="27" t="s">
        <v>1159</v>
      </c>
      <c r="X245" s="28" t="s">
        <v>1160</v>
      </c>
      <c r="Y245" s="28"/>
      <c r="Z245" s="29" t="s">
        <v>37</v>
      </c>
    </row>
    <row r="246" spans="1:26" ht="30" customHeight="1" thickBot="1" x14ac:dyDescent="0.25">
      <c r="A246" s="17">
        <f t="shared" si="7"/>
        <v>245</v>
      </c>
      <c r="B246" s="18" t="s">
        <v>25</v>
      </c>
      <c r="C246" s="19">
        <v>3640271743423</v>
      </c>
      <c r="D246" s="19">
        <v>1676</v>
      </c>
      <c r="E246" s="21">
        <v>44613</v>
      </c>
      <c r="F246" s="21">
        <v>48265</v>
      </c>
      <c r="G246" s="21">
        <v>37409</v>
      </c>
      <c r="H246" s="22">
        <f t="shared" ca="1" si="6"/>
        <v>24</v>
      </c>
      <c r="I246" s="18" t="s">
        <v>26</v>
      </c>
      <c r="J246" s="18" t="s">
        <v>27</v>
      </c>
      <c r="K246" s="23"/>
      <c r="L246" s="24" t="s">
        <v>1161</v>
      </c>
      <c r="M246" s="33" t="s">
        <v>1162</v>
      </c>
      <c r="N246" s="23" t="s">
        <v>457</v>
      </c>
      <c r="O246" s="18">
        <v>7</v>
      </c>
      <c r="P246" s="24"/>
      <c r="Q246" s="25">
        <v>45748</v>
      </c>
      <c r="R246" s="13">
        <v>0</v>
      </c>
      <c r="S246" s="26" t="str">
        <f>VLOOKUP(C246,'[1]Bazaar Salary'!$B$6:$J$1193,9,0)</f>
        <v>02980010135358590011</v>
      </c>
      <c r="T246" s="25" t="s">
        <v>32</v>
      </c>
      <c r="U246" s="25" t="s">
        <v>410</v>
      </c>
      <c r="V246" s="25" t="s">
        <v>320</v>
      </c>
      <c r="W246" s="33" t="s">
        <v>1163</v>
      </c>
      <c r="X246" s="28" t="s">
        <v>1164</v>
      </c>
      <c r="Y246" s="28"/>
      <c r="Z246" s="29" t="s">
        <v>37</v>
      </c>
    </row>
    <row r="247" spans="1:26" ht="30" customHeight="1" thickBot="1" x14ac:dyDescent="0.25">
      <c r="A247" s="17">
        <f t="shared" si="7"/>
        <v>246</v>
      </c>
      <c r="B247" s="18" t="s">
        <v>25</v>
      </c>
      <c r="C247" s="19">
        <v>3510377819529</v>
      </c>
      <c r="D247" s="19">
        <v>1640</v>
      </c>
      <c r="E247" s="20">
        <v>44829</v>
      </c>
      <c r="F247" s="20">
        <v>48482</v>
      </c>
      <c r="G247" s="21">
        <v>37090</v>
      </c>
      <c r="H247" s="22">
        <f t="shared" ca="1" si="6"/>
        <v>24</v>
      </c>
      <c r="I247" s="19" t="s">
        <v>26</v>
      </c>
      <c r="J247" s="18" t="s">
        <v>27</v>
      </c>
      <c r="K247" s="18"/>
      <c r="L247" s="23" t="s">
        <v>949</v>
      </c>
      <c r="M247" s="23" t="s">
        <v>1165</v>
      </c>
      <c r="N247" s="23" t="s">
        <v>457</v>
      </c>
      <c r="O247" s="18">
        <v>7</v>
      </c>
      <c r="P247" s="24"/>
      <c r="Q247" s="25">
        <v>45748</v>
      </c>
      <c r="R247" s="13">
        <v>0</v>
      </c>
      <c r="S247" s="26" t="str">
        <f>VLOOKUP(C247,'[1]Bazaar Salary'!$B$6:$J$1193,9,0)</f>
        <v>03900010132968280011</v>
      </c>
      <c r="T247" s="25" t="s">
        <v>32</v>
      </c>
      <c r="U247" s="25" t="s">
        <v>1166</v>
      </c>
      <c r="V247" s="25" t="s">
        <v>320</v>
      </c>
      <c r="W247" s="27" t="s">
        <v>1167</v>
      </c>
      <c r="X247" s="28" t="s">
        <v>1168</v>
      </c>
      <c r="Y247" s="28"/>
      <c r="Z247" s="29" t="s">
        <v>37</v>
      </c>
    </row>
    <row r="248" spans="1:26" ht="30" customHeight="1" thickBot="1" x14ac:dyDescent="0.25">
      <c r="A248" s="17">
        <f t="shared" si="7"/>
        <v>247</v>
      </c>
      <c r="B248" s="18" t="s">
        <v>25</v>
      </c>
      <c r="C248" s="19">
        <v>3520292712793</v>
      </c>
      <c r="D248" s="19">
        <v>1831</v>
      </c>
      <c r="E248" s="20">
        <v>43294</v>
      </c>
      <c r="F248" s="20">
        <v>46947</v>
      </c>
      <c r="G248" s="21">
        <v>36036</v>
      </c>
      <c r="H248" s="22">
        <f t="shared" ca="1" si="6"/>
        <v>27</v>
      </c>
      <c r="I248" s="19" t="s">
        <v>26</v>
      </c>
      <c r="J248" s="18" t="s">
        <v>27</v>
      </c>
      <c r="K248" s="18"/>
      <c r="L248" s="23" t="s">
        <v>544</v>
      </c>
      <c r="M248" s="23" t="s">
        <v>1169</v>
      </c>
      <c r="N248" s="23" t="s">
        <v>457</v>
      </c>
      <c r="O248" s="18">
        <v>7</v>
      </c>
      <c r="P248" s="24"/>
      <c r="Q248" s="25">
        <v>45748</v>
      </c>
      <c r="R248" s="13">
        <v>0</v>
      </c>
      <c r="S248" s="26" t="str">
        <f>VLOOKUP(C248,'[1]Bazaar Salary'!$B$6:$J$1193,9,0)</f>
        <v>00620010082897740019</v>
      </c>
      <c r="T248" s="25" t="s">
        <v>32</v>
      </c>
      <c r="U248" s="25" t="s">
        <v>415</v>
      </c>
      <c r="V248" s="25" t="s">
        <v>320</v>
      </c>
      <c r="W248" s="27" t="s">
        <v>1170</v>
      </c>
      <c r="X248" s="28" t="s">
        <v>1171</v>
      </c>
      <c r="Y248" s="28"/>
      <c r="Z248" s="29" t="s">
        <v>37</v>
      </c>
    </row>
    <row r="249" spans="1:26" ht="30" customHeight="1" thickBot="1" x14ac:dyDescent="0.25">
      <c r="A249" s="17">
        <f t="shared" si="7"/>
        <v>248</v>
      </c>
      <c r="B249" s="18" t="s">
        <v>25</v>
      </c>
      <c r="C249" s="19">
        <v>3520288885089</v>
      </c>
      <c r="D249" s="19">
        <v>1830</v>
      </c>
      <c r="E249" s="20">
        <v>45344</v>
      </c>
      <c r="F249" s="20">
        <v>48997</v>
      </c>
      <c r="G249" s="21">
        <v>38318</v>
      </c>
      <c r="H249" s="22">
        <f t="shared" ca="1" si="6"/>
        <v>21</v>
      </c>
      <c r="I249" s="19" t="s">
        <v>26</v>
      </c>
      <c r="J249" s="18" t="s">
        <v>27</v>
      </c>
      <c r="K249" s="18"/>
      <c r="L249" s="23" t="s">
        <v>1172</v>
      </c>
      <c r="M249" s="23" t="s">
        <v>1121</v>
      </c>
      <c r="N249" s="23" t="s">
        <v>457</v>
      </c>
      <c r="O249" s="18">
        <v>7</v>
      </c>
      <c r="P249" s="24"/>
      <c r="Q249" s="25">
        <v>45748</v>
      </c>
      <c r="R249" s="13">
        <v>0</v>
      </c>
      <c r="S249" s="26" t="str">
        <f>VLOOKUP(C249,'[1]Bazaar Salary'!$B$6:$J$1193,9,0)</f>
        <v>03910010142774560017</v>
      </c>
      <c r="T249" s="25" t="s">
        <v>32</v>
      </c>
      <c r="U249" s="25" t="s">
        <v>415</v>
      </c>
      <c r="V249" s="25" t="s">
        <v>320</v>
      </c>
      <c r="W249" s="27" t="s">
        <v>1173</v>
      </c>
      <c r="X249" s="28" t="s">
        <v>1174</v>
      </c>
      <c r="Y249" s="28"/>
      <c r="Z249" s="29" t="s">
        <v>37</v>
      </c>
    </row>
    <row r="250" spans="1:26" ht="30" customHeight="1" thickBot="1" x14ac:dyDescent="0.25">
      <c r="A250" s="17">
        <f t="shared" si="7"/>
        <v>249</v>
      </c>
      <c r="B250" s="18" t="s">
        <v>25</v>
      </c>
      <c r="C250" s="19">
        <v>3520293261653</v>
      </c>
      <c r="D250" s="19">
        <v>1639</v>
      </c>
      <c r="E250" s="21">
        <v>43431</v>
      </c>
      <c r="F250" s="21">
        <v>47084</v>
      </c>
      <c r="G250" s="21">
        <v>34695</v>
      </c>
      <c r="H250" s="22">
        <f t="shared" ca="1" si="6"/>
        <v>31</v>
      </c>
      <c r="I250" s="18" t="s">
        <v>26</v>
      </c>
      <c r="J250" s="18" t="s">
        <v>27</v>
      </c>
      <c r="K250" s="23"/>
      <c r="L250" s="24" t="s">
        <v>1175</v>
      </c>
      <c r="M250" s="33" t="s">
        <v>145</v>
      </c>
      <c r="N250" s="23" t="s">
        <v>457</v>
      </c>
      <c r="O250" s="18">
        <v>7</v>
      </c>
      <c r="P250" s="24"/>
      <c r="Q250" s="25">
        <v>45748</v>
      </c>
      <c r="R250" s="13">
        <v>0</v>
      </c>
      <c r="S250" s="26" t="str">
        <f>VLOOKUP(C250,'[1]Bazaar Salary'!$B$6:$J$1193,9,0)</f>
        <v>03910010133755810016</v>
      </c>
      <c r="T250" s="25" t="s">
        <v>32</v>
      </c>
      <c r="U250" s="25" t="s">
        <v>415</v>
      </c>
      <c r="V250" s="25" t="s">
        <v>320</v>
      </c>
      <c r="W250" s="33" t="s">
        <v>1176</v>
      </c>
      <c r="X250" s="28" t="s">
        <v>1177</v>
      </c>
      <c r="Y250" s="28"/>
      <c r="Z250" s="29" t="s">
        <v>37</v>
      </c>
    </row>
    <row r="251" spans="1:26" ht="30" customHeight="1" thickBot="1" x14ac:dyDescent="0.25">
      <c r="A251" s="17">
        <f t="shared" si="7"/>
        <v>250</v>
      </c>
      <c r="B251" s="18" t="s">
        <v>25</v>
      </c>
      <c r="C251" s="19">
        <v>3520230266763</v>
      </c>
      <c r="D251" s="19">
        <v>1606</v>
      </c>
      <c r="E251" s="20">
        <v>43333</v>
      </c>
      <c r="F251" s="20">
        <v>46986</v>
      </c>
      <c r="G251" s="21">
        <v>35797</v>
      </c>
      <c r="H251" s="22">
        <f t="shared" ca="1" si="6"/>
        <v>28</v>
      </c>
      <c r="I251" s="19" t="s">
        <v>26</v>
      </c>
      <c r="J251" s="18" t="s">
        <v>27</v>
      </c>
      <c r="K251" s="18"/>
      <c r="L251" s="23" t="s">
        <v>1178</v>
      </c>
      <c r="M251" s="23" t="s">
        <v>716</v>
      </c>
      <c r="N251" s="23" t="s">
        <v>457</v>
      </c>
      <c r="O251" s="18">
        <v>7</v>
      </c>
      <c r="P251" s="24"/>
      <c r="Q251" s="25">
        <v>45748</v>
      </c>
      <c r="R251" s="13">
        <v>0</v>
      </c>
      <c r="S251" s="26" t="str">
        <f>VLOOKUP(C251,'[1]Bazaar Salary'!$B$6:$J$1193,9,0)</f>
        <v>13460010131119950013</v>
      </c>
      <c r="T251" s="25" t="s">
        <v>32</v>
      </c>
      <c r="U251" s="25" t="s">
        <v>415</v>
      </c>
      <c r="V251" s="25" t="s">
        <v>320</v>
      </c>
      <c r="W251" s="27" t="s">
        <v>1179</v>
      </c>
      <c r="X251" s="28" t="s">
        <v>1180</v>
      </c>
      <c r="Y251" s="28"/>
      <c r="Z251" s="29" t="s">
        <v>37</v>
      </c>
    </row>
    <row r="252" spans="1:26" ht="30" customHeight="1" thickBot="1" x14ac:dyDescent="0.25">
      <c r="A252" s="17">
        <f t="shared" si="7"/>
        <v>251</v>
      </c>
      <c r="B252" s="18" t="s">
        <v>25</v>
      </c>
      <c r="C252" s="19">
        <v>3520253228137</v>
      </c>
      <c r="D252" s="19">
        <v>174</v>
      </c>
      <c r="E252" s="20">
        <v>44445</v>
      </c>
      <c r="F252" s="20">
        <v>48097</v>
      </c>
      <c r="G252" s="21">
        <v>33911</v>
      </c>
      <c r="H252" s="22">
        <f t="shared" ca="1" si="6"/>
        <v>33</v>
      </c>
      <c r="I252" s="19" t="s">
        <v>26</v>
      </c>
      <c r="J252" s="18" t="s">
        <v>27</v>
      </c>
      <c r="K252" s="18"/>
      <c r="L252" s="23" t="s">
        <v>1181</v>
      </c>
      <c r="M252" s="23" t="s">
        <v>1182</v>
      </c>
      <c r="N252" s="23" t="s">
        <v>457</v>
      </c>
      <c r="O252" s="18">
        <v>7</v>
      </c>
      <c r="P252" s="24"/>
      <c r="Q252" s="25">
        <v>43011</v>
      </c>
      <c r="R252" s="13">
        <v>0</v>
      </c>
      <c r="S252" s="26" t="str">
        <f>VLOOKUP(C252,'[1]Bazaar Salary'!$B$6:$J$1193,9,0)</f>
        <v>03910010047599230011</v>
      </c>
      <c r="T252" s="25" t="s">
        <v>32</v>
      </c>
      <c r="U252" s="25" t="s">
        <v>415</v>
      </c>
      <c r="V252" s="25" t="s">
        <v>1101</v>
      </c>
      <c r="W252" s="27" t="s">
        <v>1183</v>
      </c>
      <c r="X252" s="28" t="s">
        <v>1184</v>
      </c>
      <c r="Y252" s="28"/>
      <c r="Z252" s="29" t="s">
        <v>37</v>
      </c>
    </row>
    <row r="253" spans="1:26" ht="30" customHeight="1" thickBot="1" x14ac:dyDescent="0.25">
      <c r="A253" s="17">
        <f t="shared" si="7"/>
        <v>252</v>
      </c>
      <c r="B253" s="18" t="s">
        <v>25</v>
      </c>
      <c r="C253" s="19">
        <v>3520303443406</v>
      </c>
      <c r="D253" s="19">
        <v>1835</v>
      </c>
      <c r="E253" s="20">
        <v>44738</v>
      </c>
      <c r="F253" s="20">
        <v>48391</v>
      </c>
      <c r="G253" s="21">
        <v>37578</v>
      </c>
      <c r="H253" s="22">
        <f t="shared" ca="1" si="6"/>
        <v>23</v>
      </c>
      <c r="I253" s="19" t="s">
        <v>26</v>
      </c>
      <c r="J253" s="18" t="s">
        <v>66</v>
      </c>
      <c r="K253" s="18"/>
      <c r="L253" s="23" t="s">
        <v>1185</v>
      </c>
      <c r="M253" s="23" t="s">
        <v>1186</v>
      </c>
      <c r="N253" s="23" t="s">
        <v>457</v>
      </c>
      <c r="O253" s="18">
        <v>7</v>
      </c>
      <c r="P253" s="24"/>
      <c r="Q253" s="25">
        <v>45748</v>
      </c>
      <c r="R253" s="13">
        <v>0</v>
      </c>
      <c r="S253" s="26" t="str">
        <f>VLOOKUP(C253,'[1]Bazaar Salary'!$B$6:$J$1193,9,0)</f>
        <v>03910010142947510010</v>
      </c>
      <c r="T253" s="25" t="s">
        <v>32</v>
      </c>
      <c r="U253" s="25" t="s">
        <v>415</v>
      </c>
      <c r="V253" s="25" t="s">
        <v>320</v>
      </c>
      <c r="W253" s="27" t="s">
        <v>1187</v>
      </c>
      <c r="X253" s="28" t="s">
        <v>1188</v>
      </c>
      <c r="Y253" s="28"/>
      <c r="Z253" s="29" t="s">
        <v>37</v>
      </c>
    </row>
    <row r="254" spans="1:26" ht="30" customHeight="1" thickBot="1" x14ac:dyDescent="0.25">
      <c r="A254" s="17">
        <f t="shared" si="7"/>
        <v>253</v>
      </c>
      <c r="B254" s="18" t="s">
        <v>25</v>
      </c>
      <c r="C254" s="19">
        <v>3520296400575</v>
      </c>
      <c r="D254" s="19">
        <v>1607</v>
      </c>
      <c r="E254" s="20">
        <v>45322</v>
      </c>
      <c r="F254" s="20">
        <v>48975</v>
      </c>
      <c r="G254" s="21">
        <v>36361</v>
      </c>
      <c r="H254" s="22">
        <f t="shared" ca="1" si="6"/>
        <v>26</v>
      </c>
      <c r="I254" s="19" t="s">
        <v>26</v>
      </c>
      <c r="J254" s="18" t="s">
        <v>27</v>
      </c>
      <c r="K254" s="18"/>
      <c r="L254" s="23" t="s">
        <v>1189</v>
      </c>
      <c r="M254" s="23" t="s">
        <v>1190</v>
      </c>
      <c r="N254" s="23" t="s">
        <v>457</v>
      </c>
      <c r="O254" s="18">
        <v>7</v>
      </c>
      <c r="P254" s="24"/>
      <c r="Q254" s="25">
        <v>45748</v>
      </c>
      <c r="R254" s="13">
        <v>0</v>
      </c>
      <c r="S254" s="26" t="str">
        <f>VLOOKUP(C254,'[1]Bazaar Salary'!$B$6:$J$1193,9,0)</f>
        <v>09410010131053610014</v>
      </c>
      <c r="T254" s="25" t="s">
        <v>32</v>
      </c>
      <c r="U254" s="25" t="s">
        <v>430</v>
      </c>
      <c r="V254" s="25" t="s">
        <v>320</v>
      </c>
      <c r="W254" s="27" t="s">
        <v>1191</v>
      </c>
      <c r="X254" s="28" t="s">
        <v>1192</v>
      </c>
      <c r="Y254" s="28"/>
      <c r="Z254" s="29" t="s">
        <v>37</v>
      </c>
    </row>
    <row r="255" spans="1:26" ht="30" customHeight="1" thickBot="1" x14ac:dyDescent="0.25">
      <c r="A255" s="17">
        <f t="shared" si="7"/>
        <v>254</v>
      </c>
      <c r="B255" s="18" t="s">
        <v>25</v>
      </c>
      <c r="C255" s="19">
        <v>3840308740233</v>
      </c>
      <c r="D255" s="19" t="s">
        <v>542</v>
      </c>
      <c r="E255" s="20">
        <v>44315</v>
      </c>
      <c r="F255" s="20">
        <v>47967</v>
      </c>
      <c r="G255" s="21">
        <v>37456</v>
      </c>
      <c r="H255" s="22">
        <f t="shared" ca="1" si="6"/>
        <v>23</v>
      </c>
      <c r="I255" s="19" t="s">
        <v>26</v>
      </c>
      <c r="J255" s="18" t="s">
        <v>27</v>
      </c>
      <c r="K255" s="18"/>
      <c r="L255" s="23" t="s">
        <v>1193</v>
      </c>
      <c r="M255" s="23" t="s">
        <v>1194</v>
      </c>
      <c r="N255" s="23" t="s">
        <v>457</v>
      </c>
      <c r="O255" s="18">
        <v>7</v>
      </c>
      <c r="P255" s="24"/>
      <c r="Q255" s="25">
        <v>45307</v>
      </c>
      <c r="R255" s="13">
        <v>0</v>
      </c>
      <c r="S255" s="26" t="str">
        <f>VLOOKUP(C255,'[1]Bazaar Salary'!$B$6:$J$1193,9,0)</f>
        <v>02880010123251930013</v>
      </c>
      <c r="T255" s="25" t="s">
        <v>32</v>
      </c>
      <c r="U255" s="25" t="s">
        <v>430</v>
      </c>
      <c r="V255" s="25" t="s">
        <v>320</v>
      </c>
      <c r="W255" s="27" t="s">
        <v>1195</v>
      </c>
      <c r="X255" s="28" t="s">
        <v>1196</v>
      </c>
      <c r="Y255" s="28"/>
      <c r="Z255" s="29" t="s">
        <v>37</v>
      </c>
    </row>
    <row r="256" spans="1:26" ht="30" customHeight="1" thickBot="1" x14ac:dyDescent="0.25">
      <c r="A256" s="17">
        <f t="shared" si="7"/>
        <v>255</v>
      </c>
      <c r="B256" s="18" t="s">
        <v>25</v>
      </c>
      <c r="C256" s="19">
        <v>3640188990237</v>
      </c>
      <c r="D256" s="19">
        <v>1389</v>
      </c>
      <c r="E256" s="20">
        <v>44596</v>
      </c>
      <c r="F256" s="20">
        <v>48248</v>
      </c>
      <c r="G256" s="21">
        <v>37987</v>
      </c>
      <c r="H256" s="22">
        <f t="shared" ca="1" si="6"/>
        <v>22</v>
      </c>
      <c r="I256" s="19" t="s">
        <v>26</v>
      </c>
      <c r="J256" s="18" t="s">
        <v>27</v>
      </c>
      <c r="K256" s="18"/>
      <c r="L256" s="23" t="s">
        <v>785</v>
      </c>
      <c r="M256" s="23" t="s">
        <v>1197</v>
      </c>
      <c r="N256" s="24" t="s">
        <v>457</v>
      </c>
      <c r="O256" s="18">
        <v>7</v>
      </c>
      <c r="P256" s="24"/>
      <c r="Q256" s="25">
        <v>45748</v>
      </c>
      <c r="R256" s="13">
        <v>0</v>
      </c>
      <c r="S256" s="26" t="str">
        <f>VLOOKUP(C256,'[1]Bazaar Salary'!$B$6:$J$1193,9,0)</f>
        <v>02980010100966690019</v>
      </c>
      <c r="T256" s="25" t="s">
        <v>32</v>
      </c>
      <c r="U256" s="25" t="s">
        <v>858</v>
      </c>
      <c r="V256" s="25" t="s">
        <v>320</v>
      </c>
      <c r="W256" s="27" t="s">
        <v>1198</v>
      </c>
      <c r="X256" s="28" t="s">
        <v>1199</v>
      </c>
      <c r="Y256" s="28"/>
      <c r="Z256" s="29" t="s">
        <v>37</v>
      </c>
    </row>
    <row r="257" spans="1:26" ht="30" customHeight="1" thickBot="1" x14ac:dyDescent="0.25">
      <c r="A257" s="17">
        <f t="shared" si="7"/>
        <v>256</v>
      </c>
      <c r="B257" s="18" t="s">
        <v>25</v>
      </c>
      <c r="C257" s="19">
        <v>3650268626143</v>
      </c>
      <c r="D257" s="19">
        <v>1610</v>
      </c>
      <c r="E257" s="20">
        <v>45368</v>
      </c>
      <c r="F257" s="20">
        <v>49020</v>
      </c>
      <c r="G257" s="21">
        <v>34841</v>
      </c>
      <c r="H257" s="22">
        <f t="shared" ca="1" si="6"/>
        <v>31</v>
      </c>
      <c r="I257" s="19" t="s">
        <v>26</v>
      </c>
      <c r="J257" s="18" t="s">
        <v>27</v>
      </c>
      <c r="K257" s="18"/>
      <c r="L257" s="23" t="s">
        <v>1200</v>
      </c>
      <c r="M257" s="23" t="s">
        <v>1201</v>
      </c>
      <c r="N257" s="23" t="s">
        <v>457</v>
      </c>
      <c r="O257" s="18">
        <v>7</v>
      </c>
      <c r="P257" s="24"/>
      <c r="Q257" s="25">
        <v>45748</v>
      </c>
      <c r="R257" s="13">
        <v>0</v>
      </c>
      <c r="S257" s="26" t="str">
        <f>VLOOKUP(C257,'[1]Bazaar Salary'!$B$6:$J$1193,9,0)</f>
        <v>10890010131674350013</v>
      </c>
      <c r="T257" s="25" t="s">
        <v>32</v>
      </c>
      <c r="U257" s="25" t="s">
        <v>858</v>
      </c>
      <c r="V257" s="25" t="s">
        <v>320</v>
      </c>
      <c r="W257" s="27" t="s">
        <v>1202</v>
      </c>
      <c r="X257" s="32" t="s">
        <v>1203</v>
      </c>
      <c r="Y257" s="28"/>
      <c r="Z257" s="29" t="s">
        <v>37</v>
      </c>
    </row>
    <row r="258" spans="1:26" ht="30" customHeight="1" thickBot="1" x14ac:dyDescent="0.25">
      <c r="A258" s="17">
        <f t="shared" si="7"/>
        <v>257</v>
      </c>
      <c r="B258" s="18" t="s">
        <v>25</v>
      </c>
      <c r="C258" s="19">
        <v>3230315225751</v>
      </c>
      <c r="D258" s="19"/>
      <c r="E258" s="20">
        <v>45634</v>
      </c>
      <c r="F258" s="20">
        <v>49286</v>
      </c>
      <c r="G258" s="25">
        <v>35168</v>
      </c>
      <c r="H258" s="22">
        <f t="shared" ref="H258:H321" ca="1" si="8">INT((TODAY()-G258)/365)</f>
        <v>30</v>
      </c>
      <c r="I258" s="19" t="s">
        <v>26</v>
      </c>
      <c r="J258" s="18" t="s">
        <v>27</v>
      </c>
      <c r="K258" s="18"/>
      <c r="L258" s="23" t="s">
        <v>1204</v>
      </c>
      <c r="M258" s="30" t="s">
        <v>1205</v>
      </c>
      <c r="N258" s="23" t="s">
        <v>457</v>
      </c>
      <c r="O258" s="18">
        <v>7</v>
      </c>
      <c r="P258" s="24"/>
      <c r="Q258" s="25">
        <v>45748</v>
      </c>
      <c r="R258" s="13">
        <v>0</v>
      </c>
      <c r="S258" s="26" t="str">
        <f>VLOOKUP(C258,'[1]Bazaar Salary'!$B$6:$J$1193,9,0)</f>
        <v>10960010087746940017</v>
      </c>
      <c r="T258" s="25" t="s">
        <v>32</v>
      </c>
      <c r="U258" s="25" t="s">
        <v>1206</v>
      </c>
      <c r="V258" s="25" t="s">
        <v>1047</v>
      </c>
      <c r="W258" s="27" t="s">
        <v>1207</v>
      </c>
      <c r="X258" s="28" t="s">
        <v>1208</v>
      </c>
      <c r="Y258" s="28"/>
      <c r="Z258" s="29" t="s">
        <v>37</v>
      </c>
    </row>
    <row r="259" spans="1:26" ht="30" customHeight="1" thickBot="1" x14ac:dyDescent="0.25">
      <c r="A259" s="17">
        <f t="shared" si="7"/>
        <v>258</v>
      </c>
      <c r="B259" s="18" t="s">
        <v>25</v>
      </c>
      <c r="C259" s="19">
        <v>3520268924647</v>
      </c>
      <c r="D259" s="19">
        <v>1681</v>
      </c>
      <c r="E259" s="21">
        <v>44380</v>
      </c>
      <c r="F259" s="21">
        <v>48032</v>
      </c>
      <c r="G259" s="21">
        <v>37596</v>
      </c>
      <c r="H259" s="22">
        <f t="shared" ca="1" si="8"/>
        <v>23</v>
      </c>
      <c r="I259" s="18" t="s">
        <v>26</v>
      </c>
      <c r="J259" s="18" t="s">
        <v>27</v>
      </c>
      <c r="K259" s="23"/>
      <c r="L259" s="24" t="s">
        <v>1209</v>
      </c>
      <c r="M259" s="33" t="s">
        <v>1210</v>
      </c>
      <c r="N259" s="24" t="s">
        <v>457</v>
      </c>
      <c r="O259" s="18">
        <v>7</v>
      </c>
      <c r="P259" s="24"/>
      <c r="Q259" s="25">
        <v>45748</v>
      </c>
      <c r="R259" s="13">
        <v>0</v>
      </c>
      <c r="S259" s="26" t="str">
        <f>VLOOKUP(C259,'[1]Bazaar Salary'!$B$6:$J$1193,9,0)</f>
        <v>01260010135244350013</v>
      </c>
      <c r="T259" s="25" t="s">
        <v>32</v>
      </c>
      <c r="U259" s="25" t="s">
        <v>443</v>
      </c>
      <c r="V259" s="25" t="s">
        <v>320</v>
      </c>
      <c r="W259" s="33" t="s">
        <v>1211</v>
      </c>
      <c r="X259" s="28" t="s">
        <v>1212</v>
      </c>
      <c r="Y259" s="28"/>
      <c r="Z259" s="29" t="s">
        <v>37</v>
      </c>
    </row>
    <row r="260" spans="1:26" ht="30" customHeight="1" thickBot="1" x14ac:dyDescent="0.25">
      <c r="A260" s="17">
        <f t="shared" ref="A260:A323" si="9">A259+1</f>
        <v>259</v>
      </c>
      <c r="B260" s="18" t="s">
        <v>25</v>
      </c>
      <c r="C260" s="19">
        <v>3660136027103</v>
      </c>
      <c r="D260" s="19">
        <v>1664</v>
      </c>
      <c r="E260" s="21">
        <v>45054</v>
      </c>
      <c r="F260" s="21">
        <v>48707</v>
      </c>
      <c r="G260" s="21">
        <v>33984</v>
      </c>
      <c r="H260" s="22">
        <f t="shared" ca="1" si="8"/>
        <v>33</v>
      </c>
      <c r="I260" s="18" t="s">
        <v>26</v>
      </c>
      <c r="J260" s="18" t="s">
        <v>27</v>
      </c>
      <c r="K260" s="23"/>
      <c r="L260" s="24" t="s">
        <v>1213</v>
      </c>
      <c r="M260" s="33" t="s">
        <v>1214</v>
      </c>
      <c r="N260" s="24" t="s">
        <v>457</v>
      </c>
      <c r="O260" s="18">
        <v>7</v>
      </c>
      <c r="P260" s="24"/>
      <c r="Q260" s="25">
        <v>45748</v>
      </c>
      <c r="R260" s="13">
        <v>0</v>
      </c>
      <c r="S260" s="26" t="str">
        <f>VLOOKUP(C260,'[1]Bazaar Salary'!$B$6:$J$1193,9,0)</f>
        <v>09140010135074420013</v>
      </c>
      <c r="T260" s="25" t="s">
        <v>32</v>
      </c>
      <c r="U260" s="25" t="s">
        <v>1215</v>
      </c>
      <c r="V260" s="25" t="s">
        <v>670</v>
      </c>
      <c r="W260" s="33" t="s">
        <v>1216</v>
      </c>
      <c r="X260" s="28" t="s">
        <v>1217</v>
      </c>
      <c r="Y260" s="28"/>
      <c r="Z260" s="29" t="s">
        <v>37</v>
      </c>
    </row>
    <row r="261" spans="1:26" ht="30" customHeight="1" thickBot="1" x14ac:dyDescent="0.25">
      <c r="A261" s="17">
        <f t="shared" si="9"/>
        <v>260</v>
      </c>
      <c r="B261" s="18" t="s">
        <v>25</v>
      </c>
      <c r="C261" s="19">
        <v>3230367860461</v>
      </c>
      <c r="D261" s="19">
        <v>1722</v>
      </c>
      <c r="E261" s="20">
        <v>43034</v>
      </c>
      <c r="F261" s="20">
        <v>46686</v>
      </c>
      <c r="G261" s="21">
        <v>36240</v>
      </c>
      <c r="H261" s="22">
        <f t="shared" ca="1" si="8"/>
        <v>27</v>
      </c>
      <c r="I261" s="19" t="s">
        <v>26</v>
      </c>
      <c r="J261" s="18" t="s">
        <v>27</v>
      </c>
      <c r="K261" s="18"/>
      <c r="L261" s="23" t="s">
        <v>1218</v>
      </c>
      <c r="M261" s="23" t="s">
        <v>526</v>
      </c>
      <c r="N261" s="24" t="s">
        <v>457</v>
      </c>
      <c r="O261" s="18">
        <v>7</v>
      </c>
      <c r="P261" s="24"/>
      <c r="Q261" s="25">
        <v>45748</v>
      </c>
      <c r="R261" s="13">
        <v>0</v>
      </c>
      <c r="S261" s="26" t="str">
        <f>VLOOKUP(C261,'[1]Bazaar Salary'!$B$6:$J$1193,9,0)</f>
        <v>05580010099451450010</v>
      </c>
      <c r="T261" s="25" t="s">
        <v>32</v>
      </c>
      <c r="U261" s="25" t="s">
        <v>883</v>
      </c>
      <c r="V261" s="25" t="s">
        <v>320</v>
      </c>
      <c r="W261" s="27" t="s">
        <v>1219</v>
      </c>
      <c r="X261" s="28" t="s">
        <v>1220</v>
      </c>
      <c r="Y261" s="28"/>
      <c r="Z261" s="29" t="s">
        <v>37</v>
      </c>
    </row>
    <row r="262" spans="1:26" ht="30" customHeight="1" thickBot="1" x14ac:dyDescent="0.25">
      <c r="A262" s="17">
        <f t="shared" si="9"/>
        <v>261</v>
      </c>
      <c r="B262" s="18" t="s">
        <v>25</v>
      </c>
      <c r="C262" s="19">
        <v>3520286605879</v>
      </c>
      <c r="D262" s="19">
        <v>1660</v>
      </c>
      <c r="E262" s="20">
        <v>43869</v>
      </c>
      <c r="F262" s="20">
        <v>47522</v>
      </c>
      <c r="G262" s="21">
        <v>34503</v>
      </c>
      <c r="H262" s="22">
        <f t="shared" ca="1" si="8"/>
        <v>32</v>
      </c>
      <c r="I262" s="19" t="s">
        <v>26</v>
      </c>
      <c r="J262" s="18" t="s">
        <v>27</v>
      </c>
      <c r="K262" s="18"/>
      <c r="L262" s="23" t="s">
        <v>1221</v>
      </c>
      <c r="M262" s="23" t="s">
        <v>1222</v>
      </c>
      <c r="N262" s="23" t="s">
        <v>457</v>
      </c>
      <c r="O262" s="18">
        <v>7</v>
      </c>
      <c r="P262" s="24"/>
      <c r="Q262" s="25">
        <v>45748</v>
      </c>
      <c r="R262" s="13">
        <v>0</v>
      </c>
      <c r="S262" s="26" t="str">
        <f>VLOOKUP(C262,'[1]Bazaar Salary'!$B$6:$J$1193,9,0)</f>
        <v>02880010046413410012</v>
      </c>
      <c r="T262" s="25" t="s">
        <v>32</v>
      </c>
      <c r="U262" s="25" t="s">
        <v>448</v>
      </c>
      <c r="V262" s="25" t="s">
        <v>320</v>
      </c>
      <c r="W262" s="27" t="s">
        <v>1223</v>
      </c>
      <c r="X262" s="28" t="s">
        <v>1224</v>
      </c>
      <c r="Y262" s="28"/>
      <c r="Z262" s="29" t="s">
        <v>37</v>
      </c>
    </row>
    <row r="263" spans="1:26" ht="30" customHeight="1" thickBot="1" x14ac:dyDescent="0.25">
      <c r="A263" s="17">
        <f t="shared" si="9"/>
        <v>262</v>
      </c>
      <c r="B263" s="18" t="s">
        <v>25</v>
      </c>
      <c r="C263" s="19">
        <v>3520289693279</v>
      </c>
      <c r="D263" s="19">
        <v>1678</v>
      </c>
      <c r="E263" s="21">
        <v>43858</v>
      </c>
      <c r="F263" s="21">
        <v>47511</v>
      </c>
      <c r="G263" s="21">
        <v>37250</v>
      </c>
      <c r="H263" s="22">
        <f t="shared" ca="1" si="8"/>
        <v>24</v>
      </c>
      <c r="I263" s="18" t="s">
        <v>26</v>
      </c>
      <c r="J263" s="18" t="s">
        <v>27</v>
      </c>
      <c r="K263" s="23"/>
      <c r="L263" s="24" t="s">
        <v>1225</v>
      </c>
      <c r="M263" s="33" t="s">
        <v>1226</v>
      </c>
      <c r="N263" s="24" t="s">
        <v>457</v>
      </c>
      <c r="O263" s="18">
        <v>7</v>
      </c>
      <c r="P263" s="24"/>
      <c r="Q263" s="25">
        <v>45748</v>
      </c>
      <c r="R263" s="13">
        <v>0</v>
      </c>
      <c r="S263" s="26" t="str">
        <f>VLOOKUP(C263,'[1]Bazaar Salary'!$B$6:$J$1193,9,0)</f>
        <v>09650010135268420013</v>
      </c>
      <c r="T263" s="25" t="s">
        <v>32</v>
      </c>
      <c r="U263" s="25" t="s">
        <v>448</v>
      </c>
      <c r="V263" s="25" t="s">
        <v>320</v>
      </c>
      <c r="W263" s="33" t="s">
        <v>1227</v>
      </c>
      <c r="X263" s="28" t="s">
        <v>1228</v>
      </c>
      <c r="Y263" s="28"/>
      <c r="Z263" s="29" t="s">
        <v>37</v>
      </c>
    </row>
    <row r="264" spans="1:26" ht="30" customHeight="1" thickBot="1" x14ac:dyDescent="0.25">
      <c r="A264" s="17">
        <f t="shared" si="9"/>
        <v>263</v>
      </c>
      <c r="B264" s="18" t="s">
        <v>25</v>
      </c>
      <c r="C264" s="19">
        <v>3520260013031</v>
      </c>
      <c r="D264" s="19">
        <v>1814</v>
      </c>
      <c r="E264" s="20">
        <v>44433</v>
      </c>
      <c r="F264" s="20">
        <v>48085</v>
      </c>
      <c r="G264" s="21">
        <v>36480</v>
      </c>
      <c r="H264" s="22">
        <f t="shared" ca="1" si="8"/>
        <v>26</v>
      </c>
      <c r="I264" s="19" t="s">
        <v>26</v>
      </c>
      <c r="J264" s="18" t="s">
        <v>27</v>
      </c>
      <c r="K264" s="18"/>
      <c r="L264" s="23" t="s">
        <v>1229</v>
      </c>
      <c r="M264" s="23" t="s">
        <v>1230</v>
      </c>
      <c r="N264" s="23" t="s">
        <v>457</v>
      </c>
      <c r="O264" s="18">
        <v>7</v>
      </c>
      <c r="P264" s="24"/>
      <c r="Q264" s="25">
        <v>45748</v>
      </c>
      <c r="R264" s="13">
        <v>0</v>
      </c>
      <c r="S264" s="26" t="str">
        <f>VLOOKUP(C264,'[1]Bazaar Salary'!$B$6:$J$1193,9,0)</f>
        <v>07660010142476360010</v>
      </c>
      <c r="T264" s="25" t="s">
        <v>32</v>
      </c>
      <c r="U264" s="25" t="s">
        <v>448</v>
      </c>
      <c r="V264" s="25" t="s">
        <v>320</v>
      </c>
      <c r="W264" s="27" t="s">
        <v>1231</v>
      </c>
      <c r="X264" s="28" t="s">
        <v>1232</v>
      </c>
      <c r="Y264" s="28"/>
      <c r="Z264" s="29" t="s">
        <v>37</v>
      </c>
    </row>
    <row r="265" spans="1:26" ht="30" customHeight="1" thickBot="1" x14ac:dyDescent="0.25">
      <c r="A265" s="17">
        <f t="shared" si="9"/>
        <v>264</v>
      </c>
      <c r="B265" s="18" t="s">
        <v>25</v>
      </c>
      <c r="C265" s="19">
        <v>3320207874279</v>
      </c>
      <c r="D265" s="19">
        <v>1545</v>
      </c>
      <c r="E265" s="20">
        <v>44445</v>
      </c>
      <c r="F265" s="20">
        <v>48097</v>
      </c>
      <c r="G265" s="21">
        <v>37471</v>
      </c>
      <c r="H265" s="22">
        <f t="shared" ca="1" si="8"/>
        <v>23</v>
      </c>
      <c r="I265" s="19" t="s">
        <v>26</v>
      </c>
      <c r="J265" s="18" t="s">
        <v>27</v>
      </c>
      <c r="K265" s="18"/>
      <c r="L265" s="23" t="s">
        <v>1233</v>
      </c>
      <c r="M265" s="23" t="s">
        <v>748</v>
      </c>
      <c r="N265" s="23" t="s">
        <v>457</v>
      </c>
      <c r="O265" s="18">
        <v>7</v>
      </c>
      <c r="P265" s="24"/>
      <c r="Q265" s="25">
        <v>45292</v>
      </c>
      <c r="R265" s="13">
        <v>0</v>
      </c>
      <c r="S265" s="26" t="str">
        <f>VLOOKUP(C265,'[1]Bazaar Salary'!$B$6:$J$1193,9,0)</f>
        <v>05110010118849670012</v>
      </c>
      <c r="T265" s="25" t="s">
        <v>32</v>
      </c>
      <c r="U265" s="25" t="s">
        <v>506</v>
      </c>
      <c r="V265" s="25" t="s">
        <v>320</v>
      </c>
      <c r="W265" s="27" t="s">
        <v>1234</v>
      </c>
      <c r="X265" s="28" t="s">
        <v>1235</v>
      </c>
      <c r="Y265" s="28"/>
      <c r="Z265" s="29" t="s">
        <v>37</v>
      </c>
    </row>
    <row r="266" spans="1:26" ht="30" customHeight="1" thickBot="1" x14ac:dyDescent="0.25">
      <c r="A266" s="17">
        <f t="shared" si="9"/>
        <v>265</v>
      </c>
      <c r="B266" s="18" t="s">
        <v>25</v>
      </c>
      <c r="C266" s="19">
        <v>3520297741107</v>
      </c>
      <c r="D266" s="19">
        <v>119</v>
      </c>
      <c r="E266" s="20">
        <v>44495</v>
      </c>
      <c r="F266" s="20">
        <v>48147</v>
      </c>
      <c r="G266" s="21">
        <v>33281</v>
      </c>
      <c r="H266" s="22">
        <f t="shared" ca="1" si="8"/>
        <v>35</v>
      </c>
      <c r="I266" s="19" t="s">
        <v>26</v>
      </c>
      <c r="J266" s="18" t="s">
        <v>27</v>
      </c>
      <c r="K266" s="18"/>
      <c r="L266" s="23" t="s">
        <v>1236</v>
      </c>
      <c r="M266" s="23" t="s">
        <v>1237</v>
      </c>
      <c r="N266" s="23" t="s">
        <v>457</v>
      </c>
      <c r="O266" s="18">
        <v>7</v>
      </c>
      <c r="P266" s="24"/>
      <c r="Q266" s="25">
        <v>43019</v>
      </c>
      <c r="R266" s="13">
        <v>0</v>
      </c>
      <c r="S266" s="26" t="str">
        <f>VLOOKUP(C266,'[1]Bazaar Salary'!$B$6:$J$1193,9,0)</f>
        <v>07660010640333630014</v>
      </c>
      <c r="T266" s="25" t="s">
        <v>32</v>
      </c>
      <c r="U266" s="25" t="s">
        <v>254</v>
      </c>
      <c r="V266" s="25" t="s">
        <v>1238</v>
      </c>
      <c r="W266" s="27" t="s">
        <v>1239</v>
      </c>
      <c r="X266" s="28" t="s">
        <v>1240</v>
      </c>
      <c r="Y266" s="28"/>
      <c r="Z266" s="29" t="s">
        <v>37</v>
      </c>
    </row>
    <row r="267" spans="1:26" ht="30" customHeight="1" thickBot="1" x14ac:dyDescent="0.25">
      <c r="A267" s="17">
        <f t="shared" si="9"/>
        <v>266</v>
      </c>
      <c r="B267" s="18" t="s">
        <v>25</v>
      </c>
      <c r="C267" s="19">
        <v>3520280883235</v>
      </c>
      <c r="D267" s="19">
        <v>1651</v>
      </c>
      <c r="E267" s="20">
        <v>42803</v>
      </c>
      <c r="F267" s="20">
        <v>46455</v>
      </c>
      <c r="G267" s="21">
        <v>36169</v>
      </c>
      <c r="H267" s="22">
        <f t="shared" ca="1" si="8"/>
        <v>27</v>
      </c>
      <c r="I267" s="19" t="s">
        <v>26</v>
      </c>
      <c r="J267" s="18" t="s">
        <v>27</v>
      </c>
      <c r="K267" s="18"/>
      <c r="L267" s="23" t="s">
        <v>1241</v>
      </c>
      <c r="M267" s="23" t="s">
        <v>1242</v>
      </c>
      <c r="N267" s="23" t="s">
        <v>457</v>
      </c>
      <c r="O267" s="18">
        <v>7</v>
      </c>
      <c r="P267" s="24"/>
      <c r="Q267" s="25">
        <v>45748</v>
      </c>
      <c r="R267" s="13">
        <v>0</v>
      </c>
      <c r="S267" s="26" t="str">
        <f>VLOOKUP(C267,'[1]Bazaar Salary'!$B$6:$J$1193,9,0)</f>
        <v>03900010132570190010</v>
      </c>
      <c r="T267" s="25" t="s">
        <v>32</v>
      </c>
      <c r="U267" s="25" t="s">
        <v>254</v>
      </c>
      <c r="V267" s="25" t="s">
        <v>320</v>
      </c>
      <c r="W267" s="27" t="s">
        <v>1243</v>
      </c>
      <c r="X267" s="28" t="s">
        <v>1244</v>
      </c>
      <c r="Y267" s="28"/>
      <c r="Z267" s="29" t="s">
        <v>37</v>
      </c>
    </row>
    <row r="268" spans="1:26" ht="30" customHeight="1" thickBot="1" x14ac:dyDescent="0.25">
      <c r="A268" s="17">
        <f t="shared" si="9"/>
        <v>267</v>
      </c>
      <c r="B268" s="18" t="s">
        <v>25</v>
      </c>
      <c r="C268" s="19">
        <v>3520216224149</v>
      </c>
      <c r="D268" s="19">
        <v>1661</v>
      </c>
      <c r="E268" s="21">
        <v>45467</v>
      </c>
      <c r="F268" s="21">
        <v>49119</v>
      </c>
      <c r="G268" s="21">
        <v>38669</v>
      </c>
      <c r="H268" s="22">
        <f t="shared" ca="1" si="8"/>
        <v>20</v>
      </c>
      <c r="I268" s="18" t="s">
        <v>26</v>
      </c>
      <c r="J268" s="18" t="s">
        <v>27</v>
      </c>
      <c r="K268" s="23"/>
      <c r="L268" s="24" t="s">
        <v>1245</v>
      </c>
      <c r="M268" s="33" t="s">
        <v>1246</v>
      </c>
      <c r="N268" s="24" t="s">
        <v>457</v>
      </c>
      <c r="O268" s="18">
        <v>7</v>
      </c>
      <c r="P268" s="24"/>
      <c r="Q268" s="25">
        <v>45748</v>
      </c>
      <c r="R268" s="13">
        <v>0</v>
      </c>
      <c r="S268" s="26" t="str">
        <f>VLOOKUP(C268,'[1]Bazaar Salary'!$B$6:$J$1193,9,0)</f>
        <v>07660010135457020010</v>
      </c>
      <c r="T268" s="25" t="s">
        <v>32</v>
      </c>
      <c r="U268" s="25" t="s">
        <v>919</v>
      </c>
      <c r="V268" s="25" t="s">
        <v>320</v>
      </c>
      <c r="W268" s="33" t="s">
        <v>1247</v>
      </c>
      <c r="X268" s="28" t="s">
        <v>1248</v>
      </c>
      <c r="Y268" s="28"/>
      <c r="Z268" s="29" t="s">
        <v>37</v>
      </c>
    </row>
    <row r="269" spans="1:26" ht="30" customHeight="1" thickBot="1" x14ac:dyDescent="0.25">
      <c r="A269" s="17">
        <f t="shared" si="9"/>
        <v>268</v>
      </c>
      <c r="B269" s="18" t="s">
        <v>25</v>
      </c>
      <c r="C269" s="19">
        <v>3520403401971</v>
      </c>
      <c r="D269" s="19">
        <v>1576</v>
      </c>
      <c r="E269" s="20">
        <v>43791</v>
      </c>
      <c r="F269" s="20">
        <v>47444</v>
      </c>
      <c r="G269" s="21">
        <v>30178</v>
      </c>
      <c r="H269" s="22">
        <f t="shared" ca="1" si="8"/>
        <v>43</v>
      </c>
      <c r="I269" s="19" t="s">
        <v>26</v>
      </c>
      <c r="J269" s="18" t="s">
        <v>27</v>
      </c>
      <c r="K269" s="18"/>
      <c r="L269" s="23" t="s">
        <v>413</v>
      </c>
      <c r="M269" s="23" t="s">
        <v>314</v>
      </c>
      <c r="N269" s="23" t="s">
        <v>457</v>
      </c>
      <c r="O269" s="18">
        <v>7</v>
      </c>
      <c r="P269" s="24"/>
      <c r="Q269" s="25">
        <v>45748</v>
      </c>
      <c r="R269" s="13">
        <v>0</v>
      </c>
      <c r="S269" s="26" t="str">
        <f>VLOOKUP(C269,'[1]Bazaar Salary'!$B$6:$J$1193,9,0)</f>
        <v>09650010073939480015</v>
      </c>
      <c r="T269" s="25" t="s">
        <v>32</v>
      </c>
      <c r="U269" s="25" t="s">
        <v>512</v>
      </c>
      <c r="V269" s="25" t="s">
        <v>320</v>
      </c>
      <c r="W269" s="34" t="s">
        <v>1249</v>
      </c>
      <c r="X269" s="28" t="s">
        <v>1250</v>
      </c>
      <c r="Y269" s="28"/>
      <c r="Z269" s="29" t="s">
        <v>37</v>
      </c>
    </row>
    <row r="270" spans="1:26" ht="30" customHeight="1" thickBot="1" x14ac:dyDescent="0.25">
      <c r="A270" s="17">
        <f t="shared" si="9"/>
        <v>269</v>
      </c>
      <c r="B270" s="18" t="s">
        <v>25</v>
      </c>
      <c r="C270" s="19">
        <v>3520265497789</v>
      </c>
      <c r="D270" s="19"/>
      <c r="E270" s="20">
        <v>42598</v>
      </c>
      <c r="F270" s="20">
        <v>46250</v>
      </c>
      <c r="G270" s="21">
        <v>32926</v>
      </c>
      <c r="H270" s="22">
        <f t="shared" ca="1" si="8"/>
        <v>36</v>
      </c>
      <c r="I270" s="19" t="s">
        <v>26</v>
      </c>
      <c r="J270" s="18" t="s">
        <v>27</v>
      </c>
      <c r="K270" s="18"/>
      <c r="L270" s="23" t="s">
        <v>1251</v>
      </c>
      <c r="M270" s="23" t="s">
        <v>409</v>
      </c>
      <c r="N270" s="23" t="s">
        <v>457</v>
      </c>
      <c r="O270" s="18">
        <v>7</v>
      </c>
      <c r="P270" s="24"/>
      <c r="Q270" s="25">
        <v>45748</v>
      </c>
      <c r="R270" s="13">
        <v>0</v>
      </c>
      <c r="S270" s="26" t="str">
        <f>VLOOKUP(C270,'[1]Bazaar Salary'!$B$6:$J$1193,9,0)</f>
        <v>02880010045640920029</v>
      </c>
      <c r="T270" s="25" t="s">
        <v>32</v>
      </c>
      <c r="U270" s="25" t="s">
        <v>512</v>
      </c>
      <c r="V270" s="25" t="s">
        <v>320</v>
      </c>
      <c r="W270" s="27" t="s">
        <v>1252</v>
      </c>
      <c r="X270" s="28" t="s">
        <v>1253</v>
      </c>
      <c r="Y270" s="28"/>
      <c r="Z270" s="29" t="s">
        <v>37</v>
      </c>
    </row>
    <row r="271" spans="1:26" ht="30" customHeight="1" thickBot="1" x14ac:dyDescent="0.25">
      <c r="A271" s="17">
        <f t="shared" si="9"/>
        <v>270</v>
      </c>
      <c r="B271" s="18" t="s">
        <v>25</v>
      </c>
      <c r="C271" s="19">
        <v>3520257022395</v>
      </c>
      <c r="D271" s="19">
        <v>1740</v>
      </c>
      <c r="E271" s="20">
        <v>44560</v>
      </c>
      <c r="F271" s="20">
        <v>48212</v>
      </c>
      <c r="G271" s="21">
        <v>37448</v>
      </c>
      <c r="H271" s="22">
        <f t="shared" ca="1" si="8"/>
        <v>23</v>
      </c>
      <c r="I271" s="19" t="s">
        <v>26</v>
      </c>
      <c r="J271" s="18" t="s">
        <v>27</v>
      </c>
      <c r="K271" s="18"/>
      <c r="L271" s="23" t="s">
        <v>1254</v>
      </c>
      <c r="M271" s="23" t="s">
        <v>1255</v>
      </c>
      <c r="N271" s="24" t="s">
        <v>457</v>
      </c>
      <c r="O271" s="18">
        <v>7</v>
      </c>
      <c r="P271" s="24"/>
      <c r="Q271" s="25">
        <v>45748</v>
      </c>
      <c r="R271" s="13">
        <v>0</v>
      </c>
      <c r="S271" s="26" t="str">
        <f>VLOOKUP(C271,'[1]Bazaar Salary'!$B$6:$J$1193,9,0)</f>
        <v>12630010092778280015</v>
      </c>
      <c r="T271" s="25" t="s">
        <v>32</v>
      </c>
      <c r="U271" s="25" t="s">
        <v>512</v>
      </c>
      <c r="V271" s="25" t="s">
        <v>320</v>
      </c>
      <c r="W271" s="27" t="s">
        <v>1256</v>
      </c>
      <c r="X271" s="28" t="s">
        <v>1257</v>
      </c>
      <c r="Y271" s="28"/>
      <c r="Z271" s="29" t="s">
        <v>37</v>
      </c>
    </row>
    <row r="272" spans="1:26" ht="30" customHeight="1" thickBot="1" x14ac:dyDescent="0.25">
      <c r="A272" s="17">
        <f t="shared" si="9"/>
        <v>271</v>
      </c>
      <c r="B272" s="18" t="s">
        <v>25</v>
      </c>
      <c r="C272" s="19">
        <v>3510333870093</v>
      </c>
      <c r="D272" s="19">
        <v>1844</v>
      </c>
      <c r="E272" s="20">
        <v>45321</v>
      </c>
      <c r="F272" s="20">
        <v>48974</v>
      </c>
      <c r="G272" s="21">
        <v>38410</v>
      </c>
      <c r="H272" s="22">
        <f t="shared" ca="1" si="8"/>
        <v>21</v>
      </c>
      <c r="I272" s="19" t="s">
        <v>26</v>
      </c>
      <c r="J272" s="18" t="s">
        <v>27</v>
      </c>
      <c r="K272" s="18"/>
      <c r="L272" s="23" t="s">
        <v>258</v>
      </c>
      <c r="M272" s="23" t="s">
        <v>1258</v>
      </c>
      <c r="N272" s="23" t="s">
        <v>457</v>
      </c>
      <c r="O272" s="18">
        <v>7</v>
      </c>
      <c r="P272" s="24"/>
      <c r="Q272" s="25">
        <v>45748</v>
      </c>
      <c r="R272" s="13">
        <v>0</v>
      </c>
      <c r="S272" s="26" t="str">
        <f>VLOOKUP(C272,'[1]Bazaar Salary'!$B$6:$J$1193,9,0)</f>
        <v>05400010142872030017</v>
      </c>
      <c r="T272" s="25" t="s">
        <v>32</v>
      </c>
      <c r="U272" s="25" t="s">
        <v>512</v>
      </c>
      <c r="V272" s="25" t="s">
        <v>320</v>
      </c>
      <c r="W272" s="27" t="s">
        <v>1259</v>
      </c>
      <c r="X272" s="28" t="s">
        <v>1260</v>
      </c>
      <c r="Y272" s="28"/>
      <c r="Z272" s="29" t="s">
        <v>37</v>
      </c>
    </row>
    <row r="273" spans="1:26" ht="30" customHeight="1" thickBot="1" x14ac:dyDescent="0.25">
      <c r="A273" s="17">
        <f t="shared" si="9"/>
        <v>272</v>
      </c>
      <c r="B273" s="18" t="s">
        <v>25</v>
      </c>
      <c r="C273" s="19">
        <v>3810111173323</v>
      </c>
      <c r="D273" s="19">
        <v>1801</v>
      </c>
      <c r="E273" s="20">
        <v>44149</v>
      </c>
      <c r="F273" s="20">
        <v>47801</v>
      </c>
      <c r="G273" s="21">
        <v>37318</v>
      </c>
      <c r="H273" s="22">
        <f t="shared" ca="1" si="8"/>
        <v>24</v>
      </c>
      <c r="I273" s="19" t="s">
        <v>26</v>
      </c>
      <c r="J273" s="18" t="s">
        <v>27</v>
      </c>
      <c r="K273" s="18"/>
      <c r="L273" s="23" t="s">
        <v>1261</v>
      </c>
      <c r="M273" s="23" t="s">
        <v>390</v>
      </c>
      <c r="N273" s="23" t="s">
        <v>457</v>
      </c>
      <c r="O273" s="18">
        <v>7</v>
      </c>
      <c r="P273" s="24"/>
      <c r="Q273" s="25">
        <v>45748</v>
      </c>
      <c r="R273" s="13">
        <v>0</v>
      </c>
      <c r="S273" s="26" t="str">
        <f>VLOOKUP(C273,'[1]Bazaar Salary'!$B$6:$J$1193,9,0)</f>
        <v>09160010140309840015</v>
      </c>
      <c r="T273" s="25" t="s">
        <v>32</v>
      </c>
      <c r="U273" s="25" t="s">
        <v>936</v>
      </c>
      <c r="V273" s="25" t="s">
        <v>1047</v>
      </c>
      <c r="W273" s="27" t="s">
        <v>1262</v>
      </c>
      <c r="X273" s="28" t="s">
        <v>1263</v>
      </c>
      <c r="Y273" s="28"/>
      <c r="Z273" s="29" t="s">
        <v>37</v>
      </c>
    </row>
    <row r="274" spans="1:26" ht="30" customHeight="1" thickBot="1" x14ac:dyDescent="0.25">
      <c r="A274" s="17">
        <f t="shared" si="9"/>
        <v>273</v>
      </c>
      <c r="B274" s="18" t="s">
        <v>25</v>
      </c>
      <c r="C274" s="19">
        <v>3120202847237</v>
      </c>
      <c r="D274" s="19">
        <v>211</v>
      </c>
      <c r="E274" s="20">
        <v>43521</v>
      </c>
      <c r="F274" s="20">
        <v>47174</v>
      </c>
      <c r="G274" s="21">
        <v>29952</v>
      </c>
      <c r="H274" s="22">
        <f t="shared" ca="1" si="8"/>
        <v>44</v>
      </c>
      <c r="I274" s="19" t="s">
        <v>26</v>
      </c>
      <c r="J274" s="18" t="s">
        <v>27</v>
      </c>
      <c r="K274" s="18"/>
      <c r="L274" s="23" t="s">
        <v>581</v>
      </c>
      <c r="M274" s="23" t="s">
        <v>434</v>
      </c>
      <c r="N274" s="23" t="s">
        <v>1067</v>
      </c>
      <c r="O274" s="18">
        <v>6</v>
      </c>
      <c r="P274" s="24"/>
      <c r="Q274" s="25">
        <v>40756</v>
      </c>
      <c r="R274" s="13">
        <v>0</v>
      </c>
      <c r="S274" s="26" t="str">
        <f>VLOOKUP(C274,'[1]Bazaar Salary'!$B$6:$J$1193,9,0)</f>
        <v>09630010045766740019</v>
      </c>
      <c r="T274" s="25" t="s">
        <v>32</v>
      </c>
      <c r="U274" s="25" t="s">
        <v>539</v>
      </c>
      <c r="V274" s="25" t="s">
        <v>1264</v>
      </c>
      <c r="W274" s="27" t="s">
        <v>1265</v>
      </c>
      <c r="X274" s="28" t="s">
        <v>1266</v>
      </c>
      <c r="Y274" s="28"/>
      <c r="Z274" s="29" t="s">
        <v>37</v>
      </c>
    </row>
    <row r="275" spans="1:26" ht="30" customHeight="1" thickBot="1" x14ac:dyDescent="0.25">
      <c r="A275" s="17">
        <f t="shared" si="9"/>
        <v>274</v>
      </c>
      <c r="B275" s="18" t="s">
        <v>25</v>
      </c>
      <c r="C275" s="19">
        <v>3320269871297</v>
      </c>
      <c r="D275" s="19">
        <v>195</v>
      </c>
      <c r="E275" s="20">
        <v>44505</v>
      </c>
      <c r="F275" s="20">
        <v>48157</v>
      </c>
      <c r="G275" s="21">
        <v>33974</v>
      </c>
      <c r="H275" s="22">
        <f t="shared" ca="1" si="8"/>
        <v>33</v>
      </c>
      <c r="I275" s="19" t="s">
        <v>26</v>
      </c>
      <c r="J275" s="18" t="s">
        <v>27</v>
      </c>
      <c r="K275" s="18"/>
      <c r="L275" s="23" t="s">
        <v>1267</v>
      </c>
      <c r="M275" s="23" t="s">
        <v>711</v>
      </c>
      <c r="N275" s="23" t="s">
        <v>1067</v>
      </c>
      <c r="O275" s="18">
        <v>6</v>
      </c>
      <c r="P275" s="24"/>
      <c r="Q275" s="25">
        <v>43183</v>
      </c>
      <c r="R275" s="13">
        <v>0</v>
      </c>
      <c r="S275" s="26" t="str">
        <f>VLOOKUP(C275,'[1]Bazaar Salary'!$B$6:$J$1193,9,0)</f>
        <v>06480010050994410016</v>
      </c>
      <c r="T275" s="25" t="s">
        <v>32</v>
      </c>
      <c r="U275" s="25" t="s">
        <v>721</v>
      </c>
      <c r="V275" s="25" t="s">
        <v>1268</v>
      </c>
      <c r="W275" s="27" t="s">
        <v>1269</v>
      </c>
      <c r="X275" s="28" t="s">
        <v>1270</v>
      </c>
      <c r="Y275" s="28"/>
      <c r="Z275" s="29" t="s">
        <v>37</v>
      </c>
    </row>
    <row r="276" spans="1:26" ht="30" customHeight="1" thickBot="1" x14ac:dyDescent="0.25">
      <c r="A276" s="17">
        <f t="shared" si="9"/>
        <v>275</v>
      </c>
      <c r="B276" s="18" t="s">
        <v>25</v>
      </c>
      <c r="C276" s="19">
        <v>3520232223647</v>
      </c>
      <c r="D276" s="19">
        <v>130</v>
      </c>
      <c r="E276" s="20">
        <v>44749</v>
      </c>
      <c r="F276" s="20">
        <v>48402</v>
      </c>
      <c r="G276" s="21">
        <v>35836</v>
      </c>
      <c r="H276" s="22">
        <f t="shared" ca="1" si="8"/>
        <v>28</v>
      </c>
      <c r="I276" s="19" t="s">
        <v>26</v>
      </c>
      <c r="J276" s="18" t="s">
        <v>27</v>
      </c>
      <c r="K276" s="18"/>
      <c r="L276" s="23" t="s">
        <v>1271</v>
      </c>
      <c r="M276" s="23" t="s">
        <v>1272</v>
      </c>
      <c r="N276" s="23" t="s">
        <v>1067</v>
      </c>
      <c r="O276" s="18">
        <v>6</v>
      </c>
      <c r="P276" s="24"/>
      <c r="Q276" s="25">
        <v>43101</v>
      </c>
      <c r="R276" s="13">
        <v>0</v>
      </c>
      <c r="S276" s="26" t="str">
        <f>VLOOKUP(C276,'[1]Bazaar Salary'!$B$6:$J$1193,9,0)</f>
        <v>02880010049391100012</v>
      </c>
      <c r="T276" s="25" t="s">
        <v>32</v>
      </c>
      <c r="U276" s="25" t="s">
        <v>376</v>
      </c>
      <c r="V276" s="25" t="s">
        <v>1273</v>
      </c>
      <c r="W276" s="27" t="s">
        <v>1274</v>
      </c>
      <c r="X276" s="28" t="s">
        <v>1275</v>
      </c>
      <c r="Y276" s="28"/>
      <c r="Z276" s="29" t="s">
        <v>37</v>
      </c>
    </row>
    <row r="277" spans="1:26" ht="30" customHeight="1" thickBot="1" x14ac:dyDescent="0.25">
      <c r="A277" s="17">
        <f t="shared" si="9"/>
        <v>276</v>
      </c>
      <c r="B277" s="18" t="s">
        <v>25</v>
      </c>
      <c r="C277" s="19">
        <v>3510261075203</v>
      </c>
      <c r="D277" s="19">
        <v>175</v>
      </c>
      <c r="E277" s="20">
        <v>43682</v>
      </c>
      <c r="F277" s="20">
        <v>47335</v>
      </c>
      <c r="G277" s="21">
        <v>32726</v>
      </c>
      <c r="H277" s="22">
        <f t="shared" ca="1" si="8"/>
        <v>36</v>
      </c>
      <c r="I277" s="19" t="s">
        <v>26</v>
      </c>
      <c r="J277" s="18" t="s">
        <v>27</v>
      </c>
      <c r="K277" s="18"/>
      <c r="L277" s="23" t="s">
        <v>1276</v>
      </c>
      <c r="M277" s="23" t="s">
        <v>1277</v>
      </c>
      <c r="N277" s="23" t="s">
        <v>1067</v>
      </c>
      <c r="O277" s="18">
        <v>6</v>
      </c>
      <c r="P277" s="24"/>
      <c r="Q277" s="25">
        <v>41913</v>
      </c>
      <c r="R277" s="13">
        <v>0</v>
      </c>
      <c r="S277" s="26" t="str">
        <f>VLOOKUP(C277,'[1]Bazaar Salary'!$B$6:$J$1193,9,0)</f>
        <v>05390010045769430015</v>
      </c>
      <c r="T277" s="25" t="s">
        <v>32</v>
      </c>
      <c r="U277" s="25" t="s">
        <v>225</v>
      </c>
      <c r="V277" s="25" t="s">
        <v>1278</v>
      </c>
      <c r="W277" s="27" t="s">
        <v>1279</v>
      </c>
      <c r="X277" s="28" t="s">
        <v>1280</v>
      </c>
      <c r="Y277" s="28"/>
      <c r="Z277" s="29" t="s">
        <v>37</v>
      </c>
    </row>
    <row r="278" spans="1:26" ht="30" customHeight="1" thickBot="1" x14ac:dyDescent="0.25">
      <c r="A278" s="17">
        <f t="shared" si="9"/>
        <v>277</v>
      </c>
      <c r="B278" s="18" t="s">
        <v>25</v>
      </c>
      <c r="C278" s="19">
        <v>3520280100181</v>
      </c>
      <c r="D278" s="19">
        <v>145</v>
      </c>
      <c r="E278" s="20">
        <v>45281</v>
      </c>
      <c r="F278" s="20" t="s">
        <v>196</v>
      </c>
      <c r="G278" s="21">
        <v>23205</v>
      </c>
      <c r="H278" s="22">
        <f t="shared" ca="1" si="8"/>
        <v>62</v>
      </c>
      <c r="I278" s="19" t="s">
        <v>26</v>
      </c>
      <c r="J278" s="18" t="s">
        <v>27</v>
      </c>
      <c r="K278" s="18"/>
      <c r="L278" s="23" t="s">
        <v>1281</v>
      </c>
      <c r="M278" s="23" t="s">
        <v>1282</v>
      </c>
      <c r="N278" s="23" t="s">
        <v>1067</v>
      </c>
      <c r="O278" s="18">
        <v>6</v>
      </c>
      <c r="P278" s="24"/>
      <c r="Q278" s="25">
        <v>42767</v>
      </c>
      <c r="R278" s="13">
        <v>0</v>
      </c>
      <c r="S278" s="26" t="str">
        <f>VLOOKUP(C278,'[1]Bazaar Salary'!$B$6:$J$1193,9,0)</f>
        <v>03910010045893580010</v>
      </c>
      <c r="T278" s="25" t="s">
        <v>32</v>
      </c>
      <c r="U278" s="25" t="s">
        <v>415</v>
      </c>
      <c r="V278" s="25" t="s">
        <v>1273</v>
      </c>
      <c r="W278" s="27" t="s">
        <v>1283</v>
      </c>
      <c r="X278" s="28" t="s">
        <v>1284</v>
      </c>
      <c r="Y278" s="28"/>
      <c r="Z278" s="29" t="s">
        <v>37</v>
      </c>
    </row>
    <row r="279" spans="1:26" ht="30" customHeight="1" thickBot="1" x14ac:dyDescent="0.25">
      <c r="A279" s="17">
        <f t="shared" si="9"/>
        <v>278</v>
      </c>
      <c r="B279" s="18" t="s">
        <v>25</v>
      </c>
      <c r="C279" s="19">
        <v>3650263459165</v>
      </c>
      <c r="D279" s="19">
        <v>163</v>
      </c>
      <c r="E279" s="20">
        <v>43512</v>
      </c>
      <c r="F279" s="20">
        <v>47165</v>
      </c>
      <c r="G279" s="21">
        <v>32254</v>
      </c>
      <c r="H279" s="22">
        <f t="shared" ca="1" si="8"/>
        <v>38</v>
      </c>
      <c r="I279" s="19" t="s">
        <v>26</v>
      </c>
      <c r="J279" s="18" t="s">
        <v>27</v>
      </c>
      <c r="K279" s="18"/>
      <c r="L279" s="23" t="s">
        <v>1285</v>
      </c>
      <c r="M279" s="23" t="s">
        <v>632</v>
      </c>
      <c r="N279" s="23" t="s">
        <v>1067</v>
      </c>
      <c r="O279" s="18">
        <v>6</v>
      </c>
      <c r="P279" s="24"/>
      <c r="Q279" s="25">
        <v>40550</v>
      </c>
      <c r="R279" s="13">
        <v>0</v>
      </c>
      <c r="S279" s="26" t="str">
        <f>VLOOKUP(C279,'[1]Bazaar Salary'!$B$6:$J$1193,9,0)</f>
        <v>03520010048175150016</v>
      </c>
      <c r="T279" s="25" t="s">
        <v>32</v>
      </c>
      <c r="U279" s="25" t="s">
        <v>858</v>
      </c>
      <c r="V279" s="25" t="s">
        <v>1286</v>
      </c>
      <c r="W279" s="27" t="s">
        <v>1287</v>
      </c>
      <c r="X279" s="28" t="s">
        <v>1288</v>
      </c>
      <c r="Y279" s="28"/>
      <c r="Z279" s="29" t="s">
        <v>37</v>
      </c>
    </row>
    <row r="280" spans="1:26" ht="30" customHeight="1" thickBot="1" x14ac:dyDescent="0.25">
      <c r="A280" s="17">
        <f t="shared" si="9"/>
        <v>279</v>
      </c>
      <c r="B280" s="18" t="s">
        <v>25</v>
      </c>
      <c r="C280" s="19">
        <v>3520262078391</v>
      </c>
      <c r="D280" s="19">
        <v>1560</v>
      </c>
      <c r="E280" s="20">
        <v>44959</v>
      </c>
      <c r="F280" s="20">
        <v>48612</v>
      </c>
      <c r="G280" s="21">
        <v>32118</v>
      </c>
      <c r="H280" s="22">
        <f t="shared" ca="1" si="8"/>
        <v>38</v>
      </c>
      <c r="I280" s="19" t="s">
        <v>26</v>
      </c>
      <c r="J280" s="18" t="s">
        <v>27</v>
      </c>
      <c r="K280" s="18"/>
      <c r="L280" s="23" t="s">
        <v>1289</v>
      </c>
      <c r="M280" s="23" t="s">
        <v>1290</v>
      </c>
      <c r="N280" s="23" t="s">
        <v>1067</v>
      </c>
      <c r="O280" s="18">
        <v>6</v>
      </c>
      <c r="P280" s="24"/>
      <c r="Q280" s="25">
        <v>45748</v>
      </c>
      <c r="R280" s="13">
        <v>0</v>
      </c>
      <c r="S280" s="26" t="str">
        <f>VLOOKUP(C280,'[1]Bazaar Salary'!$B$6:$J$1193,9,0)</f>
        <v>03910010121271460016</v>
      </c>
      <c r="T280" s="25" t="s">
        <v>32</v>
      </c>
      <c r="U280" s="25" t="s">
        <v>443</v>
      </c>
      <c r="V280" s="25" t="s">
        <v>1286</v>
      </c>
      <c r="W280" s="27" t="s">
        <v>1291</v>
      </c>
      <c r="X280" s="28" t="s">
        <v>1292</v>
      </c>
      <c r="Y280" s="28"/>
      <c r="Z280" s="29" t="s">
        <v>37</v>
      </c>
    </row>
    <row r="281" spans="1:26" ht="30" customHeight="1" thickBot="1" x14ac:dyDescent="0.25">
      <c r="A281" s="17">
        <f t="shared" si="9"/>
        <v>280</v>
      </c>
      <c r="B281" s="18" t="s">
        <v>25</v>
      </c>
      <c r="C281" s="19">
        <v>3520403400249</v>
      </c>
      <c r="D281" s="19">
        <v>1780</v>
      </c>
      <c r="E281" s="20">
        <v>44543</v>
      </c>
      <c r="F281" s="20">
        <v>48195</v>
      </c>
      <c r="G281" s="21">
        <v>37826</v>
      </c>
      <c r="H281" s="22">
        <f t="shared" ca="1" si="8"/>
        <v>22</v>
      </c>
      <c r="I281" s="19" t="s">
        <v>26</v>
      </c>
      <c r="J281" s="18" t="s">
        <v>27</v>
      </c>
      <c r="K281" s="18"/>
      <c r="L281" s="23" t="s">
        <v>1293</v>
      </c>
      <c r="M281" s="23" t="s">
        <v>1294</v>
      </c>
      <c r="N281" s="23" t="s">
        <v>1295</v>
      </c>
      <c r="O281" s="18">
        <v>5</v>
      </c>
      <c r="P281" s="24"/>
      <c r="Q281" s="25">
        <v>45748</v>
      </c>
      <c r="R281" s="13">
        <v>0</v>
      </c>
      <c r="S281" s="26" t="str">
        <f>VLOOKUP(C281,'[1]Bazaar Salary'!$B$6:$J$1193,9,0)</f>
        <v>12630010139341120011</v>
      </c>
      <c r="T281" s="25" t="s">
        <v>32</v>
      </c>
      <c r="U281" s="25" t="s">
        <v>458</v>
      </c>
      <c r="V281" s="25" t="s">
        <v>884</v>
      </c>
      <c r="W281" s="27" t="s">
        <v>1296</v>
      </c>
      <c r="X281" s="28" t="s">
        <v>1297</v>
      </c>
      <c r="Y281" s="28"/>
      <c r="Z281" s="29" t="s">
        <v>37</v>
      </c>
    </row>
    <row r="282" spans="1:26" ht="30" customHeight="1" thickBot="1" x14ac:dyDescent="0.25">
      <c r="A282" s="17">
        <f t="shared" si="9"/>
        <v>281</v>
      </c>
      <c r="B282" s="18" t="s">
        <v>25</v>
      </c>
      <c r="C282" s="19">
        <v>3520210137977</v>
      </c>
      <c r="D282" s="19">
        <v>1854</v>
      </c>
      <c r="E282" s="20">
        <v>44089</v>
      </c>
      <c r="F282" s="20">
        <v>47741</v>
      </c>
      <c r="G282" s="21">
        <v>37271</v>
      </c>
      <c r="H282" s="22">
        <f t="shared" ca="1" si="8"/>
        <v>24</v>
      </c>
      <c r="I282" s="19" t="s">
        <v>26</v>
      </c>
      <c r="J282" s="18" t="s">
        <v>27</v>
      </c>
      <c r="K282" s="18"/>
      <c r="L282" s="23" t="s">
        <v>1298</v>
      </c>
      <c r="M282" s="23" t="s">
        <v>1299</v>
      </c>
      <c r="N282" s="24" t="s">
        <v>1295</v>
      </c>
      <c r="O282" s="18">
        <v>5</v>
      </c>
      <c r="P282" s="24"/>
      <c r="Q282" s="25">
        <v>45748</v>
      </c>
      <c r="R282" s="13">
        <v>0</v>
      </c>
      <c r="S282" s="26" t="str">
        <f>VLOOKUP(C282,'[1]Bazaar Salary'!$B$6:$J$1193,9,0)</f>
        <v>13460010144386570010</v>
      </c>
      <c r="T282" s="25" t="s">
        <v>32</v>
      </c>
      <c r="U282" s="25" t="s">
        <v>458</v>
      </c>
      <c r="V282" s="25" t="s">
        <v>884</v>
      </c>
      <c r="W282" s="27" t="s">
        <v>1300</v>
      </c>
      <c r="X282" s="28" t="s">
        <v>1301</v>
      </c>
      <c r="Y282" s="28"/>
      <c r="Z282" s="29" t="s">
        <v>37</v>
      </c>
    </row>
    <row r="283" spans="1:26" ht="30" customHeight="1" thickBot="1" x14ac:dyDescent="0.25">
      <c r="A283" s="17">
        <f t="shared" si="9"/>
        <v>282</v>
      </c>
      <c r="B283" s="18" t="s">
        <v>25</v>
      </c>
      <c r="C283" s="19">
        <v>3520253413405</v>
      </c>
      <c r="D283" s="19">
        <v>1742</v>
      </c>
      <c r="E283" s="20">
        <v>45071</v>
      </c>
      <c r="F283" s="20">
        <v>48724</v>
      </c>
      <c r="G283" s="21">
        <v>34584</v>
      </c>
      <c r="H283" s="22">
        <f t="shared" ca="1" si="8"/>
        <v>31</v>
      </c>
      <c r="I283" s="19" t="s">
        <v>26</v>
      </c>
      <c r="J283" s="18" t="s">
        <v>27</v>
      </c>
      <c r="K283" s="18"/>
      <c r="L283" s="23" t="s">
        <v>466</v>
      </c>
      <c r="M283" s="23" t="s">
        <v>761</v>
      </c>
      <c r="N283" s="23" t="s">
        <v>1295</v>
      </c>
      <c r="O283" s="18">
        <v>5</v>
      </c>
      <c r="P283" s="24"/>
      <c r="Q283" s="25">
        <v>45748</v>
      </c>
      <c r="R283" s="13">
        <v>0</v>
      </c>
      <c r="S283" s="26" t="str">
        <f>VLOOKUP(C283,'[1]Bazaar Salary'!$B$6:$J$1193,9,0)</f>
        <v>10080010091767690019</v>
      </c>
      <c r="T283" s="25" t="s">
        <v>32</v>
      </c>
      <c r="U283" s="25" t="s">
        <v>991</v>
      </c>
      <c r="V283" s="25" t="s">
        <v>884</v>
      </c>
      <c r="W283" s="27" t="s">
        <v>1302</v>
      </c>
      <c r="X283" s="28" t="s">
        <v>1303</v>
      </c>
      <c r="Y283" s="28"/>
      <c r="Z283" s="29" t="s">
        <v>37</v>
      </c>
    </row>
    <row r="284" spans="1:26" ht="30" customHeight="1" thickBot="1" x14ac:dyDescent="0.25">
      <c r="A284" s="17">
        <f t="shared" si="9"/>
        <v>283</v>
      </c>
      <c r="B284" s="18" t="s">
        <v>25</v>
      </c>
      <c r="C284" s="19">
        <v>3520263118895</v>
      </c>
      <c r="D284" s="19">
        <v>1744</v>
      </c>
      <c r="E284" s="20">
        <v>45597</v>
      </c>
      <c r="F284" s="20">
        <v>49249</v>
      </c>
      <c r="G284" s="21">
        <v>34984</v>
      </c>
      <c r="H284" s="22">
        <f t="shared" ca="1" si="8"/>
        <v>30</v>
      </c>
      <c r="I284" s="19" t="s">
        <v>26</v>
      </c>
      <c r="J284" s="18" t="s">
        <v>27</v>
      </c>
      <c r="K284" s="18"/>
      <c r="L284" s="23" t="s">
        <v>1304</v>
      </c>
      <c r="M284" s="23" t="s">
        <v>1305</v>
      </c>
      <c r="N284" s="23" t="s">
        <v>1295</v>
      </c>
      <c r="O284" s="18">
        <v>5</v>
      </c>
      <c r="P284" s="24"/>
      <c r="Q284" s="25">
        <v>45748</v>
      </c>
      <c r="R284" s="13">
        <v>0</v>
      </c>
      <c r="S284" s="26" t="str">
        <f>VLOOKUP(C284,'[1]Bazaar Salary'!$B$6:$J$1193,9,0)</f>
        <v>07660010138565260011</v>
      </c>
      <c r="T284" s="25" t="s">
        <v>32</v>
      </c>
      <c r="U284" s="25" t="s">
        <v>991</v>
      </c>
      <c r="V284" s="25" t="s">
        <v>884</v>
      </c>
      <c r="W284" s="27" t="s">
        <v>1306</v>
      </c>
      <c r="X284" s="28" t="s">
        <v>1307</v>
      </c>
      <c r="Y284" s="28"/>
      <c r="Z284" s="29" t="s">
        <v>37</v>
      </c>
    </row>
    <row r="285" spans="1:26" ht="30" customHeight="1" thickBot="1" x14ac:dyDescent="0.25">
      <c r="A285" s="17">
        <f t="shared" si="9"/>
        <v>284</v>
      </c>
      <c r="B285" s="18" t="s">
        <v>25</v>
      </c>
      <c r="C285" s="19">
        <v>3520237255021</v>
      </c>
      <c r="D285" s="19">
        <v>1825</v>
      </c>
      <c r="E285" s="20">
        <v>44644</v>
      </c>
      <c r="F285" s="20">
        <v>48297</v>
      </c>
      <c r="G285" s="21">
        <v>37876</v>
      </c>
      <c r="H285" s="22">
        <f t="shared" ca="1" si="8"/>
        <v>22</v>
      </c>
      <c r="I285" s="19" t="s">
        <v>26</v>
      </c>
      <c r="J285" s="18" t="s">
        <v>27</v>
      </c>
      <c r="K285" s="18"/>
      <c r="L285" s="23" t="s">
        <v>1308</v>
      </c>
      <c r="M285" s="23" t="s">
        <v>1309</v>
      </c>
      <c r="N285" s="23" t="s">
        <v>1295</v>
      </c>
      <c r="O285" s="18">
        <v>5</v>
      </c>
      <c r="P285" s="24"/>
      <c r="Q285" s="25">
        <v>45748</v>
      </c>
      <c r="R285" s="13">
        <v>0</v>
      </c>
      <c r="S285" s="26" t="str">
        <f>VLOOKUP(C285,'[1]Bazaar Salary'!$B$6:$J$1193,9,0)</f>
        <v>03910010141463770015</v>
      </c>
      <c r="T285" s="25" t="s">
        <v>32</v>
      </c>
      <c r="U285" s="25" t="s">
        <v>534</v>
      </c>
      <c r="V285" s="25" t="s">
        <v>884</v>
      </c>
      <c r="W285" s="27" t="s">
        <v>1310</v>
      </c>
      <c r="X285" s="28" t="s">
        <v>1311</v>
      </c>
      <c r="Y285" s="28"/>
      <c r="Z285" s="29" t="s">
        <v>37</v>
      </c>
    </row>
    <row r="286" spans="1:26" ht="30" customHeight="1" thickBot="1" x14ac:dyDescent="0.25">
      <c r="A286" s="17">
        <f t="shared" si="9"/>
        <v>285</v>
      </c>
      <c r="B286" s="18" t="s">
        <v>25</v>
      </c>
      <c r="C286" s="19">
        <v>3810183201537</v>
      </c>
      <c r="D286" s="19">
        <v>1860</v>
      </c>
      <c r="E286" s="20">
        <v>45454</v>
      </c>
      <c r="F286" s="20">
        <v>49106</v>
      </c>
      <c r="G286" s="21">
        <v>38620</v>
      </c>
      <c r="H286" s="22">
        <f t="shared" ca="1" si="8"/>
        <v>20</v>
      </c>
      <c r="I286" s="19" t="s">
        <v>26</v>
      </c>
      <c r="J286" s="18" t="s">
        <v>27</v>
      </c>
      <c r="K286" s="18"/>
      <c r="L286" s="23" t="s">
        <v>1312</v>
      </c>
      <c r="M286" s="23" t="s">
        <v>643</v>
      </c>
      <c r="N286" s="23" t="s">
        <v>1295</v>
      </c>
      <c r="O286" s="18">
        <v>5</v>
      </c>
      <c r="P286" s="24"/>
      <c r="Q286" s="25">
        <v>45748</v>
      </c>
      <c r="R286" s="13">
        <v>0</v>
      </c>
      <c r="S286" s="26" t="str">
        <f>VLOOKUP(C286,'[1]Bazaar Salary'!$B$6:$J$1193,9,0)</f>
        <v>05030010145036820016</v>
      </c>
      <c r="T286" s="25" t="s">
        <v>32</v>
      </c>
      <c r="U286" s="25" t="s">
        <v>153</v>
      </c>
      <c r="V286" s="25" t="s">
        <v>884</v>
      </c>
      <c r="W286" s="27" t="s">
        <v>1313</v>
      </c>
      <c r="X286" s="28" t="s">
        <v>1314</v>
      </c>
      <c r="Y286" s="28"/>
      <c r="Z286" s="29" t="s">
        <v>37</v>
      </c>
    </row>
    <row r="287" spans="1:26" ht="30" customHeight="1" thickBot="1" x14ac:dyDescent="0.25">
      <c r="A287" s="17">
        <f t="shared" si="9"/>
        <v>286</v>
      </c>
      <c r="B287" s="18" t="s">
        <v>25</v>
      </c>
      <c r="C287" s="19">
        <v>3840162004337</v>
      </c>
      <c r="D287" s="19">
        <v>466</v>
      </c>
      <c r="E287" s="20">
        <v>44489</v>
      </c>
      <c r="F287" s="20">
        <v>48141</v>
      </c>
      <c r="G287" s="21">
        <v>31492</v>
      </c>
      <c r="H287" s="22">
        <f t="shared" ca="1" si="8"/>
        <v>40</v>
      </c>
      <c r="I287" s="19" t="s">
        <v>26</v>
      </c>
      <c r="J287" s="18" t="s">
        <v>27</v>
      </c>
      <c r="K287" s="18"/>
      <c r="L287" s="24" t="s">
        <v>1315</v>
      </c>
      <c r="M287" s="23" t="s">
        <v>1125</v>
      </c>
      <c r="N287" s="24" t="s">
        <v>1295</v>
      </c>
      <c r="O287" s="18">
        <v>5</v>
      </c>
      <c r="P287" s="24"/>
      <c r="Q287" s="25">
        <v>45444</v>
      </c>
      <c r="R287" s="13">
        <v>0</v>
      </c>
      <c r="S287" s="26" t="str">
        <f>VLOOKUP(C287,'[1]Bazaar Salary'!$B$6:$J$1193,9,0)</f>
        <v>06150010052464220012</v>
      </c>
      <c r="T287" s="25" t="s">
        <v>32</v>
      </c>
      <c r="U287" s="25" t="s">
        <v>264</v>
      </c>
      <c r="V287" s="25" t="s">
        <v>884</v>
      </c>
      <c r="W287" s="27" t="s">
        <v>1316</v>
      </c>
      <c r="X287" s="28" t="s">
        <v>1317</v>
      </c>
      <c r="Y287" s="28"/>
      <c r="Z287" s="29" t="s">
        <v>37</v>
      </c>
    </row>
    <row r="288" spans="1:26" ht="30" customHeight="1" thickBot="1" x14ac:dyDescent="0.25">
      <c r="A288" s="17">
        <f t="shared" si="9"/>
        <v>287</v>
      </c>
      <c r="B288" s="18" t="s">
        <v>25</v>
      </c>
      <c r="C288" s="19">
        <v>3520251901966</v>
      </c>
      <c r="D288" s="19">
        <v>1788</v>
      </c>
      <c r="E288" s="20">
        <v>45679</v>
      </c>
      <c r="F288" s="20">
        <v>49331</v>
      </c>
      <c r="G288" s="21">
        <v>38631</v>
      </c>
      <c r="H288" s="22">
        <f t="shared" ca="1" si="8"/>
        <v>20</v>
      </c>
      <c r="I288" s="19" t="s">
        <v>26</v>
      </c>
      <c r="J288" s="18" t="s">
        <v>66</v>
      </c>
      <c r="K288" s="18"/>
      <c r="L288" s="23" t="s">
        <v>1318</v>
      </c>
      <c r="M288" s="23" t="s">
        <v>1319</v>
      </c>
      <c r="N288" s="23" t="s">
        <v>1295</v>
      </c>
      <c r="O288" s="18">
        <v>5</v>
      </c>
      <c r="P288" s="24"/>
      <c r="Q288" s="25">
        <v>45748</v>
      </c>
      <c r="R288" s="13">
        <v>0</v>
      </c>
      <c r="S288" s="26" t="str">
        <f>VLOOKUP(C288,'[1]Bazaar Salary'!$B$6:$J$1193,9,0)</f>
        <v>07660010140896810018</v>
      </c>
      <c r="T288" s="25" t="s">
        <v>32</v>
      </c>
      <c r="U288" s="25" t="s">
        <v>286</v>
      </c>
      <c r="V288" s="25" t="s">
        <v>884</v>
      </c>
      <c r="W288" s="27" t="s">
        <v>1320</v>
      </c>
      <c r="X288" s="28" t="s">
        <v>1321</v>
      </c>
      <c r="Y288" s="28"/>
      <c r="Z288" s="29" t="s">
        <v>37</v>
      </c>
    </row>
    <row r="289" spans="1:26" ht="30" customHeight="1" thickBot="1" x14ac:dyDescent="0.25">
      <c r="A289" s="17">
        <f t="shared" si="9"/>
        <v>288</v>
      </c>
      <c r="B289" s="18" t="s">
        <v>25</v>
      </c>
      <c r="C289" s="19">
        <v>3550107917677</v>
      </c>
      <c r="D289" s="19">
        <v>1593</v>
      </c>
      <c r="E289" s="20">
        <v>44120</v>
      </c>
      <c r="F289" s="20">
        <v>47772</v>
      </c>
      <c r="G289" s="21">
        <v>37288</v>
      </c>
      <c r="H289" s="22">
        <f t="shared" ca="1" si="8"/>
        <v>24</v>
      </c>
      <c r="I289" s="19" t="s">
        <v>26</v>
      </c>
      <c r="J289" s="18" t="s">
        <v>27</v>
      </c>
      <c r="K289" s="18"/>
      <c r="L289" s="23" t="s">
        <v>1322</v>
      </c>
      <c r="M289" s="23" t="s">
        <v>1323</v>
      </c>
      <c r="N289" s="24" t="s">
        <v>1295</v>
      </c>
      <c r="O289" s="18">
        <v>5</v>
      </c>
      <c r="P289" s="24"/>
      <c r="Q289" s="25">
        <v>45748</v>
      </c>
      <c r="R289" s="13">
        <v>0</v>
      </c>
      <c r="S289" s="26" t="str">
        <f>VLOOKUP(C289,'[1]Bazaar Salary'!$B$6:$J$1193,9,0)</f>
        <v>07300010128404970010</v>
      </c>
      <c r="T289" s="25" t="s">
        <v>32</v>
      </c>
      <c r="U289" s="25" t="s">
        <v>303</v>
      </c>
      <c r="V289" s="25" t="s">
        <v>884</v>
      </c>
      <c r="W289" s="27" t="s">
        <v>1324</v>
      </c>
      <c r="X289" s="28" t="s">
        <v>1325</v>
      </c>
      <c r="Y289" s="28"/>
      <c r="Z289" s="29" t="s">
        <v>37</v>
      </c>
    </row>
    <row r="290" spans="1:26" ht="30" customHeight="1" thickBot="1" x14ac:dyDescent="0.25">
      <c r="A290" s="17">
        <f t="shared" si="9"/>
        <v>289</v>
      </c>
      <c r="B290" s="18" t="s">
        <v>25</v>
      </c>
      <c r="C290" s="19">
        <v>1120103677095</v>
      </c>
      <c r="D290" s="19">
        <v>171</v>
      </c>
      <c r="E290" s="20">
        <v>43198</v>
      </c>
      <c r="F290" s="20">
        <v>46851</v>
      </c>
      <c r="G290" s="21">
        <v>28812</v>
      </c>
      <c r="H290" s="22">
        <f t="shared" ca="1" si="8"/>
        <v>47</v>
      </c>
      <c r="I290" s="19" t="s">
        <v>26</v>
      </c>
      <c r="J290" s="18" t="s">
        <v>27</v>
      </c>
      <c r="K290" s="18"/>
      <c r="L290" s="23" t="s">
        <v>1326</v>
      </c>
      <c r="M290" s="23" t="s">
        <v>1327</v>
      </c>
      <c r="N290" s="23" t="s">
        <v>1295</v>
      </c>
      <c r="O290" s="18">
        <v>5</v>
      </c>
      <c r="P290" s="24"/>
      <c r="Q290" s="25">
        <v>41971</v>
      </c>
      <c r="R290" s="13">
        <v>0</v>
      </c>
      <c r="S290" s="26" t="str">
        <f>VLOOKUP(C290,'[1]Bazaar Salary'!$B$6:$J$1193,9,0)</f>
        <v>07300010012132790020</v>
      </c>
      <c r="T290" s="25" t="s">
        <v>32</v>
      </c>
      <c r="U290" s="25" t="s">
        <v>303</v>
      </c>
      <c r="V290" s="25" t="s">
        <v>884</v>
      </c>
      <c r="W290" s="27" t="s">
        <v>1328</v>
      </c>
      <c r="X290" s="28" t="s">
        <v>1329</v>
      </c>
      <c r="Y290" s="28"/>
      <c r="Z290" s="29" t="s">
        <v>37</v>
      </c>
    </row>
    <row r="291" spans="1:26" ht="30" customHeight="1" thickBot="1" x14ac:dyDescent="0.25">
      <c r="A291" s="17">
        <f t="shared" si="9"/>
        <v>290</v>
      </c>
      <c r="B291" s="18" t="s">
        <v>25</v>
      </c>
      <c r="C291" s="19">
        <v>3520229462637</v>
      </c>
      <c r="D291" s="19">
        <v>1783</v>
      </c>
      <c r="E291" s="20">
        <v>45494</v>
      </c>
      <c r="F291" s="20">
        <v>49146</v>
      </c>
      <c r="G291" s="21">
        <v>29735</v>
      </c>
      <c r="H291" s="22">
        <f t="shared" ca="1" si="8"/>
        <v>45</v>
      </c>
      <c r="I291" s="19" t="s">
        <v>26</v>
      </c>
      <c r="J291" s="18" t="s">
        <v>27</v>
      </c>
      <c r="K291" s="18"/>
      <c r="L291" s="23" t="s">
        <v>716</v>
      </c>
      <c r="M291" s="23" t="s">
        <v>1330</v>
      </c>
      <c r="N291" s="23" t="s">
        <v>1295</v>
      </c>
      <c r="O291" s="18">
        <v>5</v>
      </c>
      <c r="P291" s="24"/>
      <c r="Q291" s="25">
        <v>45748</v>
      </c>
      <c r="R291" s="13">
        <v>0</v>
      </c>
      <c r="S291" s="26" t="str">
        <f>VLOOKUP(C291,'[1]Bazaar Salary'!$B$6:$J$1193,9,0)</f>
        <v>03420010139773490017</v>
      </c>
      <c r="T291" s="25" t="s">
        <v>32</v>
      </c>
      <c r="U291" s="25" t="s">
        <v>583</v>
      </c>
      <c r="V291" s="25" t="s">
        <v>884</v>
      </c>
      <c r="W291" s="27" t="s">
        <v>1331</v>
      </c>
      <c r="X291" s="28" t="s">
        <v>1332</v>
      </c>
      <c r="Y291" s="28"/>
      <c r="Z291" s="29" t="s">
        <v>37</v>
      </c>
    </row>
    <row r="292" spans="1:26" ht="30" customHeight="1" thickBot="1" x14ac:dyDescent="0.25">
      <c r="A292" s="17">
        <f t="shared" si="9"/>
        <v>291</v>
      </c>
      <c r="B292" s="18" t="s">
        <v>25</v>
      </c>
      <c r="C292" s="19">
        <v>3520287738779</v>
      </c>
      <c r="D292" s="19">
        <v>1611</v>
      </c>
      <c r="E292" s="20">
        <v>44696</v>
      </c>
      <c r="F292" s="20">
        <v>48349</v>
      </c>
      <c r="G292" s="21">
        <v>35933</v>
      </c>
      <c r="H292" s="22">
        <f t="shared" ca="1" si="8"/>
        <v>28</v>
      </c>
      <c r="I292" s="19" t="s">
        <v>26</v>
      </c>
      <c r="J292" s="18" t="s">
        <v>27</v>
      </c>
      <c r="K292" s="18"/>
      <c r="L292" s="23" t="s">
        <v>1333</v>
      </c>
      <c r="M292" s="23" t="s">
        <v>1334</v>
      </c>
      <c r="N292" s="23" t="s">
        <v>1335</v>
      </c>
      <c r="O292" s="18">
        <v>5</v>
      </c>
      <c r="P292" s="24" t="s">
        <v>102</v>
      </c>
      <c r="Q292" s="25">
        <v>45748</v>
      </c>
      <c r="R292" s="13">
        <v>0</v>
      </c>
      <c r="S292" s="26" t="str">
        <f>VLOOKUP(C292,'[1]Bazaar Salary'!$B$6:$J$1193,9,0)</f>
        <v>02880010078864190022</v>
      </c>
      <c r="T292" s="25" t="s">
        <v>32</v>
      </c>
      <c r="U292" s="25" t="s">
        <v>33</v>
      </c>
      <c r="V292" s="25" t="s">
        <v>884</v>
      </c>
      <c r="W292" s="27" t="s">
        <v>1336</v>
      </c>
      <c r="X292" s="28" t="s">
        <v>1337</v>
      </c>
      <c r="Y292" s="28"/>
      <c r="Z292" s="29" t="s">
        <v>37</v>
      </c>
    </row>
    <row r="293" spans="1:26" ht="30" customHeight="1" thickBot="1" x14ac:dyDescent="0.25">
      <c r="A293" s="17">
        <f t="shared" si="9"/>
        <v>292</v>
      </c>
      <c r="B293" s="18" t="s">
        <v>25</v>
      </c>
      <c r="C293" s="19">
        <v>3520268022031</v>
      </c>
      <c r="D293" s="19">
        <v>1457</v>
      </c>
      <c r="E293" s="20">
        <v>43591</v>
      </c>
      <c r="F293" s="20">
        <v>47244</v>
      </c>
      <c r="G293" s="21">
        <v>36859</v>
      </c>
      <c r="H293" s="22">
        <f t="shared" ca="1" si="8"/>
        <v>25</v>
      </c>
      <c r="I293" s="19" t="s">
        <v>26</v>
      </c>
      <c r="J293" s="18" t="s">
        <v>27</v>
      </c>
      <c r="K293" s="18"/>
      <c r="L293" s="23" t="s">
        <v>413</v>
      </c>
      <c r="M293" s="23" t="s">
        <v>1338</v>
      </c>
      <c r="N293" s="23" t="s">
        <v>1335</v>
      </c>
      <c r="O293" s="18">
        <v>5</v>
      </c>
      <c r="P293" s="24" t="s">
        <v>620</v>
      </c>
      <c r="Q293" s="25">
        <v>45748</v>
      </c>
      <c r="R293" s="13">
        <v>0</v>
      </c>
      <c r="S293" s="26" t="str">
        <f>VLOOKUP(C293,'[1]Head Office '!$B$7:$I$98,8,0)</f>
        <v>10810010101783980014</v>
      </c>
      <c r="T293" s="25" t="s">
        <v>32</v>
      </c>
      <c r="U293" s="25" t="s">
        <v>33</v>
      </c>
      <c r="V293" s="25" t="s">
        <v>884</v>
      </c>
      <c r="W293" s="27" t="s">
        <v>1339</v>
      </c>
      <c r="X293" s="28" t="s">
        <v>1340</v>
      </c>
      <c r="Y293" s="28" t="str">
        <f>VLOOKUP(C293,[2]Final!$J$2:$T$175,11,0)</f>
        <v>aliraza.pmbmc@gmail.com</v>
      </c>
      <c r="Z293" s="29" t="s">
        <v>37</v>
      </c>
    </row>
    <row r="294" spans="1:26" ht="30" customHeight="1" thickBot="1" x14ac:dyDescent="0.25">
      <c r="A294" s="17">
        <f t="shared" si="9"/>
        <v>293</v>
      </c>
      <c r="B294" s="18" t="s">
        <v>25</v>
      </c>
      <c r="C294" s="19">
        <v>3520256700507</v>
      </c>
      <c r="D294" s="19">
        <v>332</v>
      </c>
      <c r="E294" s="20">
        <v>45182</v>
      </c>
      <c r="F294" s="20">
        <v>48835</v>
      </c>
      <c r="G294" s="21">
        <v>32237</v>
      </c>
      <c r="H294" s="22">
        <f t="shared" ca="1" si="8"/>
        <v>38</v>
      </c>
      <c r="I294" s="19" t="s">
        <v>26</v>
      </c>
      <c r="J294" s="18" t="s">
        <v>27</v>
      </c>
      <c r="K294" s="18"/>
      <c r="L294" s="23" t="s">
        <v>1341</v>
      </c>
      <c r="M294" s="23" t="s">
        <v>711</v>
      </c>
      <c r="N294" s="23" t="s">
        <v>1335</v>
      </c>
      <c r="O294" s="18">
        <v>5</v>
      </c>
      <c r="P294" s="24" t="s">
        <v>102</v>
      </c>
      <c r="Q294" s="25">
        <v>42614</v>
      </c>
      <c r="R294" s="13">
        <v>0</v>
      </c>
      <c r="S294" s="26" t="str">
        <f>VLOOKUP(C294,'[1]Head Office '!$B$7:$I$98,8,0)</f>
        <v>02880010045863440023</v>
      </c>
      <c r="T294" s="25" t="s">
        <v>32</v>
      </c>
      <c r="U294" s="25" t="s">
        <v>33</v>
      </c>
      <c r="V294" s="25" t="s">
        <v>884</v>
      </c>
      <c r="W294" s="27" t="s">
        <v>1342</v>
      </c>
      <c r="X294" s="28" t="s">
        <v>1343</v>
      </c>
      <c r="Y294" s="28"/>
      <c r="Z294" s="29" t="s">
        <v>37</v>
      </c>
    </row>
    <row r="295" spans="1:26" ht="30" customHeight="1" thickBot="1" x14ac:dyDescent="0.25">
      <c r="A295" s="17">
        <f t="shared" si="9"/>
        <v>294</v>
      </c>
      <c r="B295" s="18" t="s">
        <v>25</v>
      </c>
      <c r="C295" s="19">
        <v>3520121149383</v>
      </c>
      <c r="D295" s="19">
        <v>1886</v>
      </c>
      <c r="E295" s="20">
        <v>44714</v>
      </c>
      <c r="F295" s="20">
        <v>48367</v>
      </c>
      <c r="G295" s="21">
        <v>37673</v>
      </c>
      <c r="H295" s="22">
        <f t="shared" ca="1" si="8"/>
        <v>23</v>
      </c>
      <c r="I295" s="19" t="s">
        <v>26</v>
      </c>
      <c r="J295" s="18" t="s">
        <v>27</v>
      </c>
      <c r="K295" s="18"/>
      <c r="L295" s="23" t="s">
        <v>1344</v>
      </c>
      <c r="M295" s="23" t="s">
        <v>1345</v>
      </c>
      <c r="N295" s="23" t="s">
        <v>1335</v>
      </c>
      <c r="O295" s="18">
        <v>5</v>
      </c>
      <c r="P295" s="24" t="s">
        <v>95</v>
      </c>
      <c r="Q295" s="25">
        <v>45799</v>
      </c>
      <c r="R295" s="13">
        <v>0</v>
      </c>
      <c r="S295" s="26" t="str">
        <f>VLOOKUP(C295,'[1]Head Office '!$B$7:$I$98,8,0)</f>
        <v>07040010146511730017</v>
      </c>
      <c r="T295" s="25" t="s">
        <v>32</v>
      </c>
      <c r="U295" s="25" t="s">
        <v>33</v>
      </c>
      <c r="V295" s="25" t="s">
        <v>1346</v>
      </c>
      <c r="W295" s="27" t="s">
        <v>1347</v>
      </c>
      <c r="X295" s="28" t="s">
        <v>1348</v>
      </c>
      <c r="Y295" s="28" t="str">
        <f>VLOOKUP(C295,[2]Final!$J$2:$T$175,11,0)</f>
        <v>ranahusnain003@gmail.com</v>
      </c>
      <c r="Z295" s="29" t="s">
        <v>37</v>
      </c>
    </row>
    <row r="296" spans="1:26" ht="30" customHeight="1" thickBot="1" x14ac:dyDescent="0.25">
      <c r="A296" s="17">
        <f t="shared" si="9"/>
        <v>295</v>
      </c>
      <c r="B296" s="18" t="s">
        <v>25</v>
      </c>
      <c r="C296" s="19">
        <v>3830383321489</v>
      </c>
      <c r="D296" s="19">
        <v>79</v>
      </c>
      <c r="E296" s="20">
        <v>44701</v>
      </c>
      <c r="F296" s="20">
        <v>48354</v>
      </c>
      <c r="G296" s="21">
        <v>33826</v>
      </c>
      <c r="H296" s="22">
        <f t="shared" ca="1" si="8"/>
        <v>33</v>
      </c>
      <c r="I296" s="19" t="s">
        <v>26</v>
      </c>
      <c r="J296" s="18" t="s">
        <v>27</v>
      </c>
      <c r="K296" s="18"/>
      <c r="L296" s="23" t="s">
        <v>1182</v>
      </c>
      <c r="M296" s="23" t="s">
        <v>1349</v>
      </c>
      <c r="N296" s="23" t="s">
        <v>1335</v>
      </c>
      <c r="O296" s="18">
        <v>5</v>
      </c>
      <c r="P296" s="24" t="s">
        <v>102</v>
      </c>
      <c r="Q296" s="25">
        <v>43101</v>
      </c>
      <c r="R296" s="13">
        <v>0</v>
      </c>
      <c r="S296" s="26" t="str">
        <f>VLOOKUP(C296,'[1]Head Office '!$B$7:$I$98,8,0)</f>
        <v>02880010049751810018</v>
      </c>
      <c r="T296" s="25" t="s">
        <v>32</v>
      </c>
      <c r="U296" s="25" t="s">
        <v>33</v>
      </c>
      <c r="V296" s="25" t="s">
        <v>884</v>
      </c>
      <c r="W296" s="27" t="s">
        <v>1350</v>
      </c>
      <c r="X296" s="28" t="s">
        <v>1351</v>
      </c>
      <c r="Y296" s="28" t="str">
        <f>VLOOKUP(C296,[2]Final!$J$2:$T$175,11,0)</f>
        <v>mushtaqpmbmc92@gmail.com</v>
      </c>
      <c r="Z296" s="29" t="s">
        <v>37</v>
      </c>
    </row>
    <row r="297" spans="1:26" ht="30" customHeight="1" thickBot="1" x14ac:dyDescent="0.25">
      <c r="A297" s="17">
        <f t="shared" si="9"/>
        <v>296</v>
      </c>
      <c r="B297" s="18" t="s">
        <v>25</v>
      </c>
      <c r="C297" s="19">
        <v>3520287739729</v>
      </c>
      <c r="D297" s="19">
        <v>321</v>
      </c>
      <c r="E297" s="20">
        <v>44265</v>
      </c>
      <c r="F297" s="20">
        <v>47917</v>
      </c>
      <c r="G297" s="21">
        <v>35372</v>
      </c>
      <c r="H297" s="22">
        <f t="shared" ca="1" si="8"/>
        <v>29</v>
      </c>
      <c r="I297" s="19" t="s">
        <v>26</v>
      </c>
      <c r="J297" s="18" t="s">
        <v>27</v>
      </c>
      <c r="K297" s="18"/>
      <c r="L297" s="23" t="s">
        <v>258</v>
      </c>
      <c r="M297" s="23" t="s">
        <v>1334</v>
      </c>
      <c r="N297" s="23" t="s">
        <v>1335</v>
      </c>
      <c r="O297" s="18">
        <v>5</v>
      </c>
      <c r="P297" s="24" t="s">
        <v>102</v>
      </c>
      <c r="Q297" s="25">
        <v>42212</v>
      </c>
      <c r="R297" s="13">
        <v>0</v>
      </c>
      <c r="S297" s="26" t="str">
        <f>VLOOKUP(C297,'[1]Head Office '!$B$7:$I$98,8,0)</f>
        <v>02880010045972490022</v>
      </c>
      <c r="T297" s="25" t="s">
        <v>32</v>
      </c>
      <c r="U297" s="25" t="s">
        <v>33</v>
      </c>
      <c r="V297" s="25" t="s">
        <v>884</v>
      </c>
      <c r="W297" s="27" t="s">
        <v>1352</v>
      </c>
      <c r="X297" s="28" t="s">
        <v>1353</v>
      </c>
      <c r="Y297" s="28" t="str">
        <f>VLOOKUP(C297,[2]Final!$J$2:$T$175,11,0)</f>
        <v>muhammad_usman2@outlook.com</v>
      </c>
      <c r="Z297" s="29" t="s">
        <v>37</v>
      </c>
    </row>
    <row r="298" spans="1:26" ht="30" customHeight="1" thickBot="1" x14ac:dyDescent="0.25">
      <c r="A298" s="17">
        <f t="shared" si="9"/>
        <v>297</v>
      </c>
      <c r="B298" s="18" t="s">
        <v>25</v>
      </c>
      <c r="C298" s="19">
        <v>3510239369559</v>
      </c>
      <c r="D298" s="19">
        <v>441</v>
      </c>
      <c r="E298" s="20">
        <v>45106</v>
      </c>
      <c r="F298" s="20">
        <v>48759</v>
      </c>
      <c r="G298" s="21">
        <v>33945</v>
      </c>
      <c r="H298" s="22">
        <f t="shared" ca="1" si="8"/>
        <v>33</v>
      </c>
      <c r="I298" s="19" t="s">
        <v>26</v>
      </c>
      <c r="J298" s="18" t="s">
        <v>27</v>
      </c>
      <c r="K298" s="18"/>
      <c r="L298" s="23" t="s">
        <v>1354</v>
      </c>
      <c r="M298" s="23" t="s">
        <v>1355</v>
      </c>
      <c r="N298" s="23" t="s">
        <v>1335</v>
      </c>
      <c r="O298" s="18">
        <v>5</v>
      </c>
      <c r="P298" s="24" t="s">
        <v>102</v>
      </c>
      <c r="Q298" s="25">
        <v>42121</v>
      </c>
      <c r="R298" s="13">
        <v>0</v>
      </c>
      <c r="S298" s="26" t="str">
        <f>VLOOKUP(C298,'[1]Bazaar Salary'!$B$6:$J$1193,9,0)</f>
        <v>05390010045770240016</v>
      </c>
      <c r="T298" s="25" t="s">
        <v>32</v>
      </c>
      <c r="U298" s="25" t="s">
        <v>33</v>
      </c>
      <c r="V298" s="25" t="s">
        <v>1356</v>
      </c>
      <c r="W298" s="27" t="s">
        <v>1357</v>
      </c>
      <c r="X298" s="28" t="s">
        <v>1358</v>
      </c>
      <c r="Y298" s="28"/>
      <c r="Z298" s="29" t="s">
        <v>37</v>
      </c>
    </row>
    <row r="299" spans="1:26" ht="30" customHeight="1" thickBot="1" x14ac:dyDescent="0.25">
      <c r="A299" s="17">
        <f t="shared" si="9"/>
        <v>298</v>
      </c>
      <c r="B299" s="18" t="s">
        <v>25</v>
      </c>
      <c r="C299" s="19">
        <v>3520284213345</v>
      </c>
      <c r="D299" s="19">
        <v>1765</v>
      </c>
      <c r="E299" s="20">
        <v>45351</v>
      </c>
      <c r="F299" s="20">
        <v>49003</v>
      </c>
      <c r="G299" s="21">
        <v>38749</v>
      </c>
      <c r="H299" s="22">
        <f t="shared" ca="1" si="8"/>
        <v>20</v>
      </c>
      <c r="I299" s="19" t="s">
        <v>26</v>
      </c>
      <c r="J299" s="18" t="s">
        <v>27</v>
      </c>
      <c r="K299" s="18"/>
      <c r="L299" s="23" t="s">
        <v>1359</v>
      </c>
      <c r="M299" s="23" t="s">
        <v>1360</v>
      </c>
      <c r="N299" s="23" t="s">
        <v>1335</v>
      </c>
      <c r="O299" s="18">
        <v>5</v>
      </c>
      <c r="P299" s="24" t="s">
        <v>620</v>
      </c>
      <c r="Q299" s="25">
        <v>45748</v>
      </c>
      <c r="R299" s="13">
        <v>0</v>
      </c>
      <c r="S299" s="26" t="str">
        <f>VLOOKUP(C299,'[1]Head Office '!$B$7:$I$98,8,0)</f>
        <v>02880010139022290016</v>
      </c>
      <c r="T299" s="25" t="s">
        <v>32</v>
      </c>
      <c r="U299" s="25" t="s">
        <v>33</v>
      </c>
      <c r="V299" s="25" t="s">
        <v>884</v>
      </c>
      <c r="W299" s="27" t="s">
        <v>1361</v>
      </c>
      <c r="X299" s="28" t="s">
        <v>1362</v>
      </c>
      <c r="Y299" s="28"/>
      <c r="Z299" s="29" t="s">
        <v>37</v>
      </c>
    </row>
    <row r="300" spans="1:26" ht="30" customHeight="1" thickBot="1" x14ac:dyDescent="0.25">
      <c r="A300" s="17">
        <f t="shared" si="9"/>
        <v>299</v>
      </c>
      <c r="B300" s="18" t="s">
        <v>25</v>
      </c>
      <c r="C300" s="19">
        <v>3840253575703</v>
      </c>
      <c r="D300" s="19">
        <v>1802</v>
      </c>
      <c r="E300" s="20">
        <v>45956</v>
      </c>
      <c r="F300" s="20">
        <v>48763</v>
      </c>
      <c r="G300" s="21">
        <v>37788</v>
      </c>
      <c r="H300" s="22">
        <f t="shared" ca="1" si="8"/>
        <v>23</v>
      </c>
      <c r="I300" s="19" t="s">
        <v>26</v>
      </c>
      <c r="J300" s="18" t="s">
        <v>27</v>
      </c>
      <c r="K300" s="18"/>
      <c r="L300" s="23" t="s">
        <v>1363</v>
      </c>
      <c r="M300" s="23" t="s">
        <v>1364</v>
      </c>
      <c r="N300" s="23" t="s">
        <v>1335</v>
      </c>
      <c r="O300" s="18">
        <v>5</v>
      </c>
      <c r="P300" s="24" t="s">
        <v>83</v>
      </c>
      <c r="Q300" s="25">
        <v>45748</v>
      </c>
      <c r="R300" s="13">
        <v>0</v>
      </c>
      <c r="S300" s="26" t="str">
        <f>VLOOKUP(C300,'[1]Bazaar Salary'!$B$6:$J$1193,9,0)</f>
        <v>51210020140342140017</v>
      </c>
      <c r="T300" s="25" t="s">
        <v>32</v>
      </c>
      <c r="U300" s="25" t="s">
        <v>33</v>
      </c>
      <c r="V300" s="25" t="s">
        <v>884</v>
      </c>
      <c r="W300" s="27" t="s">
        <v>1365</v>
      </c>
      <c r="X300" s="28" t="s">
        <v>1366</v>
      </c>
      <c r="Y300" s="28" t="str">
        <f>VLOOKUP(C300,[2]Final!$J$2:$T$175,11,0)</f>
        <v>salman.fiyyaz1@gmail.com</v>
      </c>
      <c r="Z300" s="29" t="s">
        <v>37</v>
      </c>
    </row>
    <row r="301" spans="1:26" ht="30" customHeight="1" thickBot="1" x14ac:dyDescent="0.25">
      <c r="A301" s="17">
        <f t="shared" si="9"/>
        <v>300</v>
      </c>
      <c r="B301" s="18" t="s">
        <v>25</v>
      </c>
      <c r="C301" s="19">
        <v>3640213232699</v>
      </c>
      <c r="D301" s="19">
        <v>1705</v>
      </c>
      <c r="E301" s="20">
        <v>45496</v>
      </c>
      <c r="F301" s="20">
        <v>49148</v>
      </c>
      <c r="G301" s="21">
        <v>38920</v>
      </c>
      <c r="H301" s="22">
        <f t="shared" ca="1" si="8"/>
        <v>19</v>
      </c>
      <c r="I301" s="19" t="s">
        <v>26</v>
      </c>
      <c r="J301" s="18" t="s">
        <v>27</v>
      </c>
      <c r="K301" s="18"/>
      <c r="L301" s="23" t="s">
        <v>1367</v>
      </c>
      <c r="M301" s="23" t="s">
        <v>1368</v>
      </c>
      <c r="N301" s="23" t="s">
        <v>1335</v>
      </c>
      <c r="O301" s="18">
        <v>5</v>
      </c>
      <c r="P301" s="24" t="s">
        <v>102</v>
      </c>
      <c r="Q301" s="25">
        <v>45748</v>
      </c>
      <c r="R301" s="13">
        <v>0</v>
      </c>
      <c r="S301" s="26" t="str">
        <f>VLOOKUP(C301,'[1]Bazaar Salary'!$B$6:$J$1193,9,0)</f>
        <v>02880010137465300016</v>
      </c>
      <c r="T301" s="25" t="s">
        <v>32</v>
      </c>
      <c r="U301" s="25" t="s">
        <v>33</v>
      </c>
      <c r="V301" s="25" t="s">
        <v>1093</v>
      </c>
      <c r="W301" s="27" t="s">
        <v>1369</v>
      </c>
      <c r="X301" s="28" t="s">
        <v>1370</v>
      </c>
      <c r="Y301" s="28"/>
      <c r="Z301" s="29" t="s">
        <v>37</v>
      </c>
    </row>
    <row r="302" spans="1:26" ht="30" customHeight="1" thickBot="1" x14ac:dyDescent="0.25">
      <c r="A302" s="17">
        <f t="shared" si="9"/>
        <v>301</v>
      </c>
      <c r="B302" s="18" t="s">
        <v>25</v>
      </c>
      <c r="C302" s="19">
        <v>3520115336235</v>
      </c>
      <c r="D302" s="19">
        <v>1443</v>
      </c>
      <c r="E302" s="20">
        <v>45670</v>
      </c>
      <c r="F302" s="20">
        <v>49322</v>
      </c>
      <c r="G302" s="21">
        <v>27498</v>
      </c>
      <c r="H302" s="22">
        <f t="shared" ca="1" si="8"/>
        <v>51</v>
      </c>
      <c r="I302" s="19" t="s">
        <v>26</v>
      </c>
      <c r="J302" s="18" t="s">
        <v>27</v>
      </c>
      <c r="K302" s="18"/>
      <c r="L302" s="23" t="s">
        <v>1371</v>
      </c>
      <c r="M302" s="23" t="s">
        <v>1372</v>
      </c>
      <c r="N302" s="23" t="s">
        <v>1335</v>
      </c>
      <c r="O302" s="18">
        <v>5</v>
      </c>
      <c r="P302" s="24" t="s">
        <v>620</v>
      </c>
      <c r="Q302" s="25">
        <v>45292</v>
      </c>
      <c r="R302" s="13">
        <v>0</v>
      </c>
      <c r="S302" s="26" t="str">
        <f>VLOOKUP(C302,'[1]Bazaar Salary'!$B$6:$J$1193,9,0)</f>
        <v>02880010100882510011</v>
      </c>
      <c r="T302" s="25" t="s">
        <v>32</v>
      </c>
      <c r="U302" s="25" t="s">
        <v>33</v>
      </c>
      <c r="V302" s="25" t="s">
        <v>884</v>
      </c>
      <c r="W302" s="27" t="s">
        <v>1373</v>
      </c>
      <c r="X302" s="28" t="s">
        <v>1374</v>
      </c>
      <c r="Y302" s="28" t="str">
        <f>VLOOKUP(C302,[2]Final!$J$2:$T$175,11,0)</f>
        <v>zaighamyaseen01@gmail.com</v>
      </c>
      <c r="Z302" s="29" t="s">
        <v>37</v>
      </c>
    </row>
    <row r="303" spans="1:26" ht="30" customHeight="1" thickBot="1" x14ac:dyDescent="0.25">
      <c r="A303" s="17">
        <f t="shared" si="9"/>
        <v>302</v>
      </c>
      <c r="B303" s="18" t="s">
        <v>25</v>
      </c>
      <c r="C303" s="19">
        <v>3520296791390</v>
      </c>
      <c r="D303" s="19">
        <v>1653</v>
      </c>
      <c r="E303" s="21">
        <v>44432</v>
      </c>
      <c r="F303" s="21">
        <v>48084</v>
      </c>
      <c r="G303" s="21">
        <v>34977</v>
      </c>
      <c r="H303" s="22">
        <f t="shared" ca="1" si="8"/>
        <v>30</v>
      </c>
      <c r="I303" s="18" t="s">
        <v>26</v>
      </c>
      <c r="J303" s="18" t="s">
        <v>66</v>
      </c>
      <c r="K303" s="23"/>
      <c r="L303" s="24" t="s">
        <v>1375</v>
      </c>
      <c r="M303" s="33" t="s">
        <v>1376</v>
      </c>
      <c r="N303" s="23" t="s">
        <v>1295</v>
      </c>
      <c r="O303" s="18">
        <v>5</v>
      </c>
      <c r="P303" s="24" t="s">
        <v>70</v>
      </c>
      <c r="Q303" s="25">
        <v>45748</v>
      </c>
      <c r="R303" s="13">
        <v>0</v>
      </c>
      <c r="S303" s="26" t="str">
        <f>VLOOKUP(C303,'[1]Head Office '!$B$7:$I$98,8,0)</f>
        <v>07040010108843500013</v>
      </c>
      <c r="T303" s="25" t="s">
        <v>32</v>
      </c>
      <c r="U303" s="25" t="s">
        <v>33</v>
      </c>
      <c r="V303" s="25" t="s">
        <v>884</v>
      </c>
      <c r="W303" s="33" t="s">
        <v>1377</v>
      </c>
      <c r="X303" s="28" t="s">
        <v>1378</v>
      </c>
      <c r="Y303" s="28" t="str">
        <f>VLOOKUP(C303,[2]Final!$J$2:$T$175,11,0)</f>
        <v>seharadeel319@gmail.com</v>
      </c>
      <c r="Z303" s="29" t="s">
        <v>37</v>
      </c>
    </row>
    <row r="304" spans="1:26" ht="30" customHeight="1" thickBot="1" x14ac:dyDescent="0.25">
      <c r="A304" s="17">
        <f t="shared" si="9"/>
        <v>303</v>
      </c>
      <c r="B304" s="18" t="s">
        <v>25</v>
      </c>
      <c r="C304" s="19">
        <v>3520232804593</v>
      </c>
      <c r="D304" s="19">
        <v>1658</v>
      </c>
      <c r="E304" s="21">
        <v>44631</v>
      </c>
      <c r="F304" s="21">
        <v>48284</v>
      </c>
      <c r="G304" s="21">
        <v>37646</v>
      </c>
      <c r="H304" s="22">
        <f t="shared" ca="1" si="8"/>
        <v>23</v>
      </c>
      <c r="I304" s="18" t="s">
        <v>26</v>
      </c>
      <c r="J304" s="18" t="s">
        <v>27</v>
      </c>
      <c r="K304" s="23"/>
      <c r="L304" s="24" t="s">
        <v>1379</v>
      </c>
      <c r="M304" s="33" t="s">
        <v>1380</v>
      </c>
      <c r="N304" s="23" t="s">
        <v>1295</v>
      </c>
      <c r="O304" s="18">
        <v>5</v>
      </c>
      <c r="P304" s="24"/>
      <c r="Q304" s="25">
        <v>45748</v>
      </c>
      <c r="R304" s="13">
        <v>0</v>
      </c>
      <c r="S304" s="26" t="str">
        <f>VLOOKUP(C304,'[1]Bazaar Salary'!$B$6:$J$1193,9,0)</f>
        <v>02880010134231700013</v>
      </c>
      <c r="T304" s="25" t="s">
        <v>32</v>
      </c>
      <c r="U304" s="25" t="s">
        <v>376</v>
      </c>
      <c r="V304" s="25" t="s">
        <v>884</v>
      </c>
      <c r="W304" s="33" t="s">
        <v>1381</v>
      </c>
      <c r="X304" s="28" t="s">
        <v>1382</v>
      </c>
      <c r="Y304" s="28"/>
      <c r="Z304" s="29" t="s">
        <v>37</v>
      </c>
    </row>
    <row r="305" spans="1:26" ht="30" customHeight="1" thickBot="1" x14ac:dyDescent="0.25">
      <c r="A305" s="17">
        <f t="shared" si="9"/>
        <v>304</v>
      </c>
      <c r="B305" s="18" t="s">
        <v>25</v>
      </c>
      <c r="C305" s="19">
        <v>3520228515313</v>
      </c>
      <c r="D305" s="19">
        <v>1663</v>
      </c>
      <c r="E305" s="21">
        <v>44138</v>
      </c>
      <c r="F305" s="21">
        <v>47790</v>
      </c>
      <c r="G305" s="21">
        <v>29295</v>
      </c>
      <c r="H305" s="22">
        <f t="shared" ca="1" si="8"/>
        <v>46</v>
      </c>
      <c r="I305" s="18" t="s">
        <v>26</v>
      </c>
      <c r="J305" s="18" t="s">
        <v>27</v>
      </c>
      <c r="K305" s="23"/>
      <c r="L305" s="24" t="s">
        <v>1383</v>
      </c>
      <c r="M305" s="33" t="s">
        <v>1384</v>
      </c>
      <c r="N305" s="23" t="s">
        <v>1295</v>
      </c>
      <c r="O305" s="18">
        <v>5</v>
      </c>
      <c r="P305" s="24"/>
      <c r="Q305" s="25">
        <v>45748</v>
      </c>
      <c r="R305" s="13">
        <v>0</v>
      </c>
      <c r="S305" s="26" t="str">
        <f>VLOOKUP(C305,'[1]Bazaar Salary'!$B$6:$J$1193,9,0)</f>
        <v>02880010002767600011</v>
      </c>
      <c r="T305" s="25" t="s">
        <v>32</v>
      </c>
      <c r="U305" s="25" t="s">
        <v>376</v>
      </c>
      <c r="V305" s="25" t="s">
        <v>884</v>
      </c>
      <c r="W305" s="33" t="s">
        <v>1385</v>
      </c>
      <c r="X305" s="28" t="s">
        <v>1386</v>
      </c>
      <c r="Y305" s="28"/>
      <c r="Z305" s="29" t="s">
        <v>37</v>
      </c>
    </row>
    <row r="306" spans="1:26" ht="30" customHeight="1" thickBot="1" x14ac:dyDescent="0.25">
      <c r="A306" s="17">
        <f t="shared" si="9"/>
        <v>305</v>
      </c>
      <c r="B306" s="18" t="s">
        <v>25</v>
      </c>
      <c r="C306" s="19">
        <v>3510366757993</v>
      </c>
      <c r="D306" s="19">
        <v>1617</v>
      </c>
      <c r="E306" s="20">
        <v>43535</v>
      </c>
      <c r="F306" s="20">
        <v>47188</v>
      </c>
      <c r="G306" s="21">
        <v>35654</v>
      </c>
      <c r="H306" s="22">
        <f t="shared" ca="1" si="8"/>
        <v>28</v>
      </c>
      <c r="I306" s="19" t="s">
        <v>26</v>
      </c>
      <c r="J306" s="18" t="s">
        <v>27</v>
      </c>
      <c r="K306" s="18"/>
      <c r="L306" s="23" t="s">
        <v>1387</v>
      </c>
      <c r="M306" s="23" t="s">
        <v>385</v>
      </c>
      <c r="N306" s="23" t="s">
        <v>1295</v>
      </c>
      <c r="O306" s="18">
        <v>5</v>
      </c>
      <c r="P306" s="24"/>
      <c r="Q306" s="25">
        <v>45748</v>
      </c>
      <c r="R306" s="13">
        <v>0</v>
      </c>
      <c r="S306" s="26" t="str">
        <f>VLOOKUP(C306,'[1]Bazaar Salary'!$B$6:$J$1193,9,0)</f>
        <v>02880010132199300010</v>
      </c>
      <c r="T306" s="25" t="s">
        <v>32</v>
      </c>
      <c r="U306" s="25" t="s">
        <v>376</v>
      </c>
      <c r="V306" s="25" t="s">
        <v>884</v>
      </c>
      <c r="W306" s="27" t="s">
        <v>1388</v>
      </c>
      <c r="X306" s="28" t="s">
        <v>1389</v>
      </c>
      <c r="Y306" s="28"/>
      <c r="Z306" s="29" t="s">
        <v>37</v>
      </c>
    </row>
    <row r="307" spans="1:26" ht="30" customHeight="1" thickBot="1" x14ac:dyDescent="0.25">
      <c r="A307" s="17">
        <f t="shared" si="9"/>
        <v>306</v>
      </c>
      <c r="B307" s="18" t="s">
        <v>25</v>
      </c>
      <c r="C307" s="19">
        <v>3510237790261</v>
      </c>
      <c r="D307" s="19">
        <v>440</v>
      </c>
      <c r="E307" s="20">
        <v>44600</v>
      </c>
      <c r="F307" s="20">
        <v>48252</v>
      </c>
      <c r="G307" s="21">
        <v>32804</v>
      </c>
      <c r="H307" s="22">
        <f t="shared" ca="1" si="8"/>
        <v>36</v>
      </c>
      <c r="I307" s="19" t="s">
        <v>26</v>
      </c>
      <c r="J307" s="18" t="s">
        <v>27</v>
      </c>
      <c r="K307" s="18"/>
      <c r="L307" s="23" t="s">
        <v>1390</v>
      </c>
      <c r="M307" s="23" t="s">
        <v>1391</v>
      </c>
      <c r="N307" s="23" t="s">
        <v>1295</v>
      </c>
      <c r="O307" s="18">
        <v>5</v>
      </c>
      <c r="P307" s="24"/>
      <c r="Q307" s="25">
        <v>41913</v>
      </c>
      <c r="R307" s="13">
        <v>0</v>
      </c>
      <c r="S307" s="26" t="str">
        <f>VLOOKUP(C307,'[1]Bazaar Salary'!$B$6:$J$1193,9,0)</f>
        <v>05390010045717710015</v>
      </c>
      <c r="T307" s="25" t="s">
        <v>32</v>
      </c>
      <c r="U307" s="25" t="s">
        <v>225</v>
      </c>
      <c r="V307" s="25" t="s">
        <v>1093</v>
      </c>
      <c r="W307" s="27" t="s">
        <v>1392</v>
      </c>
      <c r="X307" s="28" t="s">
        <v>1393</v>
      </c>
      <c r="Y307" s="28"/>
      <c r="Z307" s="29" t="s">
        <v>37</v>
      </c>
    </row>
    <row r="308" spans="1:26" ht="30" customHeight="1" thickBot="1" x14ac:dyDescent="0.25">
      <c r="A308" s="17">
        <f t="shared" si="9"/>
        <v>307</v>
      </c>
      <c r="B308" s="18" t="s">
        <v>25</v>
      </c>
      <c r="C308" s="19">
        <v>3220215523393</v>
      </c>
      <c r="D308" s="19">
        <v>1721</v>
      </c>
      <c r="E308" s="20">
        <v>43550</v>
      </c>
      <c r="F308" s="20">
        <v>47203</v>
      </c>
      <c r="G308" s="21">
        <v>36870</v>
      </c>
      <c r="H308" s="22">
        <f t="shared" ca="1" si="8"/>
        <v>25</v>
      </c>
      <c r="I308" s="19" t="s">
        <v>26</v>
      </c>
      <c r="J308" s="18" t="s">
        <v>27</v>
      </c>
      <c r="K308" s="18"/>
      <c r="L308" s="24" t="s">
        <v>1394</v>
      </c>
      <c r="M308" s="23" t="s">
        <v>1395</v>
      </c>
      <c r="N308" s="24" t="s">
        <v>1295</v>
      </c>
      <c r="O308" s="18">
        <v>5</v>
      </c>
      <c r="P308" s="24"/>
      <c r="Q308" s="25">
        <v>45748</v>
      </c>
      <c r="R308" s="13">
        <v>0</v>
      </c>
      <c r="S308" s="26" t="str">
        <f>VLOOKUP(C308,'[1]Bazaar Salary'!$B$6:$J$1193,9,0)</f>
        <v>51400020138549660014</v>
      </c>
      <c r="T308" s="25" t="s">
        <v>32</v>
      </c>
      <c r="U308" s="25" t="s">
        <v>391</v>
      </c>
      <c r="V308" s="25" t="s">
        <v>884</v>
      </c>
      <c r="W308" s="27" t="s">
        <v>1396</v>
      </c>
      <c r="X308" s="28" t="s">
        <v>1397</v>
      </c>
      <c r="Y308" s="28"/>
      <c r="Z308" s="29" t="s">
        <v>37</v>
      </c>
    </row>
    <row r="309" spans="1:26" ht="30" customHeight="1" thickBot="1" x14ac:dyDescent="0.25">
      <c r="A309" s="17">
        <f t="shared" si="9"/>
        <v>308</v>
      </c>
      <c r="B309" s="18" t="s">
        <v>25</v>
      </c>
      <c r="C309" s="19">
        <v>3520216647253</v>
      </c>
      <c r="D309" s="19">
        <v>1659</v>
      </c>
      <c r="E309" s="21">
        <v>44596</v>
      </c>
      <c r="F309" s="21">
        <v>48248</v>
      </c>
      <c r="G309" s="21">
        <v>34069</v>
      </c>
      <c r="H309" s="22">
        <f t="shared" ca="1" si="8"/>
        <v>33</v>
      </c>
      <c r="I309" s="18" t="s">
        <v>26</v>
      </c>
      <c r="J309" s="18" t="s">
        <v>27</v>
      </c>
      <c r="K309" s="23"/>
      <c r="L309" s="24" t="s">
        <v>1398</v>
      </c>
      <c r="M309" s="33" t="s">
        <v>1399</v>
      </c>
      <c r="N309" s="23" t="s">
        <v>1295</v>
      </c>
      <c r="O309" s="18">
        <v>5</v>
      </c>
      <c r="P309" s="24"/>
      <c r="Q309" s="25">
        <v>45748</v>
      </c>
      <c r="R309" s="13">
        <v>0</v>
      </c>
      <c r="S309" s="26" t="str">
        <f>VLOOKUP(C309,'[1]Bazaar Salary'!$B$6:$J$1193,9,0)</f>
        <v>07660010046377710024</v>
      </c>
      <c r="T309" s="25" t="s">
        <v>32</v>
      </c>
      <c r="U309" s="25" t="s">
        <v>800</v>
      </c>
      <c r="V309" s="25" t="s">
        <v>884</v>
      </c>
      <c r="W309" s="33" t="s">
        <v>1400</v>
      </c>
      <c r="X309" s="28" t="s">
        <v>1401</v>
      </c>
      <c r="Y309" s="28"/>
      <c r="Z309" s="29" t="s">
        <v>37</v>
      </c>
    </row>
    <row r="310" spans="1:26" ht="30" customHeight="1" thickBot="1" x14ac:dyDescent="0.25">
      <c r="A310" s="17">
        <f t="shared" si="9"/>
        <v>309</v>
      </c>
      <c r="B310" s="18" t="s">
        <v>25</v>
      </c>
      <c r="C310" s="19">
        <v>3830285359963</v>
      </c>
      <c r="D310" s="19">
        <v>1750</v>
      </c>
      <c r="E310" s="20">
        <v>44141</v>
      </c>
      <c r="F310" s="20">
        <v>47793</v>
      </c>
      <c r="G310" s="21">
        <v>37544</v>
      </c>
      <c r="H310" s="22">
        <f t="shared" ca="1" si="8"/>
        <v>23</v>
      </c>
      <c r="I310" s="19" t="s">
        <v>26</v>
      </c>
      <c r="J310" s="18" t="s">
        <v>27</v>
      </c>
      <c r="K310" s="18"/>
      <c r="L310" s="23" t="s">
        <v>1057</v>
      </c>
      <c r="M310" s="23" t="s">
        <v>75</v>
      </c>
      <c r="N310" s="23" t="s">
        <v>1295</v>
      </c>
      <c r="O310" s="18">
        <v>5</v>
      </c>
      <c r="P310" s="24"/>
      <c r="Q310" s="25">
        <v>45748</v>
      </c>
      <c r="R310" s="13">
        <v>0</v>
      </c>
      <c r="S310" s="26" t="str">
        <f>VLOOKUP(C310,'[1]Bazaar Salary'!$B$6:$J$1193,9,0)</f>
        <v>02670010139032770010</v>
      </c>
      <c r="T310" s="25" t="s">
        <v>32</v>
      </c>
      <c r="U310" s="25" t="s">
        <v>805</v>
      </c>
      <c r="V310" s="25" t="s">
        <v>884</v>
      </c>
      <c r="W310" s="27" t="s">
        <v>1402</v>
      </c>
      <c r="X310" s="28" t="s">
        <v>1403</v>
      </c>
      <c r="Y310" s="28"/>
      <c r="Z310" s="29" t="s">
        <v>37</v>
      </c>
    </row>
    <row r="311" spans="1:26" ht="30" customHeight="1" thickBot="1" x14ac:dyDescent="0.25">
      <c r="A311" s="17">
        <f t="shared" si="9"/>
        <v>310</v>
      </c>
      <c r="B311" s="18" t="s">
        <v>25</v>
      </c>
      <c r="C311" s="19">
        <v>3520233950025</v>
      </c>
      <c r="D311" s="19">
        <v>1833</v>
      </c>
      <c r="E311" s="20">
        <v>44908</v>
      </c>
      <c r="F311" s="20">
        <v>48561</v>
      </c>
      <c r="G311" s="21">
        <v>38214</v>
      </c>
      <c r="H311" s="22">
        <f t="shared" ca="1" si="8"/>
        <v>21</v>
      </c>
      <c r="I311" s="19" t="s">
        <v>26</v>
      </c>
      <c r="J311" s="18" t="s">
        <v>27</v>
      </c>
      <c r="K311" s="18"/>
      <c r="L311" s="23" t="s">
        <v>1404</v>
      </c>
      <c r="M311" s="23" t="s">
        <v>1294</v>
      </c>
      <c r="N311" s="23" t="s">
        <v>1295</v>
      </c>
      <c r="O311" s="18">
        <v>5</v>
      </c>
      <c r="P311" s="24"/>
      <c r="Q311" s="25">
        <v>45748</v>
      </c>
      <c r="R311" s="13">
        <v>0</v>
      </c>
      <c r="S311" s="26" t="str">
        <f>VLOOKUP(C311,'[1]Bazaar Salary'!$B$6:$J$1193,9,0)</f>
        <v>03910010141495390016</v>
      </c>
      <c r="T311" s="25" t="s">
        <v>32</v>
      </c>
      <c r="U311" s="25" t="s">
        <v>415</v>
      </c>
      <c r="V311" s="25" t="s">
        <v>884</v>
      </c>
      <c r="W311" s="27" t="s">
        <v>1405</v>
      </c>
      <c r="X311" s="28" t="s">
        <v>1406</v>
      </c>
      <c r="Y311" s="28"/>
      <c r="Z311" s="29" t="s">
        <v>37</v>
      </c>
    </row>
    <row r="312" spans="1:26" ht="30" customHeight="1" thickBot="1" x14ac:dyDescent="0.25">
      <c r="A312" s="17">
        <f t="shared" si="9"/>
        <v>311</v>
      </c>
      <c r="B312" s="18" t="s">
        <v>25</v>
      </c>
      <c r="C312" s="19">
        <v>3520257358013</v>
      </c>
      <c r="D312" s="19">
        <v>371</v>
      </c>
      <c r="E312" s="20">
        <v>44809</v>
      </c>
      <c r="F312" s="20">
        <v>48462</v>
      </c>
      <c r="G312" s="21">
        <v>25157</v>
      </c>
      <c r="H312" s="22">
        <f t="shared" ca="1" si="8"/>
        <v>57</v>
      </c>
      <c r="I312" s="19" t="s">
        <v>26</v>
      </c>
      <c r="J312" s="18" t="s">
        <v>27</v>
      </c>
      <c r="K312" s="18"/>
      <c r="L312" s="23" t="s">
        <v>769</v>
      </c>
      <c r="M312" s="23" t="s">
        <v>1407</v>
      </c>
      <c r="N312" s="23" t="s">
        <v>1295</v>
      </c>
      <c r="O312" s="18">
        <v>5</v>
      </c>
      <c r="P312" s="24"/>
      <c r="Q312" s="25">
        <v>41623</v>
      </c>
      <c r="R312" s="13">
        <v>0</v>
      </c>
      <c r="S312" s="26" t="str">
        <f>VLOOKUP(C312,'[1]Bazaar Salary'!$B$6:$J$1193,9,0)</f>
        <v>03910010045892390010</v>
      </c>
      <c r="T312" s="25" t="s">
        <v>32</v>
      </c>
      <c r="U312" s="25" t="s">
        <v>415</v>
      </c>
      <c r="V312" s="25" t="s">
        <v>884</v>
      </c>
      <c r="W312" s="27" t="s">
        <v>1408</v>
      </c>
      <c r="X312" s="28" t="s">
        <v>1409</v>
      </c>
      <c r="Y312" s="28"/>
      <c r="Z312" s="29" t="s">
        <v>37</v>
      </c>
    </row>
    <row r="313" spans="1:26" ht="30" customHeight="1" thickBot="1" x14ac:dyDescent="0.25">
      <c r="A313" s="17">
        <f t="shared" si="9"/>
        <v>312</v>
      </c>
      <c r="B313" s="18" t="s">
        <v>25</v>
      </c>
      <c r="C313" s="19">
        <v>3520213370037</v>
      </c>
      <c r="D313" s="19">
        <v>377</v>
      </c>
      <c r="E313" s="20">
        <v>43451</v>
      </c>
      <c r="F313" s="20">
        <v>47104</v>
      </c>
      <c r="G313" s="21">
        <v>27431</v>
      </c>
      <c r="H313" s="22">
        <f t="shared" ca="1" si="8"/>
        <v>51</v>
      </c>
      <c r="I313" s="19" t="s">
        <v>26</v>
      </c>
      <c r="J313" s="18" t="s">
        <v>27</v>
      </c>
      <c r="K313" s="18"/>
      <c r="L313" s="23" t="s">
        <v>420</v>
      </c>
      <c r="M313" s="23" t="s">
        <v>1305</v>
      </c>
      <c r="N313" s="23" t="s">
        <v>1295</v>
      </c>
      <c r="O313" s="18">
        <v>5</v>
      </c>
      <c r="P313" s="24"/>
      <c r="Q313" s="25">
        <v>41671</v>
      </c>
      <c r="R313" s="13">
        <v>0</v>
      </c>
      <c r="S313" s="26" t="str">
        <f>VLOOKUP(C313,'[1]Bazaar Salary'!$B$6:$J$1193,9,0)</f>
        <v>03910010045891910019</v>
      </c>
      <c r="T313" s="25" t="s">
        <v>32</v>
      </c>
      <c r="U313" s="25" t="s">
        <v>415</v>
      </c>
      <c r="V313" s="25" t="s">
        <v>884</v>
      </c>
      <c r="W313" s="27" t="s">
        <v>1410</v>
      </c>
      <c r="X313" s="28" t="s">
        <v>1411</v>
      </c>
      <c r="Y313" s="28"/>
      <c r="Z313" s="29" t="s">
        <v>37</v>
      </c>
    </row>
    <row r="314" spans="1:26" ht="30" customHeight="1" thickBot="1" x14ac:dyDescent="0.25">
      <c r="A314" s="17">
        <f t="shared" si="9"/>
        <v>313</v>
      </c>
      <c r="B314" s="18" t="s">
        <v>25</v>
      </c>
      <c r="C314" s="19">
        <v>3520288487529</v>
      </c>
      <c r="D314" s="19">
        <v>1791</v>
      </c>
      <c r="E314" s="20">
        <v>44998</v>
      </c>
      <c r="F314" s="20">
        <v>48651</v>
      </c>
      <c r="G314" s="21">
        <v>37894</v>
      </c>
      <c r="H314" s="22">
        <f t="shared" ca="1" si="8"/>
        <v>22</v>
      </c>
      <c r="I314" s="19" t="s">
        <v>26</v>
      </c>
      <c r="J314" s="18" t="s">
        <v>27</v>
      </c>
      <c r="K314" s="18"/>
      <c r="L314" s="23" t="s">
        <v>1412</v>
      </c>
      <c r="M314" s="23" t="s">
        <v>1413</v>
      </c>
      <c r="N314" s="23" t="s">
        <v>1295</v>
      </c>
      <c r="O314" s="18">
        <v>5</v>
      </c>
      <c r="P314" s="24"/>
      <c r="Q314" s="25">
        <v>45748</v>
      </c>
      <c r="R314" s="13">
        <v>0</v>
      </c>
      <c r="S314" s="26" t="str">
        <f>VLOOKUP(C314,'[1]Bazaar Salary'!$B$6:$J$1193,9,0)</f>
        <v>13460010138423280024</v>
      </c>
      <c r="T314" s="25" t="s">
        <v>32</v>
      </c>
      <c r="U314" s="25" t="s">
        <v>415</v>
      </c>
      <c r="V314" s="25" t="s">
        <v>884</v>
      </c>
      <c r="W314" s="27" t="s">
        <v>1414</v>
      </c>
      <c r="X314" s="28" t="s">
        <v>1415</v>
      </c>
      <c r="Y314" s="28"/>
      <c r="Z314" s="29" t="s">
        <v>37</v>
      </c>
    </row>
    <row r="315" spans="1:26" ht="30" customHeight="1" thickBot="1" x14ac:dyDescent="0.25">
      <c r="A315" s="17">
        <f t="shared" si="9"/>
        <v>314</v>
      </c>
      <c r="B315" s="18" t="s">
        <v>25</v>
      </c>
      <c r="C315" s="19">
        <v>3520403799509</v>
      </c>
      <c r="D315" s="19">
        <v>1795</v>
      </c>
      <c r="E315" s="20">
        <v>45371</v>
      </c>
      <c r="F315" s="20">
        <v>49023</v>
      </c>
      <c r="G315" s="21">
        <v>38761</v>
      </c>
      <c r="H315" s="22">
        <f t="shared" ca="1" si="8"/>
        <v>20</v>
      </c>
      <c r="I315" s="19" t="s">
        <v>26</v>
      </c>
      <c r="J315" s="18" t="s">
        <v>27</v>
      </c>
      <c r="K315" s="18"/>
      <c r="L315" s="23" t="s">
        <v>968</v>
      </c>
      <c r="M315" s="23" t="s">
        <v>761</v>
      </c>
      <c r="N315" s="23" t="s">
        <v>1295</v>
      </c>
      <c r="O315" s="18">
        <v>5</v>
      </c>
      <c r="P315" s="24"/>
      <c r="Q315" s="25">
        <v>45748</v>
      </c>
      <c r="R315" s="13">
        <v>0</v>
      </c>
      <c r="S315" s="26" t="str">
        <f>VLOOKUP(C315,'[1]Bazaar Salary'!$B$6:$J$1193,9,0)</f>
        <v>03910010140278050015</v>
      </c>
      <c r="T315" s="25" t="s">
        <v>32</v>
      </c>
      <c r="U315" s="25" t="s">
        <v>839</v>
      </c>
      <c r="V315" s="25" t="s">
        <v>884</v>
      </c>
      <c r="W315" s="27" t="s">
        <v>1416</v>
      </c>
      <c r="X315" s="28" t="s">
        <v>1417</v>
      </c>
      <c r="Y315" s="28"/>
      <c r="Z315" s="29" t="s">
        <v>37</v>
      </c>
    </row>
    <row r="316" spans="1:26" ht="30" customHeight="1" thickBot="1" x14ac:dyDescent="0.25">
      <c r="A316" s="17">
        <f t="shared" si="9"/>
        <v>315</v>
      </c>
      <c r="B316" s="18" t="s">
        <v>25</v>
      </c>
      <c r="C316" s="19">
        <v>3520283452099</v>
      </c>
      <c r="D316" s="19">
        <v>1822</v>
      </c>
      <c r="E316" s="20">
        <v>43914</v>
      </c>
      <c r="F316" s="20">
        <v>47566</v>
      </c>
      <c r="G316" s="21">
        <v>37257</v>
      </c>
      <c r="H316" s="22">
        <f t="shared" ca="1" si="8"/>
        <v>24</v>
      </c>
      <c r="I316" s="19" t="s">
        <v>26</v>
      </c>
      <c r="J316" s="18" t="s">
        <v>27</v>
      </c>
      <c r="K316" s="18"/>
      <c r="L316" s="23" t="s">
        <v>1418</v>
      </c>
      <c r="M316" s="23" t="s">
        <v>990</v>
      </c>
      <c r="N316" s="24" t="s">
        <v>1295</v>
      </c>
      <c r="O316" s="18">
        <v>5</v>
      </c>
      <c r="P316" s="24"/>
      <c r="Q316" s="25">
        <v>45748</v>
      </c>
      <c r="R316" s="13">
        <v>0</v>
      </c>
      <c r="S316" s="26" t="str">
        <f>VLOOKUP(C316,'[1]Bazaar Salary'!$B$6:$J$1193,9,0)</f>
        <v>12630010080703140013</v>
      </c>
      <c r="T316" s="25" t="s">
        <v>32</v>
      </c>
      <c r="U316" s="25" t="s">
        <v>839</v>
      </c>
      <c r="V316" s="25" t="s">
        <v>884</v>
      </c>
      <c r="W316" s="27" t="s">
        <v>1419</v>
      </c>
      <c r="X316" s="28" t="s">
        <v>1420</v>
      </c>
      <c r="Y316" s="28"/>
      <c r="Z316" s="29" t="s">
        <v>37</v>
      </c>
    </row>
    <row r="317" spans="1:26" ht="30" customHeight="1" thickBot="1" x14ac:dyDescent="0.25">
      <c r="A317" s="17">
        <f t="shared" si="9"/>
        <v>316</v>
      </c>
      <c r="B317" s="18" t="s">
        <v>25</v>
      </c>
      <c r="C317" s="19">
        <v>3650213485245</v>
      </c>
      <c r="D317" s="19">
        <v>1848</v>
      </c>
      <c r="E317" s="20">
        <v>44848</v>
      </c>
      <c r="F317" s="20">
        <v>48501</v>
      </c>
      <c r="G317" s="21">
        <v>28286</v>
      </c>
      <c r="H317" s="22">
        <f t="shared" ca="1" si="8"/>
        <v>49</v>
      </c>
      <c r="I317" s="19" t="s">
        <v>26</v>
      </c>
      <c r="J317" s="18" t="s">
        <v>27</v>
      </c>
      <c r="K317" s="18"/>
      <c r="L317" s="23" t="s">
        <v>1421</v>
      </c>
      <c r="M317" s="23" t="s">
        <v>1422</v>
      </c>
      <c r="N317" s="23" t="s">
        <v>1295</v>
      </c>
      <c r="O317" s="18">
        <v>5</v>
      </c>
      <c r="P317" s="24"/>
      <c r="Q317" s="25">
        <v>45748</v>
      </c>
      <c r="R317" s="13">
        <v>0</v>
      </c>
      <c r="S317" s="26" t="str">
        <f>VLOOKUP(C317,'[1]Bazaar Salary'!$B$6:$J$1193,9,0)</f>
        <v>03530010054302810025</v>
      </c>
      <c r="T317" s="25" t="s">
        <v>32</v>
      </c>
      <c r="U317" s="25" t="s">
        <v>858</v>
      </c>
      <c r="V317" s="25" t="s">
        <v>884</v>
      </c>
      <c r="W317" s="27" t="s">
        <v>1423</v>
      </c>
      <c r="X317" s="28" t="s">
        <v>1424</v>
      </c>
      <c r="Y317" s="28"/>
      <c r="Z317" s="29" t="s">
        <v>37</v>
      </c>
    </row>
    <row r="318" spans="1:26" ht="30" customHeight="1" thickBot="1" x14ac:dyDescent="0.25">
      <c r="A318" s="17">
        <f t="shared" si="9"/>
        <v>317</v>
      </c>
      <c r="B318" s="18" t="s">
        <v>25</v>
      </c>
      <c r="C318" s="19">
        <v>3520257140437</v>
      </c>
      <c r="D318" s="19">
        <v>1818</v>
      </c>
      <c r="E318" s="20">
        <v>44920</v>
      </c>
      <c r="F318" s="20">
        <v>48573</v>
      </c>
      <c r="G318" s="21">
        <v>38147</v>
      </c>
      <c r="H318" s="22">
        <f t="shared" ca="1" si="8"/>
        <v>22</v>
      </c>
      <c r="I318" s="19" t="s">
        <v>26</v>
      </c>
      <c r="J318" s="18" t="s">
        <v>27</v>
      </c>
      <c r="K318" s="18"/>
      <c r="L318" s="23" t="s">
        <v>1425</v>
      </c>
      <c r="M318" s="23" t="s">
        <v>1426</v>
      </c>
      <c r="N318" s="23" t="s">
        <v>1295</v>
      </c>
      <c r="O318" s="18">
        <v>5</v>
      </c>
      <c r="P318" s="24"/>
      <c r="Q318" s="25">
        <v>45748</v>
      </c>
      <c r="R318" s="13">
        <v>0</v>
      </c>
      <c r="S318" s="26" t="str">
        <f>VLOOKUP(C318,'[1]Bazaar Salary'!$B$6:$J$1193,9,0)</f>
        <v>09650010141768300013</v>
      </c>
      <c r="T318" s="25" t="s">
        <v>32</v>
      </c>
      <c r="U318" s="25" t="s">
        <v>867</v>
      </c>
      <c r="V318" s="25" t="s">
        <v>884</v>
      </c>
      <c r="W318" s="27" t="s">
        <v>1427</v>
      </c>
      <c r="X318" s="28" t="s">
        <v>1428</v>
      </c>
      <c r="Y318" s="28"/>
      <c r="Z318" s="29" t="s">
        <v>37</v>
      </c>
    </row>
    <row r="319" spans="1:26" ht="30" customHeight="1" thickBot="1" x14ac:dyDescent="0.25">
      <c r="A319" s="17">
        <f t="shared" si="9"/>
        <v>318</v>
      </c>
      <c r="B319" s="18" t="s">
        <v>25</v>
      </c>
      <c r="C319" s="19">
        <v>3520269893877</v>
      </c>
      <c r="D319" s="19">
        <v>1657</v>
      </c>
      <c r="E319" s="21">
        <v>44934</v>
      </c>
      <c r="F319" s="21">
        <v>48587</v>
      </c>
      <c r="G319" s="21">
        <v>37965</v>
      </c>
      <c r="H319" s="22">
        <f t="shared" ca="1" si="8"/>
        <v>22</v>
      </c>
      <c r="I319" s="18" t="s">
        <v>26</v>
      </c>
      <c r="J319" s="18" t="s">
        <v>27</v>
      </c>
      <c r="K319" s="23"/>
      <c r="L319" s="24" t="s">
        <v>1429</v>
      </c>
      <c r="M319" s="33" t="s">
        <v>1118</v>
      </c>
      <c r="N319" s="24" t="s">
        <v>1295</v>
      </c>
      <c r="O319" s="18">
        <v>5</v>
      </c>
      <c r="P319" s="24"/>
      <c r="Q319" s="25">
        <v>45748</v>
      </c>
      <c r="R319" s="13">
        <v>0</v>
      </c>
      <c r="S319" s="26" t="str">
        <f>VLOOKUP(C319,'[1]Bazaar Salary'!$B$6:$J$1193,9,0)</f>
        <v>13900010134278820019</v>
      </c>
      <c r="T319" s="25" t="s">
        <v>32</v>
      </c>
      <c r="U319" s="25" t="s">
        <v>867</v>
      </c>
      <c r="V319" s="25" t="s">
        <v>884</v>
      </c>
      <c r="W319" s="33" t="s">
        <v>1430</v>
      </c>
      <c r="X319" s="28" t="s">
        <v>1431</v>
      </c>
      <c r="Y319" s="28"/>
      <c r="Z319" s="29" t="s">
        <v>37</v>
      </c>
    </row>
    <row r="320" spans="1:26" ht="30" customHeight="1" thickBot="1" x14ac:dyDescent="0.25">
      <c r="A320" s="17">
        <f t="shared" si="9"/>
        <v>319</v>
      </c>
      <c r="B320" s="18" t="s">
        <v>25</v>
      </c>
      <c r="C320" s="19">
        <v>3520250938147</v>
      </c>
      <c r="D320" s="19">
        <v>1793</v>
      </c>
      <c r="E320" s="20">
        <v>45151</v>
      </c>
      <c r="F320" s="20">
        <v>48804</v>
      </c>
      <c r="G320" s="21">
        <v>38538</v>
      </c>
      <c r="H320" s="22">
        <f t="shared" ca="1" si="8"/>
        <v>20</v>
      </c>
      <c r="I320" s="19" t="s">
        <v>26</v>
      </c>
      <c r="J320" s="18" t="s">
        <v>27</v>
      </c>
      <c r="K320" s="18"/>
      <c r="L320" s="23" t="s">
        <v>1432</v>
      </c>
      <c r="M320" s="23" t="s">
        <v>1433</v>
      </c>
      <c r="N320" s="23" t="s">
        <v>1295</v>
      </c>
      <c r="O320" s="18">
        <v>5</v>
      </c>
      <c r="P320" s="24"/>
      <c r="Q320" s="25">
        <v>45748</v>
      </c>
      <c r="R320" s="13">
        <v>0</v>
      </c>
      <c r="S320" s="26" t="str">
        <f>VLOOKUP(C320,'[1]Bazaar Salary'!$B$6:$J$1193,9,0)</f>
        <v>05150010140080700010</v>
      </c>
      <c r="T320" s="25" t="s">
        <v>32</v>
      </c>
      <c r="U320" s="25" t="s">
        <v>1434</v>
      </c>
      <c r="V320" s="25" t="s">
        <v>884</v>
      </c>
      <c r="W320" s="27" t="s">
        <v>1435</v>
      </c>
      <c r="X320" s="28" t="s">
        <v>1436</v>
      </c>
      <c r="Y320" s="28"/>
      <c r="Z320" s="29" t="s">
        <v>37</v>
      </c>
    </row>
    <row r="321" spans="1:26" ht="30" customHeight="1" thickBot="1" x14ac:dyDescent="0.25">
      <c r="A321" s="17">
        <f t="shared" si="9"/>
        <v>320</v>
      </c>
      <c r="B321" s="18" t="s">
        <v>25</v>
      </c>
      <c r="C321" s="19">
        <v>3520216806483</v>
      </c>
      <c r="D321" s="19">
        <v>1827</v>
      </c>
      <c r="E321" s="20">
        <v>44485</v>
      </c>
      <c r="F321" s="20">
        <v>48137</v>
      </c>
      <c r="G321" s="21">
        <v>32960</v>
      </c>
      <c r="H321" s="22">
        <f t="shared" ca="1" si="8"/>
        <v>36</v>
      </c>
      <c r="I321" s="19" t="s">
        <v>26</v>
      </c>
      <c r="J321" s="18" t="s">
        <v>27</v>
      </c>
      <c r="K321" s="18"/>
      <c r="L321" s="23" t="s">
        <v>799</v>
      </c>
      <c r="M321" s="23" t="s">
        <v>385</v>
      </c>
      <c r="N321" s="23" t="s">
        <v>1295</v>
      </c>
      <c r="O321" s="18">
        <v>5</v>
      </c>
      <c r="P321" s="24"/>
      <c r="Q321" s="25">
        <v>45748</v>
      </c>
      <c r="R321" s="13">
        <v>0</v>
      </c>
      <c r="S321" s="26" t="str">
        <f>VLOOKUP(C321,'[1]Bazaar Salary'!$B$6:$J$1193,9,0)</f>
        <v>13860010141413870017</v>
      </c>
      <c r="T321" s="25" t="s">
        <v>32</v>
      </c>
      <c r="U321" s="25" t="s">
        <v>443</v>
      </c>
      <c r="V321" s="25" t="s">
        <v>884</v>
      </c>
      <c r="W321" s="27" t="s">
        <v>1437</v>
      </c>
      <c r="X321" s="28" t="s">
        <v>1438</v>
      </c>
      <c r="Y321" s="28"/>
      <c r="Z321" s="29" t="s">
        <v>37</v>
      </c>
    </row>
    <row r="322" spans="1:26" ht="30" customHeight="1" thickBot="1" x14ac:dyDescent="0.25">
      <c r="A322" s="17">
        <f t="shared" si="9"/>
        <v>321</v>
      </c>
      <c r="B322" s="18" t="s">
        <v>25</v>
      </c>
      <c r="C322" s="19">
        <v>3520261938775</v>
      </c>
      <c r="D322" s="19">
        <v>1600</v>
      </c>
      <c r="E322" s="20">
        <v>44039</v>
      </c>
      <c r="F322" s="20">
        <v>47691</v>
      </c>
      <c r="G322" s="21">
        <v>35305</v>
      </c>
      <c r="H322" s="22">
        <f t="shared" ref="H322:H385" ca="1" si="10">INT((TODAY()-G322)/365)</f>
        <v>29</v>
      </c>
      <c r="I322" s="19" t="s">
        <v>26</v>
      </c>
      <c r="J322" s="18" t="s">
        <v>27</v>
      </c>
      <c r="K322" s="18"/>
      <c r="L322" s="23" t="s">
        <v>1439</v>
      </c>
      <c r="M322" s="23" t="s">
        <v>695</v>
      </c>
      <c r="N322" s="23" t="s">
        <v>1295</v>
      </c>
      <c r="O322" s="18">
        <v>5</v>
      </c>
      <c r="P322" s="24"/>
      <c r="Q322" s="25">
        <v>45748</v>
      </c>
      <c r="R322" s="13">
        <v>0</v>
      </c>
      <c r="S322" s="26" t="str">
        <f>VLOOKUP(C322,'[1]Bazaar Salary'!$B$6:$J$1193,9,0)</f>
        <v>09650010129996180014</v>
      </c>
      <c r="T322" s="25" t="s">
        <v>32</v>
      </c>
      <c r="U322" s="25" t="s">
        <v>443</v>
      </c>
      <c r="V322" s="25" t="s">
        <v>884</v>
      </c>
      <c r="W322" s="27" t="s">
        <v>1440</v>
      </c>
      <c r="X322" s="28" t="s">
        <v>1441</v>
      </c>
      <c r="Y322" s="28"/>
      <c r="Z322" s="29" t="s">
        <v>37</v>
      </c>
    </row>
    <row r="323" spans="1:26" ht="30" customHeight="1" thickBot="1" x14ac:dyDescent="0.25">
      <c r="A323" s="17">
        <f t="shared" si="9"/>
        <v>322</v>
      </c>
      <c r="B323" s="18" t="s">
        <v>25</v>
      </c>
      <c r="C323" s="19">
        <v>3520258987265</v>
      </c>
      <c r="D323" s="19">
        <v>1604</v>
      </c>
      <c r="E323" s="20">
        <v>45104</v>
      </c>
      <c r="F323" s="20">
        <v>48757</v>
      </c>
      <c r="G323" s="21">
        <v>37056</v>
      </c>
      <c r="H323" s="22">
        <f t="shared" ca="1" si="10"/>
        <v>25</v>
      </c>
      <c r="I323" s="19" t="s">
        <v>26</v>
      </c>
      <c r="J323" s="18" t="s">
        <v>27</v>
      </c>
      <c r="K323" s="18"/>
      <c r="L323" s="23" t="s">
        <v>1442</v>
      </c>
      <c r="M323" s="23" t="s">
        <v>1443</v>
      </c>
      <c r="N323" s="23" t="s">
        <v>1295</v>
      </c>
      <c r="O323" s="18">
        <v>5</v>
      </c>
      <c r="P323" s="24"/>
      <c r="Q323" s="25">
        <v>45748</v>
      </c>
      <c r="R323" s="13">
        <v>0</v>
      </c>
      <c r="S323" s="26" t="str">
        <f>VLOOKUP(C323,'[1]Bazaar Salary'!$B$6:$J$1193,9,0)</f>
        <v>07660010131019000013</v>
      </c>
      <c r="T323" s="25" t="s">
        <v>32</v>
      </c>
      <c r="U323" s="25" t="s">
        <v>254</v>
      </c>
      <c r="V323" s="25" t="s">
        <v>884</v>
      </c>
      <c r="W323" s="27" t="s">
        <v>1444</v>
      </c>
      <c r="X323" s="28" t="s">
        <v>1445</v>
      </c>
      <c r="Y323" s="28"/>
      <c r="Z323" s="29" t="s">
        <v>37</v>
      </c>
    </row>
    <row r="324" spans="1:26" ht="30" customHeight="1" thickBot="1" x14ac:dyDescent="0.25">
      <c r="A324" s="17">
        <f t="shared" ref="A324:A387" si="11">A323+1</f>
        <v>323</v>
      </c>
      <c r="B324" s="18" t="s">
        <v>25</v>
      </c>
      <c r="C324" s="19">
        <v>3510378360555</v>
      </c>
      <c r="D324" s="19">
        <v>1866</v>
      </c>
      <c r="E324" s="20">
        <v>45153</v>
      </c>
      <c r="F324" s="20">
        <v>48806</v>
      </c>
      <c r="G324" s="21">
        <v>37588</v>
      </c>
      <c r="H324" s="22">
        <f t="shared" ca="1" si="10"/>
        <v>23</v>
      </c>
      <c r="I324" s="19" t="s">
        <v>26</v>
      </c>
      <c r="J324" s="18" t="s">
        <v>27</v>
      </c>
      <c r="K324" s="18"/>
      <c r="L324" s="23" t="s">
        <v>1446</v>
      </c>
      <c r="M324" s="23" t="s">
        <v>1447</v>
      </c>
      <c r="N324" s="23" t="s">
        <v>1295</v>
      </c>
      <c r="O324" s="18">
        <v>5</v>
      </c>
      <c r="P324" s="24"/>
      <c r="Q324" s="25">
        <v>45748</v>
      </c>
      <c r="R324" s="13">
        <v>0</v>
      </c>
      <c r="S324" s="26" t="str">
        <f>VLOOKUP(C324,'[1]Bazaar Salary'!$B$6:$J$1193,9,0)</f>
        <v>14680010144202870015</v>
      </c>
      <c r="T324" s="25" t="s">
        <v>32</v>
      </c>
      <c r="U324" s="25" t="s">
        <v>254</v>
      </c>
      <c r="V324" s="25" t="s">
        <v>884</v>
      </c>
      <c r="W324" s="27" t="s">
        <v>1448</v>
      </c>
      <c r="X324" s="28" t="s">
        <v>1449</v>
      </c>
      <c r="Y324" s="28"/>
      <c r="Z324" s="29" t="s">
        <v>37</v>
      </c>
    </row>
    <row r="325" spans="1:26" ht="30" customHeight="1" thickBot="1" x14ac:dyDescent="0.25">
      <c r="A325" s="17">
        <f t="shared" si="11"/>
        <v>324</v>
      </c>
      <c r="B325" s="18" t="s">
        <v>25</v>
      </c>
      <c r="C325" s="19">
        <v>3520403398921</v>
      </c>
      <c r="D325" s="19">
        <v>1772</v>
      </c>
      <c r="E325" s="20">
        <v>44020</v>
      </c>
      <c r="F325" s="20">
        <v>47672</v>
      </c>
      <c r="G325" s="21">
        <v>36414</v>
      </c>
      <c r="H325" s="22">
        <f t="shared" ca="1" si="10"/>
        <v>26</v>
      </c>
      <c r="I325" s="19" t="s">
        <v>26</v>
      </c>
      <c r="J325" s="18" t="s">
        <v>27</v>
      </c>
      <c r="K325" s="18"/>
      <c r="L325" s="23" t="s">
        <v>1450</v>
      </c>
      <c r="M325" s="23" t="s">
        <v>1451</v>
      </c>
      <c r="N325" s="23" t="s">
        <v>1295</v>
      </c>
      <c r="O325" s="18">
        <v>5</v>
      </c>
      <c r="P325" s="24"/>
      <c r="Q325" s="25">
        <v>45748</v>
      </c>
      <c r="R325" s="13">
        <v>0</v>
      </c>
      <c r="S325" s="26" t="str">
        <f>VLOOKUP(C325,'[1]Bazaar Salary'!$B$6:$J$1193,9,0)</f>
        <v>13460010138423400010</v>
      </c>
      <c r="T325" s="25" t="s">
        <v>32</v>
      </c>
      <c r="U325" s="25" t="s">
        <v>919</v>
      </c>
      <c r="V325" s="25" t="s">
        <v>884</v>
      </c>
      <c r="W325" s="27" t="s">
        <v>1452</v>
      </c>
      <c r="X325" s="28" t="s">
        <v>1453</v>
      </c>
      <c r="Y325" s="28"/>
      <c r="Z325" s="29" t="s">
        <v>37</v>
      </c>
    </row>
    <row r="326" spans="1:26" ht="30" customHeight="1" thickBot="1" x14ac:dyDescent="0.25">
      <c r="A326" s="17">
        <f t="shared" si="11"/>
        <v>325</v>
      </c>
      <c r="B326" s="18" t="s">
        <v>25</v>
      </c>
      <c r="C326" s="19">
        <v>3520215841227</v>
      </c>
      <c r="D326" s="19">
        <v>1811</v>
      </c>
      <c r="E326" s="20">
        <v>43879</v>
      </c>
      <c r="F326" s="20">
        <v>47532</v>
      </c>
      <c r="G326" s="21">
        <v>37235</v>
      </c>
      <c r="H326" s="22">
        <f t="shared" ca="1" si="10"/>
        <v>24</v>
      </c>
      <c r="I326" s="19" t="s">
        <v>26</v>
      </c>
      <c r="J326" s="18" t="s">
        <v>27</v>
      </c>
      <c r="K326" s="18"/>
      <c r="L326" s="23" t="s">
        <v>1454</v>
      </c>
      <c r="M326" s="23" t="s">
        <v>1455</v>
      </c>
      <c r="N326" s="23" t="s">
        <v>1295</v>
      </c>
      <c r="O326" s="18">
        <v>5</v>
      </c>
      <c r="P326" s="24"/>
      <c r="Q326" s="25">
        <v>45748</v>
      </c>
      <c r="R326" s="13">
        <v>0</v>
      </c>
      <c r="S326" s="26" t="str">
        <f>VLOOKUP(C326,'[1]Bazaar Salary'!$B$6:$J$1193,9,0)</f>
        <v>10790010141961240015</v>
      </c>
      <c r="T326" s="25" t="s">
        <v>32</v>
      </c>
      <c r="U326" s="25" t="s">
        <v>919</v>
      </c>
      <c r="V326" s="25" t="s">
        <v>884</v>
      </c>
      <c r="W326" s="27" t="s">
        <v>1456</v>
      </c>
      <c r="X326" s="28" t="s">
        <v>1457</v>
      </c>
      <c r="Y326" s="28"/>
      <c r="Z326" s="29" t="s">
        <v>37</v>
      </c>
    </row>
    <row r="327" spans="1:26" ht="30" customHeight="1" thickBot="1" x14ac:dyDescent="0.25">
      <c r="A327" s="17">
        <f t="shared" si="11"/>
        <v>326</v>
      </c>
      <c r="B327" s="18" t="s">
        <v>25</v>
      </c>
      <c r="C327" s="19">
        <v>3840548994275</v>
      </c>
      <c r="D327" s="19"/>
      <c r="E327" s="20">
        <v>43340</v>
      </c>
      <c r="F327" s="20">
        <v>46993</v>
      </c>
      <c r="G327" s="21">
        <v>32519</v>
      </c>
      <c r="H327" s="22">
        <f t="shared" ca="1" si="10"/>
        <v>37</v>
      </c>
      <c r="I327" s="19" t="s">
        <v>26</v>
      </c>
      <c r="J327" s="18" t="s">
        <v>27</v>
      </c>
      <c r="K327" s="18"/>
      <c r="L327" s="23" t="s">
        <v>1458</v>
      </c>
      <c r="M327" s="23" t="s">
        <v>1105</v>
      </c>
      <c r="N327" s="23" t="s">
        <v>1295</v>
      </c>
      <c r="O327" s="18">
        <v>5</v>
      </c>
      <c r="P327" s="24"/>
      <c r="Q327" s="25">
        <v>45748</v>
      </c>
      <c r="R327" s="13">
        <v>0</v>
      </c>
      <c r="S327" s="26" t="str">
        <f>VLOOKUP(C327,'[1]Bazaar Salary'!$B$6:$J$1193,9,0)</f>
        <v>02880010045964380015</v>
      </c>
      <c r="T327" s="25" t="s">
        <v>32</v>
      </c>
      <c r="U327" s="25" t="s">
        <v>512</v>
      </c>
      <c r="V327" s="25" t="s">
        <v>884</v>
      </c>
      <c r="W327" s="27" t="s">
        <v>1459</v>
      </c>
      <c r="X327" s="28" t="s">
        <v>1460</v>
      </c>
      <c r="Y327" s="28"/>
      <c r="Z327" s="29" t="s">
        <v>37</v>
      </c>
    </row>
    <row r="328" spans="1:26" ht="30" customHeight="1" thickBot="1" x14ac:dyDescent="0.25">
      <c r="A328" s="17">
        <f t="shared" si="11"/>
        <v>327</v>
      </c>
      <c r="B328" s="18" t="s">
        <v>25</v>
      </c>
      <c r="C328" s="19">
        <v>3520221697647</v>
      </c>
      <c r="D328" s="19">
        <v>1807</v>
      </c>
      <c r="E328" s="20">
        <v>43264</v>
      </c>
      <c r="F328" s="20">
        <v>46917</v>
      </c>
      <c r="G328" s="21">
        <v>28374</v>
      </c>
      <c r="H328" s="22">
        <f t="shared" ca="1" si="10"/>
        <v>48</v>
      </c>
      <c r="I328" s="19" t="s">
        <v>26</v>
      </c>
      <c r="J328" s="18" t="s">
        <v>27</v>
      </c>
      <c r="K328" s="18"/>
      <c r="L328" s="23" t="s">
        <v>1461</v>
      </c>
      <c r="M328" s="23" t="s">
        <v>68</v>
      </c>
      <c r="N328" s="23" t="s">
        <v>1462</v>
      </c>
      <c r="O328" s="18">
        <v>4</v>
      </c>
      <c r="P328" s="24" t="s">
        <v>102</v>
      </c>
      <c r="Q328" s="25">
        <v>45748</v>
      </c>
      <c r="R328" s="13">
        <v>0</v>
      </c>
      <c r="S328" s="26" t="str">
        <f>VLOOKUP(C328,'[1]Bazaar Salary'!$B$6:$J$1193,9,0)</f>
        <v>07040010078436170012</v>
      </c>
      <c r="T328" s="25" t="s">
        <v>32</v>
      </c>
      <c r="U328" s="25" t="s">
        <v>33</v>
      </c>
      <c r="V328" s="25" t="s">
        <v>1093</v>
      </c>
      <c r="W328" s="27" t="s">
        <v>1463</v>
      </c>
      <c r="X328" s="28" t="s">
        <v>1464</v>
      </c>
      <c r="Y328" s="28"/>
      <c r="Z328" s="29" t="s">
        <v>37</v>
      </c>
    </row>
    <row r="329" spans="1:26" ht="30" customHeight="1" thickBot="1" x14ac:dyDescent="0.25">
      <c r="A329" s="17">
        <f t="shared" si="11"/>
        <v>328</v>
      </c>
      <c r="B329" s="18" t="s">
        <v>25</v>
      </c>
      <c r="C329" s="19">
        <v>3230360067747</v>
      </c>
      <c r="D329" s="19">
        <v>1852</v>
      </c>
      <c r="E329" s="20">
        <v>45621</v>
      </c>
      <c r="F329" s="20">
        <v>49273</v>
      </c>
      <c r="G329" s="21">
        <v>29221</v>
      </c>
      <c r="H329" s="22">
        <f t="shared" ca="1" si="10"/>
        <v>46</v>
      </c>
      <c r="I329" s="19" t="s">
        <v>26</v>
      </c>
      <c r="J329" s="18" t="s">
        <v>27</v>
      </c>
      <c r="K329" s="18"/>
      <c r="L329" s="23" t="s">
        <v>1465</v>
      </c>
      <c r="M329" s="23" t="s">
        <v>1466</v>
      </c>
      <c r="N329" s="23" t="s">
        <v>1462</v>
      </c>
      <c r="O329" s="18">
        <v>4</v>
      </c>
      <c r="P329" s="24" t="s">
        <v>102</v>
      </c>
      <c r="Q329" s="25">
        <v>45748</v>
      </c>
      <c r="R329" s="13">
        <v>0</v>
      </c>
      <c r="S329" s="26" t="str">
        <f>VLOOKUP(C329,'[1]Head Office '!$B$7:$I$98,8,0)</f>
        <v>02880010111539470013</v>
      </c>
      <c r="T329" s="25" t="s">
        <v>32</v>
      </c>
      <c r="U329" s="25" t="s">
        <v>33</v>
      </c>
      <c r="V329" s="25" t="s">
        <v>884</v>
      </c>
      <c r="W329" s="27" t="s">
        <v>1467</v>
      </c>
      <c r="X329" s="28" t="s">
        <v>1468</v>
      </c>
      <c r="Y329" s="28"/>
      <c r="Z329" s="29" t="s">
        <v>37</v>
      </c>
    </row>
    <row r="330" spans="1:26" ht="30" customHeight="1" thickBot="1" x14ac:dyDescent="0.25">
      <c r="A330" s="17">
        <f t="shared" si="11"/>
        <v>329</v>
      </c>
      <c r="B330" s="18" t="s">
        <v>25</v>
      </c>
      <c r="C330" s="19">
        <v>3520218808873</v>
      </c>
      <c r="D330" s="19">
        <v>1690</v>
      </c>
      <c r="E330" s="20">
        <v>44717</v>
      </c>
      <c r="F330" s="20">
        <v>48370</v>
      </c>
      <c r="G330" s="21">
        <v>38009</v>
      </c>
      <c r="H330" s="22">
        <f t="shared" ca="1" si="10"/>
        <v>22</v>
      </c>
      <c r="I330" s="19" t="s">
        <v>26</v>
      </c>
      <c r="J330" s="18" t="s">
        <v>27</v>
      </c>
      <c r="K330" s="18"/>
      <c r="L330" s="23" t="s">
        <v>1469</v>
      </c>
      <c r="M330" s="23" t="s">
        <v>1470</v>
      </c>
      <c r="N330" s="23" t="s">
        <v>1471</v>
      </c>
      <c r="O330" s="18">
        <v>4</v>
      </c>
      <c r="P330" s="24" t="s">
        <v>102</v>
      </c>
      <c r="Q330" s="25">
        <v>45748</v>
      </c>
      <c r="R330" s="13">
        <v>0</v>
      </c>
      <c r="S330" s="26" t="str">
        <f>VLOOKUP(C330,'[1]Bazaar Salary'!$B$6:$J$1193,9,0)</f>
        <v>02880010136193870015</v>
      </c>
      <c r="T330" s="25" t="s">
        <v>32</v>
      </c>
      <c r="U330" s="25" t="s">
        <v>33</v>
      </c>
      <c r="V330" s="25" t="s">
        <v>1093</v>
      </c>
      <c r="W330" s="27" t="s">
        <v>1472</v>
      </c>
      <c r="X330" s="28" t="s">
        <v>1473</v>
      </c>
      <c r="Y330" s="28"/>
      <c r="Z330" s="29" t="s">
        <v>37</v>
      </c>
    </row>
    <row r="331" spans="1:26" ht="30" customHeight="1" thickBot="1" x14ac:dyDescent="0.25">
      <c r="A331" s="17">
        <f t="shared" si="11"/>
        <v>330</v>
      </c>
      <c r="B331" s="18" t="s">
        <v>25</v>
      </c>
      <c r="C331" s="19">
        <v>3520204538835</v>
      </c>
      <c r="D331" s="19">
        <v>420</v>
      </c>
      <c r="E331" s="20">
        <v>45086</v>
      </c>
      <c r="F331" s="20">
        <v>48739</v>
      </c>
      <c r="G331" s="21">
        <v>34630</v>
      </c>
      <c r="H331" s="22">
        <f t="shared" ca="1" si="10"/>
        <v>31</v>
      </c>
      <c r="I331" s="19" t="s">
        <v>26</v>
      </c>
      <c r="J331" s="18" t="s">
        <v>27</v>
      </c>
      <c r="K331" s="18"/>
      <c r="L331" s="23" t="s">
        <v>1474</v>
      </c>
      <c r="M331" s="23" t="s">
        <v>1475</v>
      </c>
      <c r="N331" s="23" t="s">
        <v>1471</v>
      </c>
      <c r="O331" s="18">
        <v>4</v>
      </c>
      <c r="P331" s="24" t="s">
        <v>102</v>
      </c>
      <c r="Q331" s="25">
        <v>41997</v>
      </c>
      <c r="R331" s="13">
        <v>0</v>
      </c>
      <c r="S331" s="26" t="str">
        <f>VLOOKUP(C331,'[1]Bazaar Salary'!$B$6:$J$1193,9,0)</f>
        <v>02190010045951580019</v>
      </c>
      <c r="T331" s="25" t="s">
        <v>32</v>
      </c>
      <c r="U331" s="25" t="s">
        <v>33</v>
      </c>
      <c r="V331" s="25" t="s">
        <v>1476</v>
      </c>
      <c r="W331" s="27" t="s">
        <v>1477</v>
      </c>
      <c r="X331" s="28" t="s">
        <v>1478</v>
      </c>
      <c r="Y331" s="28"/>
      <c r="Z331" s="29" t="s">
        <v>37</v>
      </c>
    </row>
    <row r="332" spans="1:26" ht="30" customHeight="1" thickBot="1" x14ac:dyDescent="0.25">
      <c r="A332" s="17">
        <f t="shared" si="11"/>
        <v>331</v>
      </c>
      <c r="B332" s="18" t="s">
        <v>25</v>
      </c>
      <c r="C332" s="19">
        <v>3520232257671</v>
      </c>
      <c r="D332" s="19">
        <v>78</v>
      </c>
      <c r="E332" s="20">
        <v>44179</v>
      </c>
      <c r="F332" s="20">
        <v>47831</v>
      </c>
      <c r="G332" s="21">
        <v>35147</v>
      </c>
      <c r="H332" s="22">
        <f t="shared" ca="1" si="10"/>
        <v>30</v>
      </c>
      <c r="I332" s="19" t="s">
        <v>26</v>
      </c>
      <c r="J332" s="18" t="s">
        <v>27</v>
      </c>
      <c r="K332" s="18"/>
      <c r="L332" s="23" t="s">
        <v>1479</v>
      </c>
      <c r="M332" s="23" t="s">
        <v>1480</v>
      </c>
      <c r="N332" s="23" t="s">
        <v>1471</v>
      </c>
      <c r="O332" s="18">
        <v>4</v>
      </c>
      <c r="P332" s="24" t="s">
        <v>102</v>
      </c>
      <c r="Q332" s="25">
        <v>42546</v>
      </c>
      <c r="R332" s="13">
        <v>0</v>
      </c>
      <c r="S332" s="26" t="str">
        <f>VLOOKUP(C332,'[1]Head Office '!$B$7:$I$98,8,0)</f>
        <v>02880010045638990014</v>
      </c>
      <c r="T332" s="25" t="s">
        <v>32</v>
      </c>
      <c r="U332" s="25" t="s">
        <v>33</v>
      </c>
      <c r="V332" s="25" t="s">
        <v>1356</v>
      </c>
      <c r="W332" s="27" t="s">
        <v>1481</v>
      </c>
      <c r="X332" s="28" t="s">
        <v>1482</v>
      </c>
      <c r="Y332" s="28"/>
      <c r="Z332" s="29" t="s">
        <v>37</v>
      </c>
    </row>
    <row r="333" spans="1:26" ht="30" customHeight="1" thickBot="1" x14ac:dyDescent="0.25">
      <c r="A333" s="17">
        <f t="shared" si="11"/>
        <v>332</v>
      </c>
      <c r="B333" s="18" t="s">
        <v>25</v>
      </c>
      <c r="C333" s="19">
        <v>3520244228179</v>
      </c>
      <c r="D333" s="19">
        <v>76</v>
      </c>
      <c r="E333" s="20">
        <v>44497</v>
      </c>
      <c r="F333" s="20">
        <v>48149</v>
      </c>
      <c r="G333" s="21">
        <v>34745</v>
      </c>
      <c r="H333" s="22">
        <f t="shared" ca="1" si="10"/>
        <v>31</v>
      </c>
      <c r="I333" s="19" t="s">
        <v>26</v>
      </c>
      <c r="J333" s="18" t="s">
        <v>27</v>
      </c>
      <c r="K333" s="18"/>
      <c r="L333" s="23" t="s">
        <v>1483</v>
      </c>
      <c r="M333" s="23" t="s">
        <v>269</v>
      </c>
      <c r="N333" s="23" t="s">
        <v>1471</v>
      </c>
      <c r="O333" s="18">
        <v>4</v>
      </c>
      <c r="P333" s="24" t="s">
        <v>102</v>
      </c>
      <c r="Q333" s="25">
        <v>42767</v>
      </c>
      <c r="R333" s="13">
        <v>0</v>
      </c>
      <c r="S333" s="26" t="str">
        <f>VLOOKUP(C333,'[1]Bazaar Salary'!$B$6:$J$1193,9,0)</f>
        <v>02880010045639960011</v>
      </c>
      <c r="T333" s="25" t="s">
        <v>32</v>
      </c>
      <c r="U333" s="25" t="s">
        <v>33</v>
      </c>
      <c r="V333" s="25" t="s">
        <v>1356</v>
      </c>
      <c r="W333" s="27" t="s">
        <v>1484</v>
      </c>
      <c r="X333" s="28" t="s">
        <v>1485</v>
      </c>
      <c r="Y333" s="28"/>
      <c r="Z333" s="29" t="s">
        <v>37</v>
      </c>
    </row>
    <row r="334" spans="1:26" ht="30" customHeight="1" thickBot="1" x14ac:dyDescent="0.25">
      <c r="A334" s="17">
        <f t="shared" si="11"/>
        <v>333</v>
      </c>
      <c r="B334" s="18" t="s">
        <v>25</v>
      </c>
      <c r="C334" s="19">
        <v>3840320856555</v>
      </c>
      <c r="D334" s="19">
        <v>519</v>
      </c>
      <c r="E334" s="20">
        <v>44743</v>
      </c>
      <c r="F334" s="20">
        <v>48396</v>
      </c>
      <c r="G334" s="21">
        <v>27211</v>
      </c>
      <c r="H334" s="22">
        <f t="shared" ca="1" si="10"/>
        <v>51</v>
      </c>
      <c r="I334" s="18" t="s">
        <v>912</v>
      </c>
      <c r="J334" s="18" t="s">
        <v>27</v>
      </c>
      <c r="K334" s="18"/>
      <c r="L334" s="23" t="s">
        <v>1486</v>
      </c>
      <c r="M334" s="23" t="s">
        <v>1487</v>
      </c>
      <c r="N334" s="23" t="s">
        <v>1488</v>
      </c>
      <c r="O334" s="18">
        <v>4</v>
      </c>
      <c r="P334" s="24" t="s">
        <v>102</v>
      </c>
      <c r="Q334" s="25">
        <v>42616</v>
      </c>
      <c r="R334" s="13">
        <v>0</v>
      </c>
      <c r="S334" s="26" t="str">
        <f>VLOOKUP(C334,'[1]Head Office '!$B$7:$I$98,8,0)</f>
        <v>05400010045862680014</v>
      </c>
      <c r="T334" s="25" t="s">
        <v>32</v>
      </c>
      <c r="U334" s="25" t="s">
        <v>33</v>
      </c>
      <c r="V334" s="25" t="s">
        <v>1093</v>
      </c>
      <c r="W334" s="27" t="s">
        <v>1489</v>
      </c>
      <c r="X334" s="28" t="s">
        <v>1490</v>
      </c>
      <c r="Y334" s="28"/>
      <c r="Z334" s="29" t="s">
        <v>37</v>
      </c>
    </row>
    <row r="335" spans="1:26" ht="30" customHeight="1" thickBot="1" x14ac:dyDescent="0.25">
      <c r="A335" s="17">
        <f t="shared" si="11"/>
        <v>334</v>
      </c>
      <c r="B335" s="18" t="s">
        <v>25</v>
      </c>
      <c r="C335" s="19">
        <v>3520206219787</v>
      </c>
      <c r="D335" s="19">
        <v>520</v>
      </c>
      <c r="E335" s="20">
        <v>42898</v>
      </c>
      <c r="F335" s="20">
        <v>46550</v>
      </c>
      <c r="G335" s="21">
        <v>34428</v>
      </c>
      <c r="H335" s="22">
        <f t="shared" ca="1" si="10"/>
        <v>32</v>
      </c>
      <c r="I335" s="18" t="s">
        <v>912</v>
      </c>
      <c r="J335" s="18" t="s">
        <v>27</v>
      </c>
      <c r="K335" s="18"/>
      <c r="L335" s="23" t="s">
        <v>1491</v>
      </c>
      <c r="M335" s="23" t="s">
        <v>1492</v>
      </c>
      <c r="N335" s="23" t="s">
        <v>1488</v>
      </c>
      <c r="O335" s="18">
        <v>4</v>
      </c>
      <c r="P335" s="24" t="s">
        <v>102</v>
      </c>
      <c r="Q335" s="25">
        <v>42616</v>
      </c>
      <c r="R335" s="13">
        <v>0</v>
      </c>
      <c r="S335" s="26" t="str">
        <f>VLOOKUP(C335,'[1]Bazaar Salary'!$B$6:$J$1193,9,0)</f>
        <v>06880010045872030010</v>
      </c>
      <c r="T335" s="25" t="s">
        <v>32</v>
      </c>
      <c r="U335" s="25" t="s">
        <v>33</v>
      </c>
      <c r="V335" s="25" t="s">
        <v>1476</v>
      </c>
      <c r="W335" s="27" t="s">
        <v>1493</v>
      </c>
      <c r="X335" s="28" t="s">
        <v>1494</v>
      </c>
      <c r="Y335" s="28"/>
      <c r="Z335" s="29" t="s">
        <v>37</v>
      </c>
    </row>
    <row r="336" spans="1:26" ht="30" customHeight="1" thickBot="1" x14ac:dyDescent="0.25">
      <c r="A336" s="17">
        <f t="shared" si="11"/>
        <v>335</v>
      </c>
      <c r="B336" s="18" t="s">
        <v>25</v>
      </c>
      <c r="C336" s="19">
        <v>3520125429195</v>
      </c>
      <c r="D336" s="19">
        <v>507</v>
      </c>
      <c r="E336" s="20">
        <v>44453</v>
      </c>
      <c r="F336" s="20">
        <v>48105</v>
      </c>
      <c r="G336" s="21">
        <v>32478</v>
      </c>
      <c r="H336" s="22">
        <f t="shared" ca="1" si="10"/>
        <v>37</v>
      </c>
      <c r="I336" s="18" t="s">
        <v>912</v>
      </c>
      <c r="J336" s="18" t="s">
        <v>27</v>
      </c>
      <c r="K336" s="18"/>
      <c r="L336" s="23" t="s">
        <v>1495</v>
      </c>
      <c r="M336" s="23" t="s">
        <v>1496</v>
      </c>
      <c r="N336" s="23" t="s">
        <v>1488</v>
      </c>
      <c r="O336" s="18">
        <v>4</v>
      </c>
      <c r="P336" s="24" t="s">
        <v>102</v>
      </c>
      <c r="Q336" s="25">
        <v>42861</v>
      </c>
      <c r="R336" s="13">
        <v>0</v>
      </c>
      <c r="S336" s="26" t="str">
        <f>VLOOKUP(C336,'[1]Bazaar Salary'!$B$6:$J$1193,9,0)</f>
        <v>01530010045889640016</v>
      </c>
      <c r="T336" s="25" t="s">
        <v>32</v>
      </c>
      <c r="U336" s="25" t="s">
        <v>33</v>
      </c>
      <c r="V336" s="25" t="s">
        <v>1356</v>
      </c>
      <c r="W336" s="27" t="s">
        <v>1497</v>
      </c>
      <c r="X336" s="28" t="s">
        <v>1498</v>
      </c>
      <c r="Y336" s="28"/>
      <c r="Z336" s="29" t="s">
        <v>37</v>
      </c>
    </row>
    <row r="337" spans="1:26" ht="30" customHeight="1" thickBot="1" x14ac:dyDescent="0.25">
      <c r="A337" s="17">
        <f t="shared" si="11"/>
        <v>336</v>
      </c>
      <c r="B337" s="18" t="s">
        <v>25</v>
      </c>
      <c r="C337" s="19">
        <v>3330222165689</v>
      </c>
      <c r="D337" s="19">
        <v>80</v>
      </c>
      <c r="E337" s="20">
        <v>43788</v>
      </c>
      <c r="F337" s="20">
        <v>47441</v>
      </c>
      <c r="G337" s="21">
        <v>28013</v>
      </c>
      <c r="H337" s="22">
        <f t="shared" ca="1" si="10"/>
        <v>49</v>
      </c>
      <c r="I337" s="19" t="s">
        <v>26</v>
      </c>
      <c r="J337" s="18" t="s">
        <v>27</v>
      </c>
      <c r="K337" s="18"/>
      <c r="L337" s="23" t="s">
        <v>307</v>
      </c>
      <c r="M337" s="23" t="s">
        <v>1236</v>
      </c>
      <c r="N337" s="23" t="s">
        <v>1499</v>
      </c>
      <c r="O337" s="18">
        <v>4</v>
      </c>
      <c r="P337" s="24" t="s">
        <v>102</v>
      </c>
      <c r="Q337" s="25">
        <v>42921</v>
      </c>
      <c r="R337" s="13">
        <v>0</v>
      </c>
      <c r="S337" s="26" t="str">
        <f>VLOOKUP(C337,'[1]Head Office '!$B$7:$I$98,8,0)</f>
        <v>02880010002763450013</v>
      </c>
      <c r="T337" s="25" t="s">
        <v>32</v>
      </c>
      <c r="U337" s="25" t="s">
        <v>33</v>
      </c>
      <c r="V337" s="25" t="s">
        <v>1356</v>
      </c>
      <c r="W337" s="27" t="s">
        <v>1500</v>
      </c>
      <c r="X337" s="28" t="s">
        <v>1501</v>
      </c>
      <c r="Y337" s="28"/>
      <c r="Z337" s="29" t="s">
        <v>37</v>
      </c>
    </row>
    <row r="338" spans="1:26" ht="30" customHeight="1" thickBot="1" x14ac:dyDescent="0.25">
      <c r="A338" s="17">
        <f t="shared" si="11"/>
        <v>337</v>
      </c>
      <c r="B338" s="18" t="s">
        <v>25</v>
      </c>
      <c r="C338" s="19">
        <v>3520240640619</v>
      </c>
      <c r="D338" s="19">
        <v>1513</v>
      </c>
      <c r="E338" s="20">
        <v>43732</v>
      </c>
      <c r="F338" s="20">
        <v>47385</v>
      </c>
      <c r="G338" s="21">
        <v>36201</v>
      </c>
      <c r="H338" s="22">
        <f t="shared" ca="1" si="10"/>
        <v>27</v>
      </c>
      <c r="I338" s="19" t="s">
        <v>26</v>
      </c>
      <c r="J338" s="18" t="s">
        <v>27</v>
      </c>
      <c r="K338" s="18"/>
      <c r="L338" s="23" t="s">
        <v>1502</v>
      </c>
      <c r="M338" s="23" t="s">
        <v>1503</v>
      </c>
      <c r="N338" s="23" t="s">
        <v>1499</v>
      </c>
      <c r="O338" s="18">
        <v>3</v>
      </c>
      <c r="P338" s="24" t="s">
        <v>102</v>
      </c>
      <c r="Q338" s="25">
        <v>45748</v>
      </c>
      <c r="R338" s="13">
        <v>0</v>
      </c>
      <c r="S338" s="26" t="str">
        <f>VLOOKUP(C338,'[1]Bazaar Salary'!$B$6:$J$1193,9,0)</f>
        <v>10010010083988360016</v>
      </c>
      <c r="T338" s="25" t="s">
        <v>32</v>
      </c>
      <c r="U338" s="25" t="s">
        <v>33</v>
      </c>
      <c r="V338" s="25" t="s">
        <v>1356</v>
      </c>
      <c r="W338" s="27" t="s">
        <v>1504</v>
      </c>
      <c r="X338" s="28" t="s">
        <v>1505</v>
      </c>
      <c r="Y338" s="28"/>
      <c r="Z338" s="29" t="s">
        <v>37</v>
      </c>
    </row>
    <row r="339" spans="1:26" ht="30" customHeight="1" thickBot="1" x14ac:dyDescent="0.25">
      <c r="A339" s="17">
        <f t="shared" si="11"/>
        <v>338</v>
      </c>
      <c r="B339" s="18" t="s">
        <v>25</v>
      </c>
      <c r="C339" s="19">
        <v>3520284664225</v>
      </c>
      <c r="D339" s="19">
        <v>1534</v>
      </c>
      <c r="E339" s="20">
        <v>45103</v>
      </c>
      <c r="F339" s="20">
        <v>48756</v>
      </c>
      <c r="G339" s="21">
        <v>34960</v>
      </c>
      <c r="H339" s="22">
        <f t="shared" ca="1" si="10"/>
        <v>30</v>
      </c>
      <c r="I339" s="19" t="s">
        <v>26</v>
      </c>
      <c r="J339" s="18" t="s">
        <v>27</v>
      </c>
      <c r="K339" s="18"/>
      <c r="L339" s="23" t="s">
        <v>413</v>
      </c>
      <c r="M339" s="23" t="s">
        <v>1506</v>
      </c>
      <c r="N339" s="23" t="s">
        <v>1499</v>
      </c>
      <c r="O339" s="18">
        <v>1</v>
      </c>
      <c r="P339" s="24"/>
      <c r="Q339" s="25">
        <v>45748</v>
      </c>
      <c r="R339" s="13">
        <v>0</v>
      </c>
      <c r="S339" s="26" t="str">
        <f>VLOOKUP(C339,'[1]Bazaar Salary'!$B$6:$J$1193,9,0)</f>
        <v>01260010117254870010</v>
      </c>
      <c r="T339" s="25" t="s">
        <v>32</v>
      </c>
      <c r="U339" s="25" t="s">
        <v>458</v>
      </c>
      <c r="V339" s="25" t="s">
        <v>1093</v>
      </c>
      <c r="W339" s="27" t="s">
        <v>1507</v>
      </c>
      <c r="X339" s="28" t="s">
        <v>1508</v>
      </c>
      <c r="Y339" s="28"/>
      <c r="Z339" s="29" t="s">
        <v>37</v>
      </c>
    </row>
    <row r="340" spans="1:26" ht="30" customHeight="1" thickBot="1" x14ac:dyDescent="0.25">
      <c r="A340" s="17">
        <f t="shared" si="11"/>
        <v>339</v>
      </c>
      <c r="B340" s="18" t="s">
        <v>25</v>
      </c>
      <c r="C340" s="19">
        <v>3520206336699</v>
      </c>
      <c r="D340" s="19">
        <v>1194</v>
      </c>
      <c r="E340" s="20">
        <v>44871</v>
      </c>
      <c r="F340" s="20">
        <v>48524</v>
      </c>
      <c r="G340" s="21">
        <v>31327</v>
      </c>
      <c r="H340" s="22">
        <f t="shared" ca="1" si="10"/>
        <v>40</v>
      </c>
      <c r="I340" s="19" t="s">
        <v>26</v>
      </c>
      <c r="J340" s="18" t="s">
        <v>27</v>
      </c>
      <c r="K340" s="18"/>
      <c r="L340" s="23" t="s">
        <v>1509</v>
      </c>
      <c r="M340" s="23" t="s">
        <v>614</v>
      </c>
      <c r="N340" s="23" t="s">
        <v>1499</v>
      </c>
      <c r="O340" s="18">
        <v>1</v>
      </c>
      <c r="P340" s="24"/>
      <c r="Q340" s="25">
        <v>45748</v>
      </c>
      <c r="R340" s="13">
        <v>0</v>
      </c>
      <c r="S340" s="26" t="str">
        <f>VLOOKUP(C340,'[1]Bazaar Salary'!$B$6:$J$1193,9,0)</f>
        <v>09410010073278230012</v>
      </c>
      <c r="T340" s="25" t="s">
        <v>32</v>
      </c>
      <c r="U340" s="25" t="s">
        <v>458</v>
      </c>
      <c r="V340" s="25" t="s">
        <v>1356</v>
      </c>
      <c r="W340" s="27" t="s">
        <v>1510</v>
      </c>
      <c r="X340" s="28" t="s">
        <v>1511</v>
      </c>
      <c r="Y340" s="28"/>
      <c r="Z340" s="29" t="s">
        <v>37</v>
      </c>
    </row>
    <row r="341" spans="1:26" ht="30" customHeight="1" thickBot="1" x14ac:dyDescent="0.25">
      <c r="A341" s="17">
        <f t="shared" si="11"/>
        <v>340</v>
      </c>
      <c r="B341" s="18" t="s">
        <v>25</v>
      </c>
      <c r="C341" s="19">
        <v>3510398390669</v>
      </c>
      <c r="D341" s="19">
        <v>446</v>
      </c>
      <c r="E341" s="20">
        <v>43389</v>
      </c>
      <c r="F341" s="20">
        <v>47042</v>
      </c>
      <c r="G341" s="21">
        <v>32143</v>
      </c>
      <c r="H341" s="22">
        <f t="shared" ca="1" si="10"/>
        <v>38</v>
      </c>
      <c r="I341" s="19" t="s">
        <v>26</v>
      </c>
      <c r="J341" s="18" t="s">
        <v>27</v>
      </c>
      <c r="K341" s="18"/>
      <c r="L341" s="23" t="s">
        <v>199</v>
      </c>
      <c r="M341" s="23" t="s">
        <v>1512</v>
      </c>
      <c r="N341" s="23" t="s">
        <v>1499</v>
      </c>
      <c r="O341" s="18">
        <v>1</v>
      </c>
      <c r="P341" s="24"/>
      <c r="Q341" s="25">
        <v>43089</v>
      </c>
      <c r="R341" s="13">
        <v>0</v>
      </c>
      <c r="S341" s="26" t="str">
        <f>VLOOKUP(C341,'[1]Bazaar Salary'!$B$6:$J$1193,9,0)</f>
        <v>05390010049360480014</v>
      </c>
      <c r="T341" s="25" t="s">
        <v>32</v>
      </c>
      <c r="U341" s="25" t="s">
        <v>458</v>
      </c>
      <c r="V341" s="25" t="s">
        <v>1356</v>
      </c>
      <c r="W341" s="27" t="s">
        <v>1513</v>
      </c>
      <c r="X341" s="28" t="s">
        <v>1514</v>
      </c>
      <c r="Y341" s="28"/>
      <c r="Z341" s="29" t="s">
        <v>37</v>
      </c>
    </row>
    <row r="342" spans="1:26" ht="30" customHeight="1" thickBot="1" x14ac:dyDescent="0.25">
      <c r="A342" s="17">
        <f t="shared" si="11"/>
        <v>341</v>
      </c>
      <c r="B342" s="18" t="s">
        <v>25</v>
      </c>
      <c r="C342" s="19">
        <v>3520261582627</v>
      </c>
      <c r="D342" s="19">
        <v>325</v>
      </c>
      <c r="E342" s="20">
        <v>44480</v>
      </c>
      <c r="F342" s="20">
        <v>48132</v>
      </c>
      <c r="G342" s="21">
        <v>30373</v>
      </c>
      <c r="H342" s="22">
        <f t="shared" ca="1" si="10"/>
        <v>43</v>
      </c>
      <c r="I342" s="19" t="s">
        <v>26</v>
      </c>
      <c r="J342" s="18" t="s">
        <v>27</v>
      </c>
      <c r="K342" s="18"/>
      <c r="L342" s="23" t="s">
        <v>711</v>
      </c>
      <c r="M342" s="23" t="s">
        <v>1515</v>
      </c>
      <c r="N342" s="23" t="s">
        <v>1499</v>
      </c>
      <c r="O342" s="18">
        <v>1</v>
      </c>
      <c r="P342" s="24"/>
      <c r="Q342" s="25">
        <v>41978</v>
      </c>
      <c r="R342" s="13">
        <v>0</v>
      </c>
      <c r="S342" s="26" t="str">
        <f>VLOOKUP(C342,'[1]Bazaar Salary'!$B$6:$J$1193,9,0)</f>
        <v>09410010045977160013</v>
      </c>
      <c r="T342" s="25" t="s">
        <v>32</v>
      </c>
      <c r="U342" s="25" t="s">
        <v>458</v>
      </c>
      <c r="V342" s="25" t="s">
        <v>1356</v>
      </c>
      <c r="W342" s="27" t="s">
        <v>1516</v>
      </c>
      <c r="X342" s="28" t="s">
        <v>1517</v>
      </c>
      <c r="Y342" s="28"/>
      <c r="Z342" s="29" t="s">
        <v>37</v>
      </c>
    </row>
    <row r="343" spans="1:26" ht="30" customHeight="1" thickBot="1" x14ac:dyDescent="0.25">
      <c r="A343" s="17">
        <f t="shared" si="11"/>
        <v>342</v>
      </c>
      <c r="B343" s="18" t="s">
        <v>25</v>
      </c>
      <c r="C343" s="19">
        <v>3520119793999</v>
      </c>
      <c r="D343" s="19">
        <v>1853</v>
      </c>
      <c r="E343" s="20">
        <v>45296</v>
      </c>
      <c r="F343" s="20">
        <v>48949</v>
      </c>
      <c r="G343" s="21">
        <v>30606</v>
      </c>
      <c r="H343" s="22">
        <f t="shared" ca="1" si="10"/>
        <v>42</v>
      </c>
      <c r="I343" s="19" t="s">
        <v>26</v>
      </c>
      <c r="J343" s="18" t="s">
        <v>27</v>
      </c>
      <c r="K343" s="18"/>
      <c r="L343" s="23" t="s">
        <v>1518</v>
      </c>
      <c r="M343" s="23" t="s">
        <v>1519</v>
      </c>
      <c r="N343" s="23" t="s">
        <v>1499</v>
      </c>
      <c r="O343" s="18">
        <v>1</v>
      </c>
      <c r="P343" s="24"/>
      <c r="Q343" s="25">
        <v>45748</v>
      </c>
      <c r="R343" s="13">
        <v>0</v>
      </c>
      <c r="S343" s="26" t="str">
        <f>VLOOKUP(C343,'[1]Bazaar Salary'!$B$6:$J$1193,9,0)</f>
        <v>02200010111689660027</v>
      </c>
      <c r="T343" s="25" t="s">
        <v>32</v>
      </c>
      <c r="U343" s="25" t="s">
        <v>458</v>
      </c>
      <c r="V343" s="25"/>
      <c r="W343" s="27" t="s">
        <v>1520</v>
      </c>
      <c r="X343" s="28" t="s">
        <v>1521</v>
      </c>
      <c r="Y343" s="28"/>
      <c r="Z343" s="29" t="s">
        <v>37</v>
      </c>
    </row>
    <row r="344" spans="1:26" ht="30" customHeight="1" thickBot="1" x14ac:dyDescent="0.25">
      <c r="A344" s="17">
        <f t="shared" si="11"/>
        <v>343</v>
      </c>
      <c r="B344" s="18" t="s">
        <v>25</v>
      </c>
      <c r="C344" s="19">
        <v>3510298406679</v>
      </c>
      <c r="D344" s="19">
        <v>442</v>
      </c>
      <c r="E344" s="20">
        <v>43612</v>
      </c>
      <c r="F344" s="20">
        <v>47265</v>
      </c>
      <c r="G344" s="21">
        <v>28307</v>
      </c>
      <c r="H344" s="22">
        <f t="shared" ca="1" si="10"/>
        <v>48</v>
      </c>
      <c r="I344" s="19" t="s">
        <v>26</v>
      </c>
      <c r="J344" s="18" t="s">
        <v>27</v>
      </c>
      <c r="K344" s="18"/>
      <c r="L344" s="23" t="s">
        <v>1522</v>
      </c>
      <c r="M344" s="23" t="s">
        <v>1523</v>
      </c>
      <c r="N344" s="23" t="s">
        <v>1499</v>
      </c>
      <c r="O344" s="18">
        <v>1</v>
      </c>
      <c r="P344" s="24"/>
      <c r="Q344" s="25">
        <v>42121</v>
      </c>
      <c r="R344" s="13">
        <v>0</v>
      </c>
      <c r="S344" s="26" t="str">
        <f>VLOOKUP(C344,'[1]Bazaar Salary'!$B$6:$J$1193,9,0)</f>
        <v>05390010045739470017</v>
      </c>
      <c r="T344" s="25" t="s">
        <v>32</v>
      </c>
      <c r="U344" s="25" t="s">
        <v>458</v>
      </c>
      <c r="V344" s="25" t="s">
        <v>1356</v>
      </c>
      <c r="W344" s="27" t="s">
        <v>1524</v>
      </c>
      <c r="X344" s="28" t="s">
        <v>1525</v>
      </c>
      <c r="Y344" s="28"/>
      <c r="Z344" s="29" t="s">
        <v>37</v>
      </c>
    </row>
    <row r="345" spans="1:26" ht="30" customHeight="1" thickBot="1" x14ac:dyDescent="0.25">
      <c r="A345" s="17">
        <f t="shared" si="11"/>
        <v>344</v>
      </c>
      <c r="B345" s="18" t="s">
        <v>25</v>
      </c>
      <c r="C345" s="19">
        <v>3520252080177</v>
      </c>
      <c r="D345" s="19">
        <v>345</v>
      </c>
      <c r="E345" s="20">
        <v>44391</v>
      </c>
      <c r="F345" s="20">
        <v>48043</v>
      </c>
      <c r="G345" s="21">
        <v>35096</v>
      </c>
      <c r="H345" s="22">
        <f t="shared" ca="1" si="10"/>
        <v>30</v>
      </c>
      <c r="I345" s="19" t="s">
        <v>26</v>
      </c>
      <c r="J345" s="18" t="s">
        <v>27</v>
      </c>
      <c r="K345" s="18"/>
      <c r="L345" s="23" t="s">
        <v>385</v>
      </c>
      <c r="M345" s="23" t="s">
        <v>1526</v>
      </c>
      <c r="N345" s="23" t="s">
        <v>1499</v>
      </c>
      <c r="O345" s="18">
        <v>1</v>
      </c>
      <c r="P345" s="24"/>
      <c r="Q345" s="25">
        <v>42614</v>
      </c>
      <c r="R345" s="13">
        <v>0</v>
      </c>
      <c r="S345" s="26" t="str">
        <f>VLOOKUP(C345,'[1]Bazaar Salary'!$B$6:$J$1193,9,0)</f>
        <v>02880010045882580018</v>
      </c>
      <c r="T345" s="25" t="s">
        <v>32</v>
      </c>
      <c r="U345" s="25" t="s">
        <v>458</v>
      </c>
      <c r="V345" s="25" t="s">
        <v>1356</v>
      </c>
      <c r="W345" s="27" t="s">
        <v>1527</v>
      </c>
      <c r="X345" s="28" t="s">
        <v>1528</v>
      </c>
      <c r="Y345" s="28"/>
      <c r="Z345" s="29" t="s">
        <v>37</v>
      </c>
    </row>
    <row r="346" spans="1:26" ht="30" customHeight="1" thickBot="1" x14ac:dyDescent="0.25">
      <c r="A346" s="17">
        <f t="shared" si="11"/>
        <v>345</v>
      </c>
      <c r="B346" s="18" t="s">
        <v>25</v>
      </c>
      <c r="C346" s="19">
        <v>3510328732451</v>
      </c>
      <c r="D346" s="19">
        <v>346</v>
      </c>
      <c r="E346" s="20">
        <v>42936</v>
      </c>
      <c r="F346" s="20">
        <v>46588</v>
      </c>
      <c r="G346" s="21">
        <v>35342</v>
      </c>
      <c r="H346" s="22">
        <f t="shared" ca="1" si="10"/>
        <v>29</v>
      </c>
      <c r="I346" s="19" t="s">
        <v>26</v>
      </c>
      <c r="J346" s="18" t="s">
        <v>27</v>
      </c>
      <c r="K346" s="18"/>
      <c r="L346" s="23" t="s">
        <v>1529</v>
      </c>
      <c r="M346" s="23" t="s">
        <v>1530</v>
      </c>
      <c r="N346" s="23" t="s">
        <v>1499</v>
      </c>
      <c r="O346" s="18">
        <v>1</v>
      </c>
      <c r="P346" s="24"/>
      <c r="Q346" s="25">
        <v>43090</v>
      </c>
      <c r="R346" s="13">
        <v>0</v>
      </c>
      <c r="S346" s="26" t="str">
        <f>VLOOKUP(C346,'[1]Bazaar Salary'!$B$6:$J$1193,9,0)</f>
        <v>07890010049240500018</v>
      </c>
      <c r="T346" s="25" t="s">
        <v>32</v>
      </c>
      <c r="U346" s="25" t="s">
        <v>458</v>
      </c>
      <c r="V346" s="25" t="s">
        <v>884</v>
      </c>
      <c r="W346" s="27" t="s">
        <v>1531</v>
      </c>
      <c r="X346" s="28" t="s">
        <v>1532</v>
      </c>
      <c r="Y346" s="28"/>
      <c r="Z346" s="29" t="s">
        <v>37</v>
      </c>
    </row>
    <row r="347" spans="1:26" ht="30" customHeight="1" thickBot="1" x14ac:dyDescent="0.25">
      <c r="A347" s="17">
        <f t="shared" si="11"/>
        <v>346</v>
      </c>
      <c r="B347" s="18" t="s">
        <v>25</v>
      </c>
      <c r="C347" s="19">
        <v>3520250350453</v>
      </c>
      <c r="D347" s="19">
        <v>350</v>
      </c>
      <c r="E347" s="20">
        <v>42619</v>
      </c>
      <c r="F347" s="20">
        <v>46271</v>
      </c>
      <c r="G347" s="21">
        <v>34500</v>
      </c>
      <c r="H347" s="22">
        <f t="shared" ca="1" si="10"/>
        <v>32</v>
      </c>
      <c r="I347" s="19" t="s">
        <v>26</v>
      </c>
      <c r="J347" s="18" t="s">
        <v>27</v>
      </c>
      <c r="K347" s="18"/>
      <c r="L347" s="23" t="s">
        <v>1533</v>
      </c>
      <c r="M347" s="23" t="s">
        <v>1534</v>
      </c>
      <c r="N347" s="23" t="s">
        <v>1499</v>
      </c>
      <c r="O347" s="18">
        <v>1</v>
      </c>
      <c r="P347" s="24"/>
      <c r="Q347" s="25">
        <v>42347</v>
      </c>
      <c r="R347" s="13">
        <v>0</v>
      </c>
      <c r="S347" s="26" t="str">
        <f>VLOOKUP(C347,'[1]Bazaar Salary'!$B$6:$J$1193,9,0)</f>
        <v>07040010046387290015</v>
      </c>
      <c r="T347" s="25" t="s">
        <v>32</v>
      </c>
      <c r="U347" s="25" t="s">
        <v>458</v>
      </c>
      <c r="V347" s="25" t="s">
        <v>1535</v>
      </c>
      <c r="W347" s="27" t="s">
        <v>1536</v>
      </c>
      <c r="X347" s="28" t="s">
        <v>1537</v>
      </c>
      <c r="Y347" s="28"/>
      <c r="Z347" s="29" t="s">
        <v>37</v>
      </c>
    </row>
    <row r="348" spans="1:26" ht="30" customHeight="1" thickBot="1" x14ac:dyDescent="0.25">
      <c r="A348" s="17">
        <f t="shared" si="11"/>
        <v>347</v>
      </c>
      <c r="B348" s="18" t="s">
        <v>25</v>
      </c>
      <c r="C348" s="19">
        <v>3520201446967</v>
      </c>
      <c r="D348" s="19">
        <v>1745</v>
      </c>
      <c r="E348" s="20">
        <v>43737</v>
      </c>
      <c r="F348" s="20">
        <v>47390</v>
      </c>
      <c r="G348" s="21">
        <v>29453</v>
      </c>
      <c r="H348" s="22">
        <f t="shared" ca="1" si="10"/>
        <v>45</v>
      </c>
      <c r="I348" s="19" t="s">
        <v>26</v>
      </c>
      <c r="J348" s="18" t="s">
        <v>27</v>
      </c>
      <c r="K348" s="18"/>
      <c r="L348" s="23" t="s">
        <v>1538</v>
      </c>
      <c r="M348" s="23" t="s">
        <v>1539</v>
      </c>
      <c r="N348" s="23" t="s">
        <v>1499</v>
      </c>
      <c r="O348" s="18">
        <v>1</v>
      </c>
      <c r="P348" s="24"/>
      <c r="Q348" s="25">
        <v>45748</v>
      </c>
      <c r="R348" s="13">
        <v>0</v>
      </c>
      <c r="S348" s="26" t="str">
        <f>VLOOKUP(C348,'[1]Bazaar Salary'!$B$6:$J$1193,9,0)</f>
        <v>03910010138849200019</v>
      </c>
      <c r="T348" s="25" t="s">
        <v>32</v>
      </c>
      <c r="U348" s="25" t="s">
        <v>991</v>
      </c>
      <c r="V348" s="25" t="s">
        <v>1093</v>
      </c>
      <c r="W348" s="27" t="s">
        <v>1540</v>
      </c>
      <c r="X348" s="28" t="s">
        <v>1541</v>
      </c>
      <c r="Y348" s="28"/>
      <c r="Z348" s="29" t="s">
        <v>37</v>
      </c>
    </row>
    <row r="349" spans="1:26" ht="30" customHeight="1" thickBot="1" x14ac:dyDescent="0.25">
      <c r="A349" s="17">
        <f t="shared" si="11"/>
        <v>348</v>
      </c>
      <c r="B349" s="18" t="s">
        <v>25</v>
      </c>
      <c r="C349" s="19">
        <v>3520208158915</v>
      </c>
      <c r="D349" s="19">
        <v>1856</v>
      </c>
      <c r="E349" s="20">
        <v>42184</v>
      </c>
      <c r="F349" s="20">
        <v>45837</v>
      </c>
      <c r="G349" s="21">
        <v>35416</v>
      </c>
      <c r="H349" s="22">
        <f t="shared" ca="1" si="10"/>
        <v>29</v>
      </c>
      <c r="I349" s="19" t="s">
        <v>26</v>
      </c>
      <c r="J349" s="18" t="s">
        <v>27</v>
      </c>
      <c r="K349" s="18"/>
      <c r="L349" s="23" t="s">
        <v>1542</v>
      </c>
      <c r="M349" s="23" t="s">
        <v>259</v>
      </c>
      <c r="N349" s="23" t="s">
        <v>1499</v>
      </c>
      <c r="O349" s="18">
        <v>1</v>
      </c>
      <c r="P349" s="24"/>
      <c r="Q349" s="25">
        <v>45748</v>
      </c>
      <c r="R349" s="13">
        <v>0</v>
      </c>
      <c r="S349" s="26" t="str">
        <f>VLOOKUP(C349,'[1]Bazaar Salary'!$B$6:$J$1193,9,0)</f>
        <v>10790010144206190012</v>
      </c>
      <c r="T349" s="25" t="s">
        <v>32</v>
      </c>
      <c r="U349" s="25" t="s">
        <v>991</v>
      </c>
      <c r="V349" s="25"/>
      <c r="W349" s="27" t="s">
        <v>1543</v>
      </c>
      <c r="X349" s="28" t="s">
        <v>1544</v>
      </c>
      <c r="Y349" s="28"/>
      <c r="Z349" s="29" t="s">
        <v>37</v>
      </c>
    </row>
    <row r="350" spans="1:26" ht="30" customHeight="1" thickBot="1" x14ac:dyDescent="0.25">
      <c r="A350" s="17">
        <f t="shared" si="11"/>
        <v>349</v>
      </c>
      <c r="B350" s="18" t="s">
        <v>25</v>
      </c>
      <c r="C350" s="19">
        <v>3520218824973</v>
      </c>
      <c r="D350" s="19">
        <v>1843</v>
      </c>
      <c r="E350" s="20">
        <v>44567</v>
      </c>
      <c r="F350" s="20">
        <v>48219</v>
      </c>
      <c r="G350" s="21">
        <v>35696</v>
      </c>
      <c r="H350" s="22">
        <f t="shared" ca="1" si="10"/>
        <v>28</v>
      </c>
      <c r="I350" s="19" t="s">
        <v>26</v>
      </c>
      <c r="J350" s="18" t="s">
        <v>27</v>
      </c>
      <c r="K350" s="18"/>
      <c r="L350" s="23" t="s">
        <v>1545</v>
      </c>
      <c r="M350" s="23" t="s">
        <v>1546</v>
      </c>
      <c r="N350" s="23" t="s">
        <v>1499</v>
      </c>
      <c r="O350" s="18">
        <v>1</v>
      </c>
      <c r="P350" s="24"/>
      <c r="Q350" s="25">
        <v>45748</v>
      </c>
      <c r="R350" s="13">
        <v>0</v>
      </c>
      <c r="S350" s="26" t="str">
        <f>VLOOKUP(C350,'[1]Bazaar Salary'!$B$6:$J$1193,9,0)</f>
        <v>06850010142902950012</v>
      </c>
      <c r="T350" s="25" t="s">
        <v>32</v>
      </c>
      <c r="U350" s="25" t="s">
        <v>534</v>
      </c>
      <c r="V350" s="25" t="s">
        <v>1093</v>
      </c>
      <c r="W350" s="27" t="s">
        <v>1547</v>
      </c>
      <c r="X350" s="28" t="s">
        <v>1548</v>
      </c>
      <c r="Y350" s="28"/>
      <c r="Z350" s="29" t="s">
        <v>37</v>
      </c>
    </row>
    <row r="351" spans="1:26" ht="30" customHeight="1" thickBot="1" x14ac:dyDescent="0.25">
      <c r="A351" s="17">
        <f t="shared" si="11"/>
        <v>350</v>
      </c>
      <c r="B351" s="18" t="s">
        <v>25</v>
      </c>
      <c r="C351" s="19">
        <v>3120224038005</v>
      </c>
      <c r="D351" s="19">
        <v>1416</v>
      </c>
      <c r="E351" s="20">
        <v>45559</v>
      </c>
      <c r="F351" s="20">
        <v>49211</v>
      </c>
      <c r="G351" s="21">
        <v>26846</v>
      </c>
      <c r="H351" s="22">
        <f t="shared" ca="1" si="10"/>
        <v>52</v>
      </c>
      <c r="I351" s="19" t="s">
        <v>26</v>
      </c>
      <c r="J351" s="18" t="s">
        <v>27</v>
      </c>
      <c r="K351" s="18"/>
      <c r="L351" s="30" t="s">
        <v>1549</v>
      </c>
      <c r="M351" s="30" t="s">
        <v>1550</v>
      </c>
      <c r="N351" s="23" t="s">
        <v>1551</v>
      </c>
      <c r="O351" s="18">
        <v>1</v>
      </c>
      <c r="P351" s="24"/>
      <c r="Q351" s="25">
        <v>45748</v>
      </c>
      <c r="R351" s="13">
        <v>0</v>
      </c>
      <c r="S351" s="26" t="str">
        <f>VLOOKUP(C351,'[1]Bazaar Salary'!$B$6:$J$1193,9,0)</f>
        <v>09630010045793020012</v>
      </c>
      <c r="T351" s="25" t="s">
        <v>32</v>
      </c>
      <c r="U351" s="25" t="s">
        <v>539</v>
      </c>
      <c r="V351" s="25" t="s">
        <v>1093</v>
      </c>
      <c r="W351" s="27" t="s">
        <v>1552</v>
      </c>
      <c r="X351" s="28" t="s">
        <v>1553</v>
      </c>
      <c r="Y351" s="28"/>
      <c r="Z351" s="29" t="s">
        <v>37</v>
      </c>
    </row>
    <row r="352" spans="1:26" ht="30" customHeight="1" thickBot="1" x14ac:dyDescent="0.25">
      <c r="A352" s="17">
        <f t="shared" si="11"/>
        <v>351</v>
      </c>
      <c r="B352" s="18" t="s">
        <v>25</v>
      </c>
      <c r="C352" s="19">
        <v>3120291612821</v>
      </c>
      <c r="D352" s="19">
        <v>1307</v>
      </c>
      <c r="E352" s="20">
        <v>44908</v>
      </c>
      <c r="F352" s="20">
        <v>48561</v>
      </c>
      <c r="G352" s="21">
        <v>33604</v>
      </c>
      <c r="H352" s="22">
        <f t="shared" ca="1" si="10"/>
        <v>34</v>
      </c>
      <c r="I352" s="19" t="s">
        <v>26</v>
      </c>
      <c r="J352" s="18" t="s">
        <v>27</v>
      </c>
      <c r="K352" s="18"/>
      <c r="L352" s="23" t="s">
        <v>1554</v>
      </c>
      <c r="M352" s="23" t="s">
        <v>181</v>
      </c>
      <c r="N352" s="23" t="s">
        <v>1551</v>
      </c>
      <c r="O352" s="18">
        <v>1</v>
      </c>
      <c r="P352" s="24"/>
      <c r="Q352" s="25">
        <v>45748</v>
      </c>
      <c r="R352" s="13">
        <v>0</v>
      </c>
      <c r="S352" s="26" t="str">
        <f>VLOOKUP(C352,'[1]Bazaar Salary'!$B$6:$J$1193,9,0)</f>
        <v>09630010080803470019</v>
      </c>
      <c r="T352" s="25" t="s">
        <v>32</v>
      </c>
      <c r="U352" s="25" t="s">
        <v>539</v>
      </c>
      <c r="V352" s="25" t="s">
        <v>1535</v>
      </c>
      <c r="W352" s="27" t="s">
        <v>1555</v>
      </c>
      <c r="X352" s="28" t="s">
        <v>1556</v>
      </c>
      <c r="Y352" s="28"/>
      <c r="Z352" s="29" t="s">
        <v>37</v>
      </c>
    </row>
    <row r="353" spans="1:26" ht="30" customHeight="1" thickBot="1" x14ac:dyDescent="0.25">
      <c r="A353" s="17">
        <f t="shared" si="11"/>
        <v>352</v>
      </c>
      <c r="B353" s="18" t="s">
        <v>25</v>
      </c>
      <c r="C353" s="19">
        <v>3120292820155</v>
      </c>
      <c r="D353" s="19">
        <v>584</v>
      </c>
      <c r="E353" s="20">
        <v>42562</v>
      </c>
      <c r="F353" s="20">
        <v>46214</v>
      </c>
      <c r="G353" s="21">
        <v>31158</v>
      </c>
      <c r="H353" s="22">
        <f t="shared" ca="1" si="10"/>
        <v>41</v>
      </c>
      <c r="I353" s="18" t="s">
        <v>912</v>
      </c>
      <c r="J353" s="18" t="s">
        <v>27</v>
      </c>
      <c r="K353" s="18"/>
      <c r="L353" s="23" t="s">
        <v>1557</v>
      </c>
      <c r="M353" s="23" t="s">
        <v>1558</v>
      </c>
      <c r="N353" s="23" t="s">
        <v>1488</v>
      </c>
      <c r="O353" s="18">
        <v>1</v>
      </c>
      <c r="P353" s="24"/>
      <c r="Q353" s="25">
        <v>41437</v>
      </c>
      <c r="R353" s="13">
        <v>0</v>
      </c>
      <c r="S353" s="26" t="str">
        <f>VLOOKUP(C353,'[1]Bazaar Salary'!$B$6:$J$1193,9,0)</f>
        <v>09630010045713270018</v>
      </c>
      <c r="T353" s="25" t="s">
        <v>32</v>
      </c>
      <c r="U353" s="25" t="s">
        <v>539</v>
      </c>
      <c r="V353" s="25" t="s">
        <v>1356</v>
      </c>
      <c r="W353" s="27" t="s">
        <v>1559</v>
      </c>
      <c r="X353" s="28" t="s">
        <v>1560</v>
      </c>
      <c r="Y353" s="28"/>
      <c r="Z353" s="29" t="s">
        <v>37</v>
      </c>
    </row>
    <row r="354" spans="1:26" ht="30" customHeight="1" thickBot="1" x14ac:dyDescent="0.25">
      <c r="A354" s="17">
        <f t="shared" si="11"/>
        <v>353</v>
      </c>
      <c r="B354" s="18" t="s">
        <v>25</v>
      </c>
      <c r="C354" s="19">
        <v>3120274958425</v>
      </c>
      <c r="D354" s="19">
        <v>586</v>
      </c>
      <c r="E354" s="20">
        <v>43691</v>
      </c>
      <c r="F354" s="20">
        <v>47344</v>
      </c>
      <c r="G354" s="21">
        <v>32509</v>
      </c>
      <c r="H354" s="22">
        <f t="shared" ca="1" si="10"/>
        <v>37</v>
      </c>
      <c r="I354" s="19" t="s">
        <v>26</v>
      </c>
      <c r="J354" s="18" t="s">
        <v>27</v>
      </c>
      <c r="K354" s="18"/>
      <c r="L354" s="23" t="s">
        <v>1561</v>
      </c>
      <c r="M354" s="23" t="s">
        <v>1562</v>
      </c>
      <c r="N354" s="23" t="s">
        <v>1488</v>
      </c>
      <c r="O354" s="18">
        <v>1</v>
      </c>
      <c r="P354" s="24"/>
      <c r="Q354" s="25">
        <v>41437</v>
      </c>
      <c r="R354" s="13">
        <v>0</v>
      </c>
      <c r="S354" s="26" t="str">
        <f>VLOOKUP(C354,'[1]Bazaar Salary'!$B$6:$J$1193,9,0)</f>
        <v>09630010045716770015</v>
      </c>
      <c r="T354" s="25" t="s">
        <v>32</v>
      </c>
      <c r="U354" s="25" t="s">
        <v>539</v>
      </c>
      <c r="V354" s="25" t="s">
        <v>1356</v>
      </c>
      <c r="W354" s="27" t="s">
        <v>1563</v>
      </c>
      <c r="X354" s="28" t="s">
        <v>1564</v>
      </c>
      <c r="Y354" s="28"/>
      <c r="Z354" s="29" t="s">
        <v>37</v>
      </c>
    </row>
    <row r="355" spans="1:26" ht="30" customHeight="1" thickBot="1" x14ac:dyDescent="0.25">
      <c r="A355" s="17">
        <f t="shared" si="11"/>
        <v>354</v>
      </c>
      <c r="B355" s="18" t="s">
        <v>25</v>
      </c>
      <c r="C355" s="19">
        <v>3120215421223</v>
      </c>
      <c r="D355" s="19">
        <v>585</v>
      </c>
      <c r="E355" s="20">
        <v>44090</v>
      </c>
      <c r="F355" s="20">
        <v>47742</v>
      </c>
      <c r="G355" s="21">
        <v>34468</v>
      </c>
      <c r="H355" s="22">
        <f t="shared" ca="1" si="10"/>
        <v>32</v>
      </c>
      <c r="I355" s="18" t="s">
        <v>912</v>
      </c>
      <c r="J355" s="18" t="s">
        <v>27</v>
      </c>
      <c r="K355" s="18"/>
      <c r="L355" s="23" t="s">
        <v>1565</v>
      </c>
      <c r="M355" s="23" t="s">
        <v>1566</v>
      </c>
      <c r="N355" s="23" t="s">
        <v>1488</v>
      </c>
      <c r="O355" s="18">
        <v>1</v>
      </c>
      <c r="P355" s="24"/>
      <c r="Q355" s="25">
        <v>42339</v>
      </c>
      <c r="R355" s="13">
        <v>0</v>
      </c>
      <c r="S355" s="26" t="str">
        <f>VLOOKUP(C355,'[1]Bazaar Salary'!$B$6:$J$1193,9,0)</f>
        <v>09630010045723200012</v>
      </c>
      <c r="T355" s="25" t="s">
        <v>32</v>
      </c>
      <c r="U355" s="25" t="s">
        <v>539</v>
      </c>
      <c r="V355" s="25" t="s">
        <v>1535</v>
      </c>
      <c r="W355" s="27" t="s">
        <v>1567</v>
      </c>
      <c r="X355" s="28" t="s">
        <v>1568</v>
      </c>
      <c r="Y355" s="28"/>
      <c r="Z355" s="29" t="s">
        <v>37</v>
      </c>
    </row>
    <row r="356" spans="1:26" ht="30" customHeight="1" thickBot="1" x14ac:dyDescent="0.25">
      <c r="A356" s="17">
        <f t="shared" si="11"/>
        <v>355</v>
      </c>
      <c r="B356" s="18" t="s">
        <v>25</v>
      </c>
      <c r="C356" s="19">
        <v>3610465368801</v>
      </c>
      <c r="D356" s="19">
        <v>1288</v>
      </c>
      <c r="E356" s="20">
        <v>43629</v>
      </c>
      <c r="F356" s="20">
        <v>47282</v>
      </c>
      <c r="G356" s="21">
        <v>32109</v>
      </c>
      <c r="H356" s="22">
        <f t="shared" ca="1" si="10"/>
        <v>38</v>
      </c>
      <c r="I356" s="18" t="s">
        <v>912</v>
      </c>
      <c r="J356" s="18" t="s">
        <v>27</v>
      </c>
      <c r="K356" s="18"/>
      <c r="L356" s="23" t="s">
        <v>1569</v>
      </c>
      <c r="M356" s="23" t="s">
        <v>1570</v>
      </c>
      <c r="N356" s="23" t="s">
        <v>1488</v>
      </c>
      <c r="O356" s="18">
        <v>1</v>
      </c>
      <c r="P356" s="24"/>
      <c r="Q356" s="25">
        <v>45748</v>
      </c>
      <c r="R356" s="13">
        <v>0</v>
      </c>
      <c r="S356" s="26" t="str">
        <f>VLOOKUP(C356,'[1]Bazaar Salary'!$B$6:$J$1193,9,0)</f>
        <v>09630010080009170018</v>
      </c>
      <c r="T356" s="25" t="s">
        <v>32</v>
      </c>
      <c r="U356" s="25" t="s">
        <v>539</v>
      </c>
      <c r="V356" s="25" t="s">
        <v>1093</v>
      </c>
      <c r="W356" s="27" t="s">
        <v>1571</v>
      </c>
      <c r="X356" s="28" t="s">
        <v>1572</v>
      </c>
      <c r="Y356" s="28"/>
      <c r="Z356" s="29" t="s">
        <v>37</v>
      </c>
    </row>
    <row r="357" spans="1:26" ht="30" customHeight="1" thickBot="1" x14ac:dyDescent="0.25">
      <c r="A357" s="17">
        <f t="shared" si="11"/>
        <v>356</v>
      </c>
      <c r="B357" s="18" t="s">
        <v>25</v>
      </c>
      <c r="C357" s="19">
        <v>3620357398975</v>
      </c>
      <c r="D357" s="19">
        <v>1146</v>
      </c>
      <c r="E357" s="20">
        <v>43201</v>
      </c>
      <c r="F357" s="20">
        <v>46854</v>
      </c>
      <c r="G357" s="21">
        <v>36161</v>
      </c>
      <c r="H357" s="22">
        <f t="shared" ca="1" si="10"/>
        <v>27</v>
      </c>
      <c r="I357" s="19" t="s">
        <v>26</v>
      </c>
      <c r="J357" s="18" t="s">
        <v>27</v>
      </c>
      <c r="K357" s="18"/>
      <c r="L357" s="23" t="s">
        <v>1573</v>
      </c>
      <c r="M357" s="23" t="s">
        <v>1574</v>
      </c>
      <c r="N357" s="23" t="s">
        <v>1499</v>
      </c>
      <c r="O357" s="18">
        <v>1</v>
      </c>
      <c r="P357" s="24"/>
      <c r="Q357" s="25">
        <v>43678</v>
      </c>
      <c r="R357" s="13">
        <v>0</v>
      </c>
      <c r="S357" s="26" t="str">
        <f>VLOOKUP(C357,'[1]Bazaar Salary'!$B$6:$J$1193,9,0)</f>
        <v>08390010051923360010</v>
      </c>
      <c r="T357" s="25" t="s">
        <v>32</v>
      </c>
      <c r="U357" s="25" t="s">
        <v>539</v>
      </c>
      <c r="V357" s="25" t="s">
        <v>1093</v>
      </c>
      <c r="W357" s="27" t="s">
        <v>1575</v>
      </c>
      <c r="X357" s="28" t="s">
        <v>1576</v>
      </c>
      <c r="Y357" s="28"/>
      <c r="Z357" s="29" t="s">
        <v>37</v>
      </c>
    </row>
    <row r="358" spans="1:26" ht="30" customHeight="1" thickBot="1" x14ac:dyDescent="0.25">
      <c r="A358" s="17">
        <f t="shared" si="11"/>
        <v>357</v>
      </c>
      <c r="B358" s="18" t="s">
        <v>25</v>
      </c>
      <c r="C358" s="19">
        <v>3120150581673</v>
      </c>
      <c r="D358" s="19">
        <v>1442</v>
      </c>
      <c r="E358" s="20">
        <v>44711</v>
      </c>
      <c r="F358" s="20">
        <v>48364</v>
      </c>
      <c r="G358" s="21">
        <v>31024</v>
      </c>
      <c r="H358" s="22">
        <f t="shared" ca="1" si="10"/>
        <v>41</v>
      </c>
      <c r="I358" s="19" t="s">
        <v>26</v>
      </c>
      <c r="J358" s="18" t="s">
        <v>27</v>
      </c>
      <c r="K358" s="18"/>
      <c r="L358" s="23" t="s">
        <v>1577</v>
      </c>
      <c r="M358" s="23" t="s">
        <v>842</v>
      </c>
      <c r="N358" s="23" t="s">
        <v>1499</v>
      </c>
      <c r="O358" s="18">
        <v>1</v>
      </c>
      <c r="P358" s="24"/>
      <c r="Q358" s="25">
        <v>45748</v>
      </c>
      <c r="R358" s="13">
        <v>0</v>
      </c>
      <c r="S358" s="26" t="str">
        <f>VLOOKUP(C358,'[1]Bazaar Salary'!$B$6:$J$1193,9,0)</f>
        <v>04840010100817260014</v>
      </c>
      <c r="T358" s="25" t="s">
        <v>32</v>
      </c>
      <c r="U358" s="25" t="s">
        <v>539</v>
      </c>
      <c r="V358" s="25" t="s">
        <v>1093</v>
      </c>
      <c r="W358" s="27" t="s">
        <v>1578</v>
      </c>
      <c r="X358" s="28" t="s">
        <v>1579</v>
      </c>
      <c r="Y358" s="28"/>
      <c r="Z358" s="29" t="s">
        <v>37</v>
      </c>
    </row>
    <row r="359" spans="1:26" ht="30" customHeight="1" thickBot="1" x14ac:dyDescent="0.25">
      <c r="A359" s="17">
        <f t="shared" si="11"/>
        <v>358</v>
      </c>
      <c r="B359" s="18" t="s">
        <v>25</v>
      </c>
      <c r="C359" s="19">
        <v>3120262402555</v>
      </c>
      <c r="D359" s="19">
        <v>1289</v>
      </c>
      <c r="E359" s="20">
        <v>44365</v>
      </c>
      <c r="F359" s="20">
        <v>48017</v>
      </c>
      <c r="G359" s="21">
        <v>33239</v>
      </c>
      <c r="H359" s="22">
        <f t="shared" ca="1" si="10"/>
        <v>35</v>
      </c>
      <c r="I359" s="18" t="s">
        <v>912</v>
      </c>
      <c r="J359" s="18" t="s">
        <v>27</v>
      </c>
      <c r="K359" s="18"/>
      <c r="L359" s="23" t="s">
        <v>1580</v>
      </c>
      <c r="M359" s="23" t="s">
        <v>1558</v>
      </c>
      <c r="N359" s="23" t="s">
        <v>1499</v>
      </c>
      <c r="O359" s="18">
        <v>1</v>
      </c>
      <c r="P359" s="24"/>
      <c r="Q359" s="25">
        <v>45748</v>
      </c>
      <c r="R359" s="13">
        <v>0</v>
      </c>
      <c r="S359" s="26" t="str">
        <f>VLOOKUP(C359,'[1]Bazaar Salary'!$B$6:$J$1193,9,0)</f>
        <v>09630010081185170019</v>
      </c>
      <c r="T359" s="25" t="s">
        <v>32</v>
      </c>
      <c r="U359" s="25" t="s">
        <v>539</v>
      </c>
      <c r="V359" s="25" t="s">
        <v>1093</v>
      </c>
      <c r="W359" s="27" t="s">
        <v>1581</v>
      </c>
      <c r="X359" s="28" t="s">
        <v>1582</v>
      </c>
      <c r="Y359" s="28"/>
      <c r="Z359" s="29" t="s">
        <v>37</v>
      </c>
    </row>
    <row r="360" spans="1:26" ht="30" customHeight="1" thickBot="1" x14ac:dyDescent="0.25">
      <c r="A360" s="17">
        <f t="shared" si="11"/>
        <v>359</v>
      </c>
      <c r="B360" s="18" t="s">
        <v>25</v>
      </c>
      <c r="C360" s="19">
        <v>3120277075377</v>
      </c>
      <c r="D360" s="19">
        <v>804</v>
      </c>
      <c r="E360" s="20">
        <v>44592</v>
      </c>
      <c r="F360" s="20">
        <v>48244</v>
      </c>
      <c r="G360" s="21">
        <v>35011</v>
      </c>
      <c r="H360" s="22">
        <f t="shared" ca="1" si="10"/>
        <v>30</v>
      </c>
      <c r="I360" s="19" t="s">
        <v>26</v>
      </c>
      <c r="J360" s="18" t="s">
        <v>27</v>
      </c>
      <c r="K360" s="18"/>
      <c r="L360" s="23" t="s">
        <v>1583</v>
      </c>
      <c r="M360" s="23" t="s">
        <v>1584</v>
      </c>
      <c r="N360" s="23" t="s">
        <v>1499</v>
      </c>
      <c r="O360" s="18">
        <v>1</v>
      </c>
      <c r="P360" s="24"/>
      <c r="Q360" s="25">
        <v>43145</v>
      </c>
      <c r="R360" s="13">
        <v>0</v>
      </c>
      <c r="S360" s="26" t="str">
        <f>VLOOKUP(C360,'[1]Bazaar Salary'!$B$6:$J$1193,9,0)</f>
        <v>09630010050284210012</v>
      </c>
      <c r="T360" s="25" t="s">
        <v>32</v>
      </c>
      <c r="U360" s="25" t="s">
        <v>539</v>
      </c>
      <c r="V360" s="25" t="s">
        <v>1356</v>
      </c>
      <c r="W360" s="27" t="s">
        <v>1585</v>
      </c>
      <c r="X360" s="28" t="s">
        <v>1586</v>
      </c>
      <c r="Y360" s="28"/>
      <c r="Z360" s="29" t="s">
        <v>37</v>
      </c>
    </row>
    <row r="361" spans="1:26" ht="30" customHeight="1" thickBot="1" x14ac:dyDescent="0.25">
      <c r="A361" s="17">
        <f t="shared" si="11"/>
        <v>360</v>
      </c>
      <c r="B361" s="18" t="s">
        <v>25</v>
      </c>
      <c r="C361" s="19">
        <v>3620311124531</v>
      </c>
      <c r="D361" s="19">
        <v>1682</v>
      </c>
      <c r="E361" s="21">
        <v>45085</v>
      </c>
      <c r="F361" s="21">
        <v>48738</v>
      </c>
      <c r="G361" s="21">
        <v>38473</v>
      </c>
      <c r="H361" s="22">
        <f t="shared" ca="1" si="10"/>
        <v>21</v>
      </c>
      <c r="I361" s="18" t="s">
        <v>26</v>
      </c>
      <c r="J361" s="18" t="s">
        <v>27</v>
      </c>
      <c r="K361" s="23"/>
      <c r="L361" s="24" t="s">
        <v>1587</v>
      </c>
      <c r="M361" s="33" t="s">
        <v>1588</v>
      </c>
      <c r="N361" s="23" t="s">
        <v>1499</v>
      </c>
      <c r="O361" s="18">
        <v>1</v>
      </c>
      <c r="P361" s="24"/>
      <c r="Q361" s="25">
        <v>45748</v>
      </c>
      <c r="R361" s="13">
        <v>0</v>
      </c>
      <c r="S361" s="26" t="str">
        <f>VLOOKUP(C361,'[1]Bazaar Salary'!$B$6:$J$1193,9,0)</f>
        <v>09630010136088520016</v>
      </c>
      <c r="T361" s="25" t="s">
        <v>32</v>
      </c>
      <c r="U361" s="25" t="s">
        <v>539</v>
      </c>
      <c r="V361" s="25" t="s">
        <v>1093</v>
      </c>
      <c r="W361" s="33" t="s">
        <v>1589</v>
      </c>
      <c r="X361" s="28" t="s">
        <v>1590</v>
      </c>
      <c r="Y361" s="28"/>
      <c r="Z361" s="29" t="s">
        <v>37</v>
      </c>
    </row>
    <row r="362" spans="1:26" ht="30" customHeight="1" thickBot="1" x14ac:dyDescent="0.25">
      <c r="A362" s="17">
        <f t="shared" si="11"/>
        <v>361</v>
      </c>
      <c r="B362" s="18" t="s">
        <v>25</v>
      </c>
      <c r="C362" s="19">
        <v>3120283341603</v>
      </c>
      <c r="D362" s="19">
        <v>1282</v>
      </c>
      <c r="E362" s="20">
        <v>44384</v>
      </c>
      <c r="F362" s="20">
        <v>48036</v>
      </c>
      <c r="G362" s="21">
        <v>29591</v>
      </c>
      <c r="H362" s="22">
        <f t="shared" ca="1" si="10"/>
        <v>45</v>
      </c>
      <c r="I362" s="19" t="s">
        <v>26</v>
      </c>
      <c r="J362" s="18" t="s">
        <v>27</v>
      </c>
      <c r="K362" s="18"/>
      <c r="L362" s="23" t="s">
        <v>402</v>
      </c>
      <c r="M362" s="23" t="s">
        <v>1591</v>
      </c>
      <c r="N362" s="23" t="s">
        <v>1499</v>
      </c>
      <c r="O362" s="18">
        <v>1</v>
      </c>
      <c r="P362" s="24"/>
      <c r="Q362" s="25">
        <v>42948</v>
      </c>
      <c r="R362" s="13">
        <v>0</v>
      </c>
      <c r="S362" s="26" t="str">
        <f>VLOOKUP(C362,'[1]Bazaar Salary'!$B$6:$J$1193,9,0)</f>
        <v>09630010045874260012</v>
      </c>
      <c r="T362" s="25" t="s">
        <v>32</v>
      </c>
      <c r="U362" s="25" t="s">
        <v>539</v>
      </c>
      <c r="V362" s="25" t="s">
        <v>1093</v>
      </c>
      <c r="W362" s="27" t="s">
        <v>1592</v>
      </c>
      <c r="X362" s="28" t="s">
        <v>1593</v>
      </c>
      <c r="Y362" s="28"/>
      <c r="Z362" s="29" t="s">
        <v>37</v>
      </c>
    </row>
    <row r="363" spans="1:26" ht="30" customHeight="1" thickBot="1" x14ac:dyDescent="0.25">
      <c r="A363" s="17">
        <f t="shared" si="11"/>
        <v>362</v>
      </c>
      <c r="B363" s="18" t="s">
        <v>25</v>
      </c>
      <c r="C363" s="19">
        <v>3620342259033</v>
      </c>
      <c r="D363" s="19">
        <v>1456</v>
      </c>
      <c r="E363" s="20">
        <v>42177</v>
      </c>
      <c r="F363" s="20">
        <v>45830</v>
      </c>
      <c r="G363" s="21">
        <v>27395</v>
      </c>
      <c r="H363" s="22">
        <f t="shared" ca="1" si="10"/>
        <v>51</v>
      </c>
      <c r="I363" s="19" t="s">
        <v>26</v>
      </c>
      <c r="J363" s="18" t="s">
        <v>27</v>
      </c>
      <c r="K363" s="18"/>
      <c r="L363" s="23" t="s">
        <v>1594</v>
      </c>
      <c r="M363" s="23" t="s">
        <v>1595</v>
      </c>
      <c r="N363" s="23" t="s">
        <v>1499</v>
      </c>
      <c r="O363" s="18">
        <v>1</v>
      </c>
      <c r="P363" s="24"/>
      <c r="Q363" s="25">
        <v>45748</v>
      </c>
      <c r="R363" s="13">
        <v>0</v>
      </c>
      <c r="S363" s="26" t="str">
        <f>VLOOKUP(C363,'[1]Bazaar Salary'!$B$6:$J$1193,9,0)</f>
        <v>08390010100975310011</v>
      </c>
      <c r="T363" s="25" t="s">
        <v>32</v>
      </c>
      <c r="U363" s="25" t="s">
        <v>539</v>
      </c>
      <c r="V363" s="25" t="s">
        <v>1093</v>
      </c>
      <c r="W363" s="24" t="s">
        <v>1596</v>
      </c>
      <c r="X363" s="28" t="s">
        <v>1597</v>
      </c>
      <c r="Y363" s="28"/>
      <c r="Z363" s="29" t="s">
        <v>37</v>
      </c>
    </row>
    <row r="364" spans="1:26" ht="30" customHeight="1" thickBot="1" x14ac:dyDescent="0.25">
      <c r="A364" s="17">
        <f t="shared" si="11"/>
        <v>363</v>
      </c>
      <c r="B364" s="18" t="s">
        <v>25</v>
      </c>
      <c r="C364" s="19">
        <v>3620117613839</v>
      </c>
      <c r="D364" s="19">
        <v>803</v>
      </c>
      <c r="E364" s="20">
        <v>42233</v>
      </c>
      <c r="F364" s="20">
        <v>45886</v>
      </c>
      <c r="G364" s="21">
        <v>29764</v>
      </c>
      <c r="H364" s="22">
        <f t="shared" ca="1" si="10"/>
        <v>44</v>
      </c>
      <c r="I364" s="19" t="s">
        <v>26</v>
      </c>
      <c r="J364" s="18" t="s">
        <v>27</v>
      </c>
      <c r="K364" s="18"/>
      <c r="L364" s="23" t="s">
        <v>1598</v>
      </c>
      <c r="M364" s="23" t="s">
        <v>1599</v>
      </c>
      <c r="N364" s="23" t="s">
        <v>1499</v>
      </c>
      <c r="O364" s="18">
        <v>1</v>
      </c>
      <c r="P364" s="24"/>
      <c r="Q364" s="25">
        <v>42767</v>
      </c>
      <c r="R364" s="13">
        <v>0</v>
      </c>
      <c r="S364" s="26" t="str">
        <f>VLOOKUP(C364,'[1]Bazaar Salary'!$B$6:$J$1193,9,0)</f>
        <v>09630010045841480018</v>
      </c>
      <c r="T364" s="25" t="s">
        <v>32</v>
      </c>
      <c r="U364" s="25" t="s">
        <v>539</v>
      </c>
      <c r="V364" s="25" t="s">
        <v>884</v>
      </c>
      <c r="W364" s="27" t="s">
        <v>1600</v>
      </c>
      <c r="X364" s="28" t="s">
        <v>1601</v>
      </c>
      <c r="Y364" s="28"/>
      <c r="Z364" s="29" t="s">
        <v>37</v>
      </c>
    </row>
    <row r="365" spans="1:26" ht="30" customHeight="1" thickBot="1" x14ac:dyDescent="0.25">
      <c r="A365" s="17">
        <f t="shared" si="11"/>
        <v>364</v>
      </c>
      <c r="B365" s="18" t="s">
        <v>25</v>
      </c>
      <c r="C365" s="19">
        <v>3630164747783</v>
      </c>
      <c r="D365" s="19">
        <v>1855</v>
      </c>
      <c r="E365" s="20">
        <v>44952</v>
      </c>
      <c r="F365" s="20">
        <v>48605</v>
      </c>
      <c r="G365" s="21">
        <v>34439</v>
      </c>
      <c r="H365" s="22">
        <f t="shared" ca="1" si="10"/>
        <v>32</v>
      </c>
      <c r="I365" s="19" t="s">
        <v>26</v>
      </c>
      <c r="J365" s="18" t="s">
        <v>27</v>
      </c>
      <c r="K365" s="18"/>
      <c r="L365" s="23" t="s">
        <v>1602</v>
      </c>
      <c r="M365" s="23" t="s">
        <v>1603</v>
      </c>
      <c r="N365" s="23" t="s">
        <v>1499</v>
      </c>
      <c r="O365" s="18">
        <v>1</v>
      </c>
      <c r="P365" s="24"/>
      <c r="Q365" s="25">
        <v>45748</v>
      </c>
      <c r="R365" s="13">
        <v>0</v>
      </c>
      <c r="S365" s="26" t="str">
        <f>VLOOKUP(C365,'[1]Bazaar Salary'!$B$6:$J$1193,9,0)</f>
        <v>53620020144617610016</v>
      </c>
      <c r="T365" s="25" t="s">
        <v>32</v>
      </c>
      <c r="U365" s="25" t="s">
        <v>539</v>
      </c>
      <c r="V365" s="25"/>
      <c r="W365" s="27" t="s">
        <v>1604</v>
      </c>
      <c r="X365" s="28" t="s">
        <v>1605</v>
      </c>
      <c r="Y365" s="28"/>
      <c r="Z365" s="29" t="s">
        <v>37</v>
      </c>
    </row>
    <row r="366" spans="1:26" ht="30" customHeight="1" thickBot="1" x14ac:dyDescent="0.25">
      <c r="A366" s="17">
        <f t="shared" si="11"/>
        <v>365</v>
      </c>
      <c r="B366" s="18" t="s">
        <v>25</v>
      </c>
      <c r="C366" s="19">
        <v>3620398980657</v>
      </c>
      <c r="D366" s="19">
        <v>1512</v>
      </c>
      <c r="E366" s="20">
        <v>44949</v>
      </c>
      <c r="F366" s="20">
        <v>48602</v>
      </c>
      <c r="G366" s="21">
        <v>38353</v>
      </c>
      <c r="H366" s="22">
        <f t="shared" ca="1" si="10"/>
        <v>21</v>
      </c>
      <c r="I366" s="19" t="s">
        <v>26</v>
      </c>
      <c r="J366" s="18" t="s">
        <v>27</v>
      </c>
      <c r="K366" s="18"/>
      <c r="L366" s="23" t="s">
        <v>1606</v>
      </c>
      <c r="M366" s="23" t="s">
        <v>1165</v>
      </c>
      <c r="N366" s="23" t="s">
        <v>1499</v>
      </c>
      <c r="O366" s="18">
        <v>1</v>
      </c>
      <c r="P366" s="24"/>
      <c r="Q366" s="25">
        <v>45748</v>
      </c>
      <c r="R366" s="13">
        <v>0</v>
      </c>
      <c r="S366" s="26" t="str">
        <f>VLOOKUP(C366,'[1]Bazaar Salary'!$B$6:$J$1193,9,0)</f>
        <v>08390010109359970017</v>
      </c>
      <c r="T366" s="25" t="s">
        <v>32</v>
      </c>
      <c r="U366" s="25" t="s">
        <v>539</v>
      </c>
      <c r="V366" s="25" t="s">
        <v>1093</v>
      </c>
      <c r="W366" s="27" t="s">
        <v>1607</v>
      </c>
      <c r="X366" s="28" t="s">
        <v>1608</v>
      </c>
      <c r="Y366" s="28"/>
      <c r="Z366" s="29" t="s">
        <v>37</v>
      </c>
    </row>
    <row r="367" spans="1:26" ht="30" customHeight="1" thickBot="1" x14ac:dyDescent="0.25">
      <c r="A367" s="17">
        <f t="shared" si="11"/>
        <v>366</v>
      </c>
      <c r="B367" s="18" t="s">
        <v>25</v>
      </c>
      <c r="C367" s="19">
        <v>3810194583501</v>
      </c>
      <c r="D367" s="19">
        <v>1408</v>
      </c>
      <c r="E367" s="20">
        <v>44286</v>
      </c>
      <c r="F367" s="20">
        <v>47938</v>
      </c>
      <c r="G367" s="21">
        <v>37682</v>
      </c>
      <c r="H367" s="22">
        <f t="shared" ca="1" si="10"/>
        <v>23</v>
      </c>
      <c r="I367" s="19" t="s">
        <v>26</v>
      </c>
      <c r="J367" s="18" t="s">
        <v>27</v>
      </c>
      <c r="K367" s="18"/>
      <c r="L367" s="23" t="s">
        <v>1609</v>
      </c>
      <c r="M367" s="23" t="s">
        <v>68</v>
      </c>
      <c r="N367" s="23" t="s">
        <v>1551</v>
      </c>
      <c r="O367" s="18">
        <v>1</v>
      </c>
      <c r="P367" s="24"/>
      <c r="Q367" s="25">
        <v>45748</v>
      </c>
      <c r="R367" s="13">
        <v>0</v>
      </c>
      <c r="S367" s="26" t="str">
        <f>VLOOKUP(C367,'[1]Bazaar Salary'!$B$6:$J$1193,9,0)</f>
        <v>05030010095352090016</v>
      </c>
      <c r="T367" s="25" t="s">
        <v>32</v>
      </c>
      <c r="U367" s="25" t="s">
        <v>153</v>
      </c>
      <c r="V367" s="25" t="s">
        <v>884</v>
      </c>
      <c r="W367" s="27" t="s">
        <v>1610</v>
      </c>
      <c r="X367" s="28" t="s">
        <v>1611</v>
      </c>
      <c r="Y367" s="28"/>
      <c r="Z367" s="29" t="s">
        <v>37</v>
      </c>
    </row>
    <row r="368" spans="1:26" ht="30" customHeight="1" thickBot="1" x14ac:dyDescent="0.25">
      <c r="A368" s="17">
        <f t="shared" si="11"/>
        <v>367</v>
      </c>
      <c r="B368" s="18" t="s">
        <v>25</v>
      </c>
      <c r="C368" s="19">
        <v>3810183474609</v>
      </c>
      <c r="D368" s="19">
        <v>1595</v>
      </c>
      <c r="E368" s="20">
        <v>44896</v>
      </c>
      <c r="F368" s="20">
        <v>48549</v>
      </c>
      <c r="G368" s="21">
        <v>36708</v>
      </c>
      <c r="H368" s="22">
        <f t="shared" ca="1" si="10"/>
        <v>25</v>
      </c>
      <c r="I368" s="19" t="s">
        <v>26</v>
      </c>
      <c r="J368" s="18" t="s">
        <v>27</v>
      </c>
      <c r="K368" s="18"/>
      <c r="L368" s="23" t="s">
        <v>1612</v>
      </c>
      <c r="M368" s="23" t="s">
        <v>414</v>
      </c>
      <c r="N368" s="23" t="s">
        <v>1488</v>
      </c>
      <c r="O368" s="18">
        <v>1</v>
      </c>
      <c r="P368" s="24"/>
      <c r="Q368" s="25">
        <v>45748</v>
      </c>
      <c r="R368" s="13">
        <v>0</v>
      </c>
      <c r="S368" s="26" t="str">
        <f>VLOOKUP(C368,'[1]Bazaar Salary'!$B$6:$J$1193,9,0)</f>
        <v>05030010129056610011</v>
      </c>
      <c r="T368" s="25" t="s">
        <v>32</v>
      </c>
      <c r="U368" s="25" t="s">
        <v>153</v>
      </c>
      <c r="V368" s="25" t="s">
        <v>1093</v>
      </c>
      <c r="W368" s="27"/>
      <c r="X368" s="28" t="s">
        <v>1613</v>
      </c>
      <c r="Y368" s="28"/>
      <c r="Z368" s="29" t="s">
        <v>37</v>
      </c>
    </row>
    <row r="369" spans="1:26" ht="30" customHeight="1" thickBot="1" x14ac:dyDescent="0.25">
      <c r="A369" s="17">
        <f t="shared" si="11"/>
        <v>368</v>
      </c>
      <c r="B369" s="18" t="s">
        <v>25</v>
      </c>
      <c r="C369" s="19">
        <v>3810439111229</v>
      </c>
      <c r="D369" s="19">
        <v>1374</v>
      </c>
      <c r="E369" s="20">
        <v>44162</v>
      </c>
      <c r="F369" s="20">
        <v>47814</v>
      </c>
      <c r="G369" s="21">
        <v>34335</v>
      </c>
      <c r="H369" s="22">
        <f t="shared" ca="1" si="10"/>
        <v>32</v>
      </c>
      <c r="I369" s="19" t="s">
        <v>26</v>
      </c>
      <c r="J369" s="18" t="s">
        <v>27</v>
      </c>
      <c r="K369" s="18"/>
      <c r="L369" s="23" t="s">
        <v>1614</v>
      </c>
      <c r="M369" s="23" t="s">
        <v>263</v>
      </c>
      <c r="N369" s="23" t="s">
        <v>1488</v>
      </c>
      <c r="O369" s="18">
        <v>1</v>
      </c>
      <c r="P369" s="24"/>
      <c r="Q369" s="25">
        <v>45748</v>
      </c>
      <c r="R369" s="13">
        <v>0</v>
      </c>
      <c r="S369" s="26" t="str">
        <f>VLOOKUP(C369,'[1]Bazaar Salary'!$B$6:$J$1193,9,0)</f>
        <v>05030010094512490010</v>
      </c>
      <c r="T369" s="25" t="s">
        <v>32</v>
      </c>
      <c r="U369" s="25" t="s">
        <v>153</v>
      </c>
      <c r="V369" s="25" t="s">
        <v>1093</v>
      </c>
      <c r="W369" s="27" t="s">
        <v>1615</v>
      </c>
      <c r="X369" s="28" t="s">
        <v>1616</v>
      </c>
      <c r="Y369" s="28"/>
      <c r="Z369" s="29" t="s">
        <v>37</v>
      </c>
    </row>
    <row r="370" spans="1:26" ht="30" customHeight="1" thickBot="1" x14ac:dyDescent="0.25">
      <c r="A370" s="17">
        <f t="shared" si="11"/>
        <v>369</v>
      </c>
      <c r="B370" s="18" t="s">
        <v>25</v>
      </c>
      <c r="C370" s="19">
        <v>3810102266481</v>
      </c>
      <c r="D370" s="19">
        <v>1594</v>
      </c>
      <c r="E370" s="20">
        <v>43066</v>
      </c>
      <c r="F370" s="20">
        <v>46718</v>
      </c>
      <c r="G370" s="21">
        <v>31842</v>
      </c>
      <c r="H370" s="22">
        <f t="shared" ca="1" si="10"/>
        <v>39</v>
      </c>
      <c r="I370" s="19" t="s">
        <v>26</v>
      </c>
      <c r="J370" s="18" t="s">
        <v>27</v>
      </c>
      <c r="K370" s="18"/>
      <c r="L370" s="23" t="s">
        <v>1617</v>
      </c>
      <c r="M370" s="23" t="s">
        <v>1618</v>
      </c>
      <c r="N370" s="23" t="s">
        <v>1488</v>
      </c>
      <c r="O370" s="18">
        <v>1</v>
      </c>
      <c r="P370" s="24"/>
      <c r="Q370" s="25">
        <v>45748</v>
      </c>
      <c r="R370" s="13">
        <v>0</v>
      </c>
      <c r="S370" s="26" t="str">
        <f>VLOOKUP(C370,'[1]Bazaar Salary'!$B$6:$J$1193,9,0)</f>
        <v>05030010129041600011</v>
      </c>
      <c r="T370" s="25" t="s">
        <v>32</v>
      </c>
      <c r="U370" s="25" t="s">
        <v>153</v>
      </c>
      <c r="V370" s="25" t="s">
        <v>1093</v>
      </c>
      <c r="W370" s="27"/>
      <c r="X370" s="28" t="s">
        <v>1619</v>
      </c>
      <c r="Y370" s="28"/>
      <c r="Z370" s="29" t="s">
        <v>37</v>
      </c>
    </row>
    <row r="371" spans="1:26" ht="30" customHeight="1" thickBot="1" x14ac:dyDescent="0.25">
      <c r="A371" s="17">
        <f t="shared" si="11"/>
        <v>370</v>
      </c>
      <c r="B371" s="18" t="s">
        <v>25</v>
      </c>
      <c r="C371" s="19">
        <v>3810154336459</v>
      </c>
      <c r="D371" s="19">
        <v>1601</v>
      </c>
      <c r="E371" s="20">
        <v>44990</v>
      </c>
      <c r="F371" s="20">
        <v>48643</v>
      </c>
      <c r="G371" s="21">
        <v>33725</v>
      </c>
      <c r="H371" s="22">
        <f t="shared" ca="1" si="10"/>
        <v>34</v>
      </c>
      <c r="I371" s="19" t="s">
        <v>26</v>
      </c>
      <c r="J371" s="18" t="s">
        <v>27</v>
      </c>
      <c r="K371" s="18"/>
      <c r="L371" s="23" t="s">
        <v>1620</v>
      </c>
      <c r="M371" s="23" t="s">
        <v>1621</v>
      </c>
      <c r="N371" s="23" t="s">
        <v>1488</v>
      </c>
      <c r="O371" s="18">
        <v>1</v>
      </c>
      <c r="P371" s="24"/>
      <c r="Q371" s="25">
        <v>45748</v>
      </c>
      <c r="R371" s="13">
        <v>0</v>
      </c>
      <c r="S371" s="26" t="str">
        <f>VLOOKUP(C371,'[1]Bazaar Salary'!$B$6:$J$1193,9,0)</f>
        <v>05030010129044980016</v>
      </c>
      <c r="T371" s="25" t="s">
        <v>32</v>
      </c>
      <c r="U371" s="25" t="s">
        <v>153</v>
      </c>
      <c r="V371" s="25" t="s">
        <v>1093</v>
      </c>
      <c r="W371" s="27" t="s">
        <v>1622</v>
      </c>
      <c r="X371" s="28" t="s">
        <v>1623</v>
      </c>
      <c r="Y371" s="28"/>
      <c r="Z371" s="29" t="s">
        <v>37</v>
      </c>
    </row>
    <row r="372" spans="1:26" ht="30" customHeight="1" thickBot="1" x14ac:dyDescent="0.25">
      <c r="A372" s="17">
        <f t="shared" si="11"/>
        <v>371</v>
      </c>
      <c r="B372" s="18" t="s">
        <v>25</v>
      </c>
      <c r="C372" s="19">
        <v>3810179900725</v>
      </c>
      <c r="D372" s="19">
        <v>1369</v>
      </c>
      <c r="E372" s="20">
        <v>43242</v>
      </c>
      <c r="F372" s="20">
        <v>46895</v>
      </c>
      <c r="G372" s="21">
        <v>36806</v>
      </c>
      <c r="H372" s="22">
        <f t="shared" ca="1" si="10"/>
        <v>25</v>
      </c>
      <c r="I372" s="19" t="s">
        <v>26</v>
      </c>
      <c r="J372" s="18" t="s">
        <v>27</v>
      </c>
      <c r="K372" s="18"/>
      <c r="L372" s="23" t="s">
        <v>1624</v>
      </c>
      <c r="M372" s="23" t="s">
        <v>127</v>
      </c>
      <c r="N372" s="23" t="s">
        <v>1499</v>
      </c>
      <c r="O372" s="18">
        <v>1</v>
      </c>
      <c r="P372" s="24"/>
      <c r="Q372" s="25">
        <v>45748</v>
      </c>
      <c r="R372" s="13">
        <v>0</v>
      </c>
      <c r="S372" s="26" t="str">
        <f>VLOOKUP(C372,'[1]Bazaar Salary'!$B$6:$J$1193,9,0)</f>
        <v>05030010094488580019</v>
      </c>
      <c r="T372" s="25" t="s">
        <v>32</v>
      </c>
      <c r="U372" s="25" t="s">
        <v>153</v>
      </c>
      <c r="V372" s="25" t="s">
        <v>320</v>
      </c>
      <c r="W372" s="27" t="s">
        <v>1625</v>
      </c>
      <c r="X372" s="28" t="s">
        <v>1626</v>
      </c>
      <c r="Y372" s="28"/>
      <c r="Z372" s="29" t="s">
        <v>37</v>
      </c>
    </row>
    <row r="373" spans="1:26" ht="30" customHeight="1" thickBot="1" x14ac:dyDescent="0.25">
      <c r="A373" s="17">
        <f t="shared" si="11"/>
        <v>372</v>
      </c>
      <c r="B373" s="18" t="s">
        <v>25</v>
      </c>
      <c r="C373" s="19">
        <v>3810185136149</v>
      </c>
      <c r="D373" s="19">
        <v>1372</v>
      </c>
      <c r="E373" s="20">
        <v>43791</v>
      </c>
      <c r="F373" s="20">
        <v>47444</v>
      </c>
      <c r="G373" s="21">
        <v>36955</v>
      </c>
      <c r="H373" s="22">
        <f t="shared" ca="1" si="10"/>
        <v>25</v>
      </c>
      <c r="I373" s="19" t="s">
        <v>26</v>
      </c>
      <c r="J373" s="18" t="s">
        <v>27</v>
      </c>
      <c r="K373" s="18"/>
      <c r="L373" s="23" t="s">
        <v>1627</v>
      </c>
      <c r="M373" s="23" t="s">
        <v>1628</v>
      </c>
      <c r="N373" s="23" t="s">
        <v>1499</v>
      </c>
      <c r="O373" s="18">
        <v>1</v>
      </c>
      <c r="P373" s="24"/>
      <c r="Q373" s="25">
        <v>45748</v>
      </c>
      <c r="R373" s="13">
        <v>0</v>
      </c>
      <c r="S373" s="26" t="str">
        <f>VLOOKUP(C373,'[1]Bazaar Salary'!$B$6:$J$1193,9,0)</f>
        <v>09160010091842370013</v>
      </c>
      <c r="T373" s="25" t="s">
        <v>32</v>
      </c>
      <c r="U373" s="25" t="s">
        <v>153</v>
      </c>
      <c r="V373" s="25" t="s">
        <v>1093</v>
      </c>
      <c r="W373" s="27" t="s">
        <v>1629</v>
      </c>
      <c r="X373" s="28" t="s">
        <v>1630</v>
      </c>
      <c r="Y373" s="28"/>
      <c r="Z373" s="29" t="s">
        <v>37</v>
      </c>
    </row>
    <row r="374" spans="1:26" ht="30" customHeight="1" thickBot="1" x14ac:dyDescent="0.25">
      <c r="A374" s="17">
        <f t="shared" si="11"/>
        <v>373</v>
      </c>
      <c r="B374" s="18" t="s">
        <v>25</v>
      </c>
      <c r="C374" s="19">
        <v>3810110968571</v>
      </c>
      <c r="D374" s="19">
        <v>1368</v>
      </c>
      <c r="E374" s="20">
        <v>42066</v>
      </c>
      <c r="F374" s="20">
        <v>45719</v>
      </c>
      <c r="G374" s="21">
        <v>34558</v>
      </c>
      <c r="H374" s="22">
        <f t="shared" ca="1" si="10"/>
        <v>31</v>
      </c>
      <c r="I374" s="19" t="s">
        <v>26</v>
      </c>
      <c r="J374" s="18" t="s">
        <v>27</v>
      </c>
      <c r="K374" s="18"/>
      <c r="L374" s="23" t="s">
        <v>1631</v>
      </c>
      <c r="M374" s="23" t="s">
        <v>1632</v>
      </c>
      <c r="N374" s="23" t="s">
        <v>1499</v>
      </c>
      <c r="O374" s="18">
        <v>1</v>
      </c>
      <c r="P374" s="24"/>
      <c r="Q374" s="25">
        <v>45748</v>
      </c>
      <c r="R374" s="13">
        <v>0</v>
      </c>
      <c r="S374" s="26" t="str">
        <f>VLOOKUP(C374,'[1]Bazaar Salary'!$B$6:$J$1193,9,0)</f>
        <v>05030010100833890016</v>
      </c>
      <c r="T374" s="25" t="s">
        <v>32</v>
      </c>
      <c r="U374" s="25" t="s">
        <v>153</v>
      </c>
      <c r="V374" s="25" t="s">
        <v>1093</v>
      </c>
      <c r="W374" s="27" t="s">
        <v>1633</v>
      </c>
      <c r="X374" s="28" t="s">
        <v>1634</v>
      </c>
      <c r="Y374" s="28"/>
      <c r="Z374" s="29" t="s">
        <v>37</v>
      </c>
    </row>
    <row r="375" spans="1:26" ht="30" customHeight="1" thickBot="1" x14ac:dyDescent="0.25">
      <c r="A375" s="17">
        <f t="shared" si="11"/>
        <v>374</v>
      </c>
      <c r="B375" s="18" t="s">
        <v>25</v>
      </c>
      <c r="C375" s="19">
        <v>3810355867861</v>
      </c>
      <c r="D375" s="19">
        <v>1371</v>
      </c>
      <c r="E375" s="20">
        <v>43168</v>
      </c>
      <c r="F375" s="20">
        <v>46821</v>
      </c>
      <c r="G375" s="21">
        <v>36361</v>
      </c>
      <c r="H375" s="22">
        <f t="shared" ca="1" si="10"/>
        <v>26</v>
      </c>
      <c r="I375" s="19" t="s">
        <v>26</v>
      </c>
      <c r="J375" s="18" t="s">
        <v>27</v>
      </c>
      <c r="K375" s="18"/>
      <c r="L375" s="23" t="s">
        <v>74</v>
      </c>
      <c r="M375" s="23" t="s">
        <v>1635</v>
      </c>
      <c r="N375" s="23" t="s">
        <v>1499</v>
      </c>
      <c r="O375" s="18">
        <v>1</v>
      </c>
      <c r="P375" s="24"/>
      <c r="Q375" s="25">
        <v>45748</v>
      </c>
      <c r="R375" s="13">
        <v>0</v>
      </c>
      <c r="S375" s="26" t="str">
        <f>VLOOKUP(C375,'[1]Bazaar Salary'!$B$6:$J$1193,9,0)</f>
        <v>05030010100872630014</v>
      </c>
      <c r="T375" s="25" t="s">
        <v>32</v>
      </c>
      <c r="U375" s="25" t="s">
        <v>153</v>
      </c>
      <c r="V375" s="25" t="s">
        <v>1093</v>
      </c>
      <c r="W375" s="27" t="s">
        <v>1636</v>
      </c>
      <c r="X375" s="28" t="s">
        <v>1637</v>
      </c>
      <c r="Y375" s="28"/>
      <c r="Z375" s="29" t="s">
        <v>37</v>
      </c>
    </row>
    <row r="376" spans="1:26" ht="30" customHeight="1" thickBot="1" x14ac:dyDescent="0.25">
      <c r="A376" s="17">
        <f t="shared" si="11"/>
        <v>375</v>
      </c>
      <c r="B376" s="18" t="s">
        <v>25</v>
      </c>
      <c r="C376" s="19">
        <v>3810389321751</v>
      </c>
      <c r="D376" s="19">
        <v>489</v>
      </c>
      <c r="E376" s="20">
        <v>45541</v>
      </c>
      <c r="F376" s="20">
        <v>49193</v>
      </c>
      <c r="G376" s="21">
        <v>35231</v>
      </c>
      <c r="H376" s="22">
        <f t="shared" ca="1" si="10"/>
        <v>30</v>
      </c>
      <c r="I376" s="19" t="s">
        <v>26</v>
      </c>
      <c r="J376" s="18" t="s">
        <v>27</v>
      </c>
      <c r="K376" s="18"/>
      <c r="L376" s="23" t="s">
        <v>1394</v>
      </c>
      <c r="M376" s="23" t="s">
        <v>402</v>
      </c>
      <c r="N376" s="23" t="s">
        <v>1499</v>
      </c>
      <c r="O376" s="18">
        <v>1</v>
      </c>
      <c r="P376" s="24"/>
      <c r="Q376" s="25">
        <v>42767</v>
      </c>
      <c r="R376" s="13">
        <v>0</v>
      </c>
      <c r="S376" s="26" t="str">
        <f>VLOOKUP(C376,'[1]Bazaar Salary'!$B$6:$J$1193,9,0)</f>
        <v>07980010045768010011</v>
      </c>
      <c r="T376" s="25" t="s">
        <v>32</v>
      </c>
      <c r="U376" s="25" t="s">
        <v>153</v>
      </c>
      <c r="V376" s="25" t="s">
        <v>884</v>
      </c>
      <c r="W376" s="27" t="s">
        <v>1638</v>
      </c>
      <c r="X376" s="28" t="s">
        <v>1639</v>
      </c>
      <c r="Y376" s="28"/>
      <c r="Z376" s="29" t="s">
        <v>37</v>
      </c>
    </row>
    <row r="377" spans="1:26" ht="30" customHeight="1" thickBot="1" x14ac:dyDescent="0.25">
      <c r="A377" s="17">
        <f t="shared" si="11"/>
        <v>376</v>
      </c>
      <c r="B377" s="18" t="s">
        <v>25</v>
      </c>
      <c r="C377" s="19">
        <v>3810139850069</v>
      </c>
      <c r="D377" s="19">
        <v>1449</v>
      </c>
      <c r="E377" s="20">
        <v>44658</v>
      </c>
      <c r="F377" s="20">
        <v>48311</v>
      </c>
      <c r="G377" s="21">
        <v>34217</v>
      </c>
      <c r="H377" s="22">
        <f t="shared" ca="1" si="10"/>
        <v>32</v>
      </c>
      <c r="I377" s="19" t="s">
        <v>26</v>
      </c>
      <c r="J377" s="18" t="s">
        <v>27</v>
      </c>
      <c r="K377" s="18"/>
      <c r="L377" s="23" t="s">
        <v>1640</v>
      </c>
      <c r="M377" s="23" t="s">
        <v>1641</v>
      </c>
      <c r="N377" s="23" t="s">
        <v>1499</v>
      </c>
      <c r="O377" s="18">
        <v>1</v>
      </c>
      <c r="P377" s="24"/>
      <c r="Q377" s="25">
        <v>45748</v>
      </c>
      <c r="R377" s="13">
        <v>0</v>
      </c>
      <c r="S377" s="26" t="str">
        <f>VLOOKUP(C377,'[1]Bazaar Salary'!$B$6:$J$1193,9,0)</f>
        <v>05030010100818210013</v>
      </c>
      <c r="T377" s="25" t="s">
        <v>32</v>
      </c>
      <c r="U377" s="25" t="s">
        <v>153</v>
      </c>
      <c r="V377" s="25" t="s">
        <v>884</v>
      </c>
      <c r="W377" s="27" t="s">
        <v>1642</v>
      </c>
      <c r="X377" s="28" t="s">
        <v>1643</v>
      </c>
      <c r="Y377" s="28"/>
      <c r="Z377" s="29" t="s">
        <v>37</v>
      </c>
    </row>
    <row r="378" spans="1:26" ht="30" customHeight="1" thickBot="1" x14ac:dyDescent="0.25">
      <c r="A378" s="17">
        <f t="shared" si="11"/>
        <v>377</v>
      </c>
      <c r="B378" s="18" t="s">
        <v>25</v>
      </c>
      <c r="C378" s="19">
        <v>3810133797237</v>
      </c>
      <c r="D378" s="19">
        <v>1479</v>
      </c>
      <c r="E378" s="20">
        <v>42044</v>
      </c>
      <c r="F378" s="20">
        <v>45697</v>
      </c>
      <c r="G378" s="21">
        <v>34403</v>
      </c>
      <c r="H378" s="22">
        <f t="shared" ca="1" si="10"/>
        <v>32</v>
      </c>
      <c r="I378" s="19" t="s">
        <v>26</v>
      </c>
      <c r="J378" s="18" t="s">
        <v>27</v>
      </c>
      <c r="K378" s="18"/>
      <c r="L378" s="23" t="s">
        <v>1644</v>
      </c>
      <c r="M378" s="23" t="s">
        <v>1645</v>
      </c>
      <c r="N378" s="23" t="s">
        <v>1499</v>
      </c>
      <c r="O378" s="18">
        <v>1</v>
      </c>
      <c r="P378" s="24"/>
      <c r="Q378" s="25">
        <v>45748</v>
      </c>
      <c r="R378" s="13">
        <v>0</v>
      </c>
      <c r="S378" s="26" t="str">
        <f>VLOOKUP(C378,'[1]Bazaar Salary'!$B$6:$J$1193,9,0)</f>
        <v>05030010104272250016</v>
      </c>
      <c r="T378" s="25" t="s">
        <v>32</v>
      </c>
      <c r="U378" s="25" t="s">
        <v>153</v>
      </c>
      <c r="V378" s="25" t="s">
        <v>884</v>
      </c>
      <c r="W378" s="27" t="s">
        <v>1646</v>
      </c>
      <c r="X378" s="28" t="s">
        <v>1647</v>
      </c>
      <c r="Y378" s="28"/>
      <c r="Z378" s="29" t="s">
        <v>37</v>
      </c>
    </row>
    <row r="379" spans="1:26" ht="30" customHeight="1" thickBot="1" x14ac:dyDescent="0.25">
      <c r="A379" s="17">
        <f t="shared" si="11"/>
        <v>378</v>
      </c>
      <c r="B379" s="18" t="s">
        <v>25</v>
      </c>
      <c r="C379" s="19">
        <v>3840102894969</v>
      </c>
      <c r="D379" s="19">
        <v>1621</v>
      </c>
      <c r="E379" s="20">
        <v>43766</v>
      </c>
      <c r="F379" s="20">
        <v>47419</v>
      </c>
      <c r="G379" s="21">
        <v>30014</v>
      </c>
      <c r="H379" s="22">
        <f t="shared" ca="1" si="10"/>
        <v>44</v>
      </c>
      <c r="I379" s="19" t="s">
        <v>26</v>
      </c>
      <c r="J379" s="18" t="s">
        <v>27</v>
      </c>
      <c r="K379" s="18"/>
      <c r="L379" s="23" t="s">
        <v>1648</v>
      </c>
      <c r="M379" s="23" t="s">
        <v>695</v>
      </c>
      <c r="N379" s="23" t="s">
        <v>1499</v>
      </c>
      <c r="O379" s="18">
        <v>1</v>
      </c>
      <c r="P379" s="24"/>
      <c r="Q379" s="25">
        <v>45748</v>
      </c>
      <c r="R379" s="13">
        <v>0</v>
      </c>
      <c r="S379" s="26" t="str">
        <f>VLOOKUP(C379,'[1]Bazaar Salary'!$B$6:$J$1193,9,0)</f>
        <v>51300020131395510013</v>
      </c>
      <c r="T379" s="25" t="s">
        <v>32</v>
      </c>
      <c r="U379" s="25" t="s">
        <v>469</v>
      </c>
      <c r="V379" s="25" t="s">
        <v>1093</v>
      </c>
      <c r="W379" s="27" t="s">
        <v>1649</v>
      </c>
      <c r="X379" s="28" t="s">
        <v>1650</v>
      </c>
      <c r="Y379" s="28"/>
      <c r="Z379" s="29" t="s">
        <v>37</v>
      </c>
    </row>
    <row r="380" spans="1:26" ht="30" customHeight="1" thickBot="1" x14ac:dyDescent="0.25">
      <c r="A380" s="17">
        <f t="shared" si="11"/>
        <v>379</v>
      </c>
      <c r="B380" s="18" t="s">
        <v>25</v>
      </c>
      <c r="C380" s="19">
        <v>3840148104583</v>
      </c>
      <c r="D380" s="19">
        <v>1157</v>
      </c>
      <c r="E380" s="20">
        <v>43007</v>
      </c>
      <c r="F380" s="20">
        <v>46659</v>
      </c>
      <c r="G380" s="21">
        <v>36412</v>
      </c>
      <c r="H380" s="22">
        <f t="shared" ca="1" si="10"/>
        <v>26</v>
      </c>
      <c r="I380" s="19" t="s">
        <v>26</v>
      </c>
      <c r="J380" s="18" t="s">
        <v>27</v>
      </c>
      <c r="K380" s="18"/>
      <c r="L380" s="23" t="s">
        <v>1651</v>
      </c>
      <c r="M380" s="23" t="s">
        <v>1652</v>
      </c>
      <c r="N380" s="23" t="s">
        <v>1499</v>
      </c>
      <c r="O380" s="18">
        <v>1</v>
      </c>
      <c r="P380" s="24"/>
      <c r="Q380" s="25">
        <v>43678</v>
      </c>
      <c r="R380" s="13">
        <v>0</v>
      </c>
      <c r="S380" s="26" t="str">
        <f>VLOOKUP(C380,'[1]Bazaar Salary'!$B$6:$J$1193,9,0)</f>
        <v>00600010053698370017</v>
      </c>
      <c r="T380" s="25" t="s">
        <v>32</v>
      </c>
      <c r="U380" s="25" t="s">
        <v>469</v>
      </c>
      <c r="V380" s="25" t="s">
        <v>1093</v>
      </c>
      <c r="W380" s="27" t="s">
        <v>1653</v>
      </c>
      <c r="X380" s="28" t="s">
        <v>1654</v>
      </c>
      <c r="Y380" s="28"/>
      <c r="Z380" s="29" t="s">
        <v>37</v>
      </c>
    </row>
    <row r="381" spans="1:26" ht="30" customHeight="1" thickBot="1" x14ac:dyDescent="0.25">
      <c r="A381" s="17">
        <f t="shared" si="11"/>
        <v>380</v>
      </c>
      <c r="B381" s="18" t="s">
        <v>25</v>
      </c>
      <c r="C381" s="19">
        <v>3840145592665</v>
      </c>
      <c r="D381" s="19">
        <v>476</v>
      </c>
      <c r="E381" s="20">
        <v>43376</v>
      </c>
      <c r="F381" s="20">
        <v>47029</v>
      </c>
      <c r="G381" s="21">
        <v>33303</v>
      </c>
      <c r="H381" s="22">
        <f t="shared" ca="1" si="10"/>
        <v>35</v>
      </c>
      <c r="I381" s="19" t="s">
        <v>26</v>
      </c>
      <c r="J381" s="18" t="s">
        <v>27</v>
      </c>
      <c r="K381" s="18"/>
      <c r="L381" s="23" t="s">
        <v>780</v>
      </c>
      <c r="M381" s="23" t="s">
        <v>1655</v>
      </c>
      <c r="N381" s="23" t="s">
        <v>1499</v>
      </c>
      <c r="O381" s="18">
        <v>1</v>
      </c>
      <c r="P381" s="24"/>
      <c r="Q381" s="25">
        <v>42516</v>
      </c>
      <c r="R381" s="13">
        <v>0</v>
      </c>
      <c r="S381" s="26" t="str">
        <f>VLOOKUP(C381,'[1]Bazaar Salary'!$B$6:$J$1193,9,0)</f>
        <v>06150010045958150012</v>
      </c>
      <c r="T381" s="25" t="s">
        <v>32</v>
      </c>
      <c r="U381" s="25" t="s">
        <v>469</v>
      </c>
      <c r="V381" s="25" t="s">
        <v>1356</v>
      </c>
      <c r="W381" s="27" t="s">
        <v>1656</v>
      </c>
      <c r="X381" s="28" t="s">
        <v>1657</v>
      </c>
      <c r="Y381" s="28"/>
      <c r="Z381" s="29" t="s">
        <v>37</v>
      </c>
    </row>
    <row r="382" spans="1:26" ht="30" customHeight="1" thickBot="1" x14ac:dyDescent="0.25">
      <c r="A382" s="17">
        <f t="shared" si="11"/>
        <v>381</v>
      </c>
      <c r="B382" s="18" t="s">
        <v>25</v>
      </c>
      <c r="C382" s="19">
        <v>3840124962747</v>
      </c>
      <c r="D382" s="19">
        <v>465</v>
      </c>
      <c r="E382" s="20">
        <v>43636</v>
      </c>
      <c r="F382" s="20">
        <v>47289</v>
      </c>
      <c r="G382" s="21">
        <v>32572</v>
      </c>
      <c r="H382" s="22">
        <f t="shared" ca="1" si="10"/>
        <v>37</v>
      </c>
      <c r="I382" s="19" t="s">
        <v>26</v>
      </c>
      <c r="J382" s="18" t="s">
        <v>27</v>
      </c>
      <c r="K382" s="18"/>
      <c r="L382" s="23" t="s">
        <v>1100</v>
      </c>
      <c r="M382" s="23" t="s">
        <v>578</v>
      </c>
      <c r="N382" s="23" t="s">
        <v>1551</v>
      </c>
      <c r="O382" s="18">
        <v>1</v>
      </c>
      <c r="P382" s="24"/>
      <c r="Q382" s="25">
        <v>43132</v>
      </c>
      <c r="R382" s="13">
        <v>0</v>
      </c>
      <c r="S382" s="26" t="str">
        <f>VLOOKUP(C382,'[1]Bazaar Salary'!$B$6:$J$1193,9,0)</f>
        <v>06150010031221120025</v>
      </c>
      <c r="T382" s="25" t="s">
        <v>32</v>
      </c>
      <c r="U382" s="25" t="s">
        <v>264</v>
      </c>
      <c r="V382" s="25" t="s">
        <v>1356</v>
      </c>
      <c r="W382" s="27" t="s">
        <v>1658</v>
      </c>
      <c r="X382" s="28" t="s">
        <v>1659</v>
      </c>
      <c r="Y382" s="28"/>
      <c r="Z382" s="29" t="s">
        <v>37</v>
      </c>
    </row>
    <row r="383" spans="1:26" ht="30" customHeight="1" thickBot="1" x14ac:dyDescent="0.25">
      <c r="A383" s="17">
        <f t="shared" si="11"/>
        <v>382</v>
      </c>
      <c r="B383" s="18" t="s">
        <v>25</v>
      </c>
      <c r="C383" s="19">
        <v>3840158167518</v>
      </c>
      <c r="D383" s="19">
        <v>1578</v>
      </c>
      <c r="E383" s="20">
        <v>44893</v>
      </c>
      <c r="F383" s="20">
        <v>48546</v>
      </c>
      <c r="G383" s="21">
        <v>29952</v>
      </c>
      <c r="H383" s="22">
        <f t="shared" ca="1" si="10"/>
        <v>44</v>
      </c>
      <c r="I383" s="19" t="s">
        <v>26</v>
      </c>
      <c r="J383" s="18" t="s">
        <v>66</v>
      </c>
      <c r="K383" s="18"/>
      <c r="L383" s="23" t="s">
        <v>1660</v>
      </c>
      <c r="M383" s="23" t="s">
        <v>1661</v>
      </c>
      <c r="N383" s="23" t="s">
        <v>1488</v>
      </c>
      <c r="O383" s="18">
        <v>1</v>
      </c>
      <c r="P383" s="24"/>
      <c r="Q383" s="25">
        <v>45748</v>
      </c>
      <c r="R383" s="13">
        <v>0</v>
      </c>
      <c r="S383" s="26" t="str">
        <f>VLOOKUP(C383,'[1]Bazaar Salary'!$B$6:$J$1193,9,0)</f>
        <v>06150010122910780012</v>
      </c>
      <c r="T383" s="25" t="s">
        <v>32</v>
      </c>
      <c r="U383" s="25" t="s">
        <v>264</v>
      </c>
      <c r="V383" s="25" t="s">
        <v>1093</v>
      </c>
      <c r="W383" s="27" t="s">
        <v>1662</v>
      </c>
      <c r="X383" s="28" t="s">
        <v>1663</v>
      </c>
      <c r="Y383" s="28"/>
      <c r="Z383" s="29" t="s">
        <v>37</v>
      </c>
    </row>
    <row r="384" spans="1:26" ht="30" customHeight="1" thickBot="1" x14ac:dyDescent="0.25">
      <c r="A384" s="17">
        <f t="shared" si="11"/>
        <v>383</v>
      </c>
      <c r="B384" s="18" t="s">
        <v>25</v>
      </c>
      <c r="C384" s="19">
        <v>3840703889319</v>
      </c>
      <c r="D384" s="19">
        <v>1103</v>
      </c>
      <c r="E384" s="20">
        <v>42502</v>
      </c>
      <c r="F384" s="20">
        <v>46154</v>
      </c>
      <c r="G384" s="21">
        <v>35796</v>
      </c>
      <c r="H384" s="22">
        <f t="shared" ca="1" si="10"/>
        <v>28</v>
      </c>
      <c r="I384" s="19" t="s">
        <v>26</v>
      </c>
      <c r="J384" s="18" t="s">
        <v>27</v>
      </c>
      <c r="K384" s="18"/>
      <c r="L384" s="23" t="s">
        <v>199</v>
      </c>
      <c r="M384" s="23" t="s">
        <v>1664</v>
      </c>
      <c r="N384" s="23" t="s">
        <v>1488</v>
      </c>
      <c r="O384" s="18">
        <v>1</v>
      </c>
      <c r="P384" s="24"/>
      <c r="Q384" s="25">
        <v>43678</v>
      </c>
      <c r="R384" s="13">
        <v>0</v>
      </c>
      <c r="S384" s="26" t="str">
        <f>VLOOKUP(C384,'[1]Bazaar Salary'!$B$6:$J$1193,9,0)</f>
        <v>06150010056565700017</v>
      </c>
      <c r="T384" s="25" t="s">
        <v>32</v>
      </c>
      <c r="U384" s="25" t="s">
        <v>264</v>
      </c>
      <c r="V384" s="25" t="s">
        <v>1093</v>
      </c>
      <c r="W384" s="27" t="s">
        <v>1665</v>
      </c>
      <c r="X384" s="28" t="s">
        <v>1666</v>
      </c>
      <c r="Y384" s="28"/>
      <c r="Z384" s="29" t="s">
        <v>37</v>
      </c>
    </row>
    <row r="385" spans="1:26" ht="30" customHeight="1" thickBot="1" x14ac:dyDescent="0.25">
      <c r="A385" s="17">
        <f t="shared" si="11"/>
        <v>384</v>
      </c>
      <c r="B385" s="18" t="s">
        <v>25</v>
      </c>
      <c r="C385" s="19">
        <v>3840332204241</v>
      </c>
      <c r="D385" s="19">
        <v>1647</v>
      </c>
      <c r="E385" s="21">
        <v>43231</v>
      </c>
      <c r="F385" s="21">
        <v>46884</v>
      </c>
      <c r="G385" s="21">
        <v>32143</v>
      </c>
      <c r="H385" s="22">
        <f t="shared" ca="1" si="10"/>
        <v>38</v>
      </c>
      <c r="I385" s="18" t="s">
        <v>26</v>
      </c>
      <c r="J385" s="18" t="s">
        <v>27</v>
      </c>
      <c r="K385" s="23"/>
      <c r="L385" s="24" t="s">
        <v>402</v>
      </c>
      <c r="M385" s="33" t="s">
        <v>263</v>
      </c>
      <c r="N385" s="23" t="s">
        <v>1488</v>
      </c>
      <c r="O385" s="18">
        <v>1</v>
      </c>
      <c r="P385" s="24"/>
      <c r="Q385" s="25">
        <v>45748</v>
      </c>
      <c r="R385" s="13">
        <v>0</v>
      </c>
      <c r="S385" s="26" t="str">
        <f>VLOOKUP(C385,'[1]Bazaar Salary'!$B$6:$J$1193,9,0)</f>
        <v>06150010132676910016</v>
      </c>
      <c r="T385" s="25" t="s">
        <v>32</v>
      </c>
      <c r="U385" s="25" t="s">
        <v>264</v>
      </c>
      <c r="V385" s="25" t="s">
        <v>1093</v>
      </c>
      <c r="W385" s="33" t="s">
        <v>1667</v>
      </c>
      <c r="X385" s="28" t="s">
        <v>1668</v>
      </c>
      <c r="Y385" s="28"/>
      <c r="Z385" s="29" t="s">
        <v>37</v>
      </c>
    </row>
    <row r="386" spans="1:26" ht="30" customHeight="1" thickBot="1" x14ac:dyDescent="0.25">
      <c r="A386" s="17">
        <f t="shared" si="11"/>
        <v>385</v>
      </c>
      <c r="B386" s="18" t="s">
        <v>25</v>
      </c>
      <c r="C386" s="19">
        <v>3840158466257</v>
      </c>
      <c r="D386" s="19">
        <v>467</v>
      </c>
      <c r="E386" s="20">
        <v>44309</v>
      </c>
      <c r="F386" s="20">
        <v>47961</v>
      </c>
      <c r="G386" s="21">
        <v>30965</v>
      </c>
      <c r="H386" s="22">
        <f t="shared" ref="H386:H449" ca="1" si="12">INT((TODAY()-G386)/365)</f>
        <v>41</v>
      </c>
      <c r="I386" s="19" t="s">
        <v>26</v>
      </c>
      <c r="J386" s="18" t="s">
        <v>27</v>
      </c>
      <c r="K386" s="18"/>
      <c r="L386" s="23" t="s">
        <v>1669</v>
      </c>
      <c r="M386" s="23" t="s">
        <v>632</v>
      </c>
      <c r="N386" s="23" t="s">
        <v>1499</v>
      </c>
      <c r="O386" s="18">
        <v>1</v>
      </c>
      <c r="P386" s="24"/>
      <c r="Q386" s="25">
        <v>42516</v>
      </c>
      <c r="R386" s="13">
        <v>0</v>
      </c>
      <c r="S386" s="26" t="str">
        <f>VLOOKUP(C386,'[1]Bazaar Salary'!$B$6:$J$1193,9,0)</f>
        <v>06150010045961110012</v>
      </c>
      <c r="T386" s="25" t="s">
        <v>32</v>
      </c>
      <c r="U386" s="25" t="s">
        <v>264</v>
      </c>
      <c r="V386" s="25" t="s">
        <v>1356</v>
      </c>
      <c r="W386" s="27" t="s">
        <v>1670</v>
      </c>
      <c r="X386" s="28" t="s">
        <v>1671</v>
      </c>
      <c r="Y386" s="28"/>
      <c r="Z386" s="29" t="s">
        <v>37</v>
      </c>
    </row>
    <row r="387" spans="1:26" ht="30" customHeight="1" thickBot="1" x14ac:dyDescent="0.25">
      <c r="A387" s="17">
        <f t="shared" si="11"/>
        <v>386</v>
      </c>
      <c r="B387" s="18" t="s">
        <v>25</v>
      </c>
      <c r="C387" s="19">
        <v>3840111614597</v>
      </c>
      <c r="D387" s="19">
        <v>460</v>
      </c>
      <c r="E387" s="20">
        <v>43885</v>
      </c>
      <c r="F387" s="20">
        <v>47538</v>
      </c>
      <c r="G387" s="21">
        <v>34736</v>
      </c>
      <c r="H387" s="22">
        <f t="shared" ca="1" si="12"/>
        <v>31</v>
      </c>
      <c r="I387" s="19" t="s">
        <v>26</v>
      </c>
      <c r="J387" s="18" t="s">
        <v>27</v>
      </c>
      <c r="K387" s="18"/>
      <c r="L387" s="23" t="s">
        <v>1672</v>
      </c>
      <c r="M387" s="23" t="s">
        <v>1673</v>
      </c>
      <c r="N387" s="23" t="s">
        <v>1499</v>
      </c>
      <c r="O387" s="18">
        <v>1</v>
      </c>
      <c r="P387" s="24"/>
      <c r="Q387" s="25">
        <v>42971</v>
      </c>
      <c r="R387" s="13">
        <v>0</v>
      </c>
      <c r="S387" s="26" t="str">
        <f>VLOOKUP(C387,'[1]Bazaar Salary'!$B$6:$J$1193,9,0)</f>
        <v>06150010046548410010</v>
      </c>
      <c r="T387" s="25" t="s">
        <v>32</v>
      </c>
      <c r="U387" s="25" t="s">
        <v>264</v>
      </c>
      <c r="V387" s="25" t="s">
        <v>1093</v>
      </c>
      <c r="W387" s="27" t="s">
        <v>1674</v>
      </c>
      <c r="X387" s="28" t="s">
        <v>1675</v>
      </c>
      <c r="Y387" s="28"/>
      <c r="Z387" s="29" t="s">
        <v>37</v>
      </c>
    </row>
    <row r="388" spans="1:26" ht="30" customHeight="1" thickBot="1" x14ac:dyDescent="0.25">
      <c r="A388" s="17">
        <f t="shared" ref="A388:A451" si="13">A387+1</f>
        <v>387</v>
      </c>
      <c r="B388" s="18" t="s">
        <v>25</v>
      </c>
      <c r="C388" s="19">
        <v>3840703469453</v>
      </c>
      <c r="D388" s="19">
        <v>1447</v>
      </c>
      <c r="E388" s="20">
        <v>44448</v>
      </c>
      <c r="F388" s="20">
        <v>48100</v>
      </c>
      <c r="G388" s="21">
        <v>37885</v>
      </c>
      <c r="H388" s="22">
        <f t="shared" ca="1" si="12"/>
        <v>22</v>
      </c>
      <c r="I388" s="19" t="s">
        <v>26</v>
      </c>
      <c r="J388" s="18" t="s">
        <v>27</v>
      </c>
      <c r="K388" s="18"/>
      <c r="L388" s="23" t="s">
        <v>1676</v>
      </c>
      <c r="M388" s="23" t="s">
        <v>1677</v>
      </c>
      <c r="N388" s="23" t="s">
        <v>1499</v>
      </c>
      <c r="O388" s="18">
        <v>1</v>
      </c>
      <c r="P388" s="24"/>
      <c r="Q388" s="25">
        <v>45748</v>
      </c>
      <c r="R388" s="13">
        <v>0</v>
      </c>
      <c r="S388" s="26" t="str">
        <f>VLOOKUP(C388,'[1]Bazaar Salary'!$B$6:$J$1193,9,0)</f>
        <v>06150010100714410010</v>
      </c>
      <c r="T388" s="25" t="s">
        <v>32</v>
      </c>
      <c r="U388" s="25" t="s">
        <v>264</v>
      </c>
      <c r="V388" s="25" t="s">
        <v>884</v>
      </c>
      <c r="W388" s="27" t="s">
        <v>1678</v>
      </c>
      <c r="X388" s="28" t="s">
        <v>1679</v>
      </c>
      <c r="Y388" s="28"/>
      <c r="Z388" s="29" t="s">
        <v>37</v>
      </c>
    </row>
    <row r="389" spans="1:26" ht="30" customHeight="1" thickBot="1" x14ac:dyDescent="0.25">
      <c r="A389" s="17">
        <f t="shared" si="13"/>
        <v>388</v>
      </c>
      <c r="B389" s="18" t="s">
        <v>25</v>
      </c>
      <c r="C389" s="19">
        <v>3840115327759</v>
      </c>
      <c r="D389" s="19">
        <v>470</v>
      </c>
      <c r="E389" s="20">
        <v>42769</v>
      </c>
      <c r="F389" s="20">
        <v>46421</v>
      </c>
      <c r="G389" s="21">
        <v>35885</v>
      </c>
      <c r="H389" s="22">
        <f t="shared" ca="1" si="12"/>
        <v>28</v>
      </c>
      <c r="I389" s="19" t="s">
        <v>26</v>
      </c>
      <c r="J389" s="18" t="s">
        <v>27</v>
      </c>
      <c r="K389" s="18"/>
      <c r="L389" s="23" t="s">
        <v>424</v>
      </c>
      <c r="M389" s="23" t="s">
        <v>1680</v>
      </c>
      <c r="N389" s="23" t="s">
        <v>1499</v>
      </c>
      <c r="O389" s="18">
        <v>1</v>
      </c>
      <c r="P389" s="24"/>
      <c r="Q389" s="25">
        <v>42970</v>
      </c>
      <c r="R389" s="13">
        <v>0</v>
      </c>
      <c r="S389" s="26" t="str">
        <f>VLOOKUP(C389,'[1]Bazaar Salary'!$B$6:$J$1193,9,0)</f>
        <v>06150010046550550010</v>
      </c>
      <c r="T389" s="25" t="s">
        <v>32</v>
      </c>
      <c r="U389" s="25" t="s">
        <v>264</v>
      </c>
      <c r="V389" s="25" t="s">
        <v>1356</v>
      </c>
      <c r="W389" s="27" t="s">
        <v>1681</v>
      </c>
      <c r="X389" s="28" t="s">
        <v>1682</v>
      </c>
      <c r="Y389" s="28"/>
      <c r="Z389" s="29" t="s">
        <v>37</v>
      </c>
    </row>
    <row r="390" spans="1:26" ht="30" customHeight="1" thickBot="1" x14ac:dyDescent="0.25">
      <c r="A390" s="17">
        <f t="shared" si="13"/>
        <v>389</v>
      </c>
      <c r="B390" s="18" t="s">
        <v>25</v>
      </c>
      <c r="C390" s="19">
        <v>3840180145179</v>
      </c>
      <c r="D390" s="19">
        <v>471</v>
      </c>
      <c r="E390" s="20">
        <v>42971</v>
      </c>
      <c r="F390" s="20">
        <v>46623</v>
      </c>
      <c r="G390" s="21">
        <v>31917</v>
      </c>
      <c r="H390" s="22">
        <f t="shared" ca="1" si="12"/>
        <v>39</v>
      </c>
      <c r="I390" s="19" t="s">
        <v>26</v>
      </c>
      <c r="J390" s="18" t="s">
        <v>27</v>
      </c>
      <c r="K390" s="18"/>
      <c r="L390" s="23" t="s">
        <v>1683</v>
      </c>
      <c r="M390" s="23" t="s">
        <v>1057</v>
      </c>
      <c r="N390" s="23" t="s">
        <v>1499</v>
      </c>
      <c r="O390" s="18">
        <v>1</v>
      </c>
      <c r="P390" s="24"/>
      <c r="Q390" s="25">
        <v>42970</v>
      </c>
      <c r="R390" s="13">
        <v>0</v>
      </c>
      <c r="S390" s="26" t="str">
        <f>VLOOKUP(C390,'[1]Bazaar Salary'!$B$6:$J$1193,9,0)</f>
        <v>06150010046634730010</v>
      </c>
      <c r="T390" s="25" t="s">
        <v>32</v>
      </c>
      <c r="U390" s="25" t="s">
        <v>264</v>
      </c>
      <c r="V390" s="25" t="s">
        <v>884</v>
      </c>
      <c r="W390" s="27" t="s">
        <v>1684</v>
      </c>
      <c r="X390" s="28" t="s">
        <v>1685</v>
      </c>
      <c r="Y390" s="28"/>
      <c r="Z390" s="29" t="s">
        <v>37</v>
      </c>
    </row>
    <row r="391" spans="1:26" ht="30" customHeight="1" thickBot="1" x14ac:dyDescent="0.25">
      <c r="A391" s="17">
        <f t="shared" si="13"/>
        <v>390</v>
      </c>
      <c r="B391" s="18" t="s">
        <v>25</v>
      </c>
      <c r="C391" s="19">
        <v>3840110247015</v>
      </c>
      <c r="D391" s="19">
        <v>468</v>
      </c>
      <c r="E391" s="20">
        <v>45062</v>
      </c>
      <c r="F391" s="20">
        <v>48715</v>
      </c>
      <c r="G391" s="21">
        <v>32867</v>
      </c>
      <c r="H391" s="22">
        <f t="shared" ca="1" si="12"/>
        <v>36</v>
      </c>
      <c r="I391" s="19" t="s">
        <v>26</v>
      </c>
      <c r="J391" s="18" t="s">
        <v>27</v>
      </c>
      <c r="K391" s="18"/>
      <c r="L391" s="23" t="s">
        <v>1686</v>
      </c>
      <c r="M391" s="23" t="s">
        <v>600</v>
      </c>
      <c r="N391" s="23" t="s">
        <v>1499</v>
      </c>
      <c r="O391" s="18">
        <v>1</v>
      </c>
      <c r="P391" s="24"/>
      <c r="Q391" s="25">
        <v>42516</v>
      </c>
      <c r="R391" s="13">
        <v>0</v>
      </c>
      <c r="S391" s="26" t="str">
        <f>VLOOKUP(C391,'[1]Bazaar Salary'!$B$6:$J$1193,9,0)</f>
        <v>06150010045921430016</v>
      </c>
      <c r="T391" s="25" t="s">
        <v>32</v>
      </c>
      <c r="U391" s="25" t="s">
        <v>264</v>
      </c>
      <c r="V391" s="25" t="s">
        <v>1356</v>
      </c>
      <c r="W391" s="27" t="s">
        <v>1687</v>
      </c>
      <c r="X391" s="28" t="s">
        <v>1688</v>
      </c>
      <c r="Y391" s="28"/>
      <c r="Z391" s="29" t="s">
        <v>37</v>
      </c>
    </row>
    <row r="392" spans="1:26" ht="30" customHeight="1" thickBot="1" x14ac:dyDescent="0.25">
      <c r="A392" s="17">
        <f t="shared" si="13"/>
        <v>391</v>
      </c>
      <c r="B392" s="18" t="s">
        <v>25</v>
      </c>
      <c r="C392" s="19">
        <v>3840171876235</v>
      </c>
      <c r="D392" s="19">
        <v>472</v>
      </c>
      <c r="E392" s="20">
        <v>43817</v>
      </c>
      <c r="F392" s="20" t="s">
        <v>196</v>
      </c>
      <c r="G392" s="21">
        <v>32707</v>
      </c>
      <c r="H392" s="22">
        <f t="shared" ca="1" si="12"/>
        <v>36</v>
      </c>
      <c r="I392" s="19" t="s">
        <v>26</v>
      </c>
      <c r="J392" s="18" t="s">
        <v>27</v>
      </c>
      <c r="K392" s="18" t="s">
        <v>197</v>
      </c>
      <c r="L392" s="23" t="s">
        <v>1689</v>
      </c>
      <c r="M392" s="23" t="s">
        <v>263</v>
      </c>
      <c r="N392" s="23" t="s">
        <v>1499</v>
      </c>
      <c r="O392" s="18">
        <v>1</v>
      </c>
      <c r="P392" s="24"/>
      <c r="Q392" s="25">
        <v>42970</v>
      </c>
      <c r="R392" s="13">
        <v>0</v>
      </c>
      <c r="S392" s="26" t="str">
        <f>VLOOKUP(C392,'[1]Bazaar Salary'!$B$6:$J$1193,9,0)</f>
        <v>06150010046548990016</v>
      </c>
      <c r="T392" s="25" t="s">
        <v>32</v>
      </c>
      <c r="U392" s="25" t="s">
        <v>264</v>
      </c>
      <c r="V392" s="25" t="s">
        <v>1356</v>
      </c>
      <c r="W392" s="27" t="s">
        <v>1690</v>
      </c>
      <c r="X392" s="28" t="s">
        <v>1691</v>
      </c>
      <c r="Y392" s="28"/>
      <c r="Z392" s="29" t="s">
        <v>37</v>
      </c>
    </row>
    <row r="393" spans="1:26" ht="30" customHeight="1" thickBot="1" x14ac:dyDescent="0.25">
      <c r="A393" s="17">
        <f t="shared" si="13"/>
        <v>392</v>
      </c>
      <c r="B393" s="18" t="s">
        <v>25</v>
      </c>
      <c r="C393" s="19">
        <v>3840150703355</v>
      </c>
      <c r="D393" s="19">
        <v>474</v>
      </c>
      <c r="E393" s="20">
        <v>42085</v>
      </c>
      <c r="F393" s="20">
        <v>45738</v>
      </c>
      <c r="G393" s="21">
        <v>34425</v>
      </c>
      <c r="H393" s="22">
        <f t="shared" ca="1" si="12"/>
        <v>32</v>
      </c>
      <c r="I393" s="19" t="s">
        <v>26</v>
      </c>
      <c r="J393" s="18" t="s">
        <v>27</v>
      </c>
      <c r="K393" s="18"/>
      <c r="L393" s="23" t="s">
        <v>1692</v>
      </c>
      <c r="M393" s="23" t="s">
        <v>1125</v>
      </c>
      <c r="N393" s="23" t="s">
        <v>1499</v>
      </c>
      <c r="O393" s="18">
        <v>1</v>
      </c>
      <c r="P393" s="24"/>
      <c r="Q393" s="25">
        <v>42516</v>
      </c>
      <c r="R393" s="13">
        <v>0</v>
      </c>
      <c r="S393" s="26" t="str">
        <f>VLOOKUP(C393,'[1]Bazaar Salary'!$B$6:$J$1193,9,0)</f>
        <v>06150010045939070016</v>
      </c>
      <c r="T393" s="25" t="s">
        <v>32</v>
      </c>
      <c r="U393" s="25" t="s">
        <v>264</v>
      </c>
      <c r="V393" s="25" t="s">
        <v>320</v>
      </c>
      <c r="W393" s="27" t="s">
        <v>1693</v>
      </c>
      <c r="X393" s="28" t="s">
        <v>1694</v>
      </c>
      <c r="Y393" s="28"/>
      <c r="Z393" s="29" t="s">
        <v>37</v>
      </c>
    </row>
    <row r="394" spans="1:26" ht="30" customHeight="1" thickBot="1" x14ac:dyDescent="0.25">
      <c r="A394" s="17">
        <f t="shared" si="13"/>
        <v>393</v>
      </c>
      <c r="B394" s="18" t="s">
        <v>25</v>
      </c>
      <c r="C394" s="19">
        <v>3840185402347</v>
      </c>
      <c r="D394" s="19">
        <v>187</v>
      </c>
      <c r="E394" s="20">
        <v>44664</v>
      </c>
      <c r="F394" s="20">
        <v>48317</v>
      </c>
      <c r="G394" s="21">
        <v>32234</v>
      </c>
      <c r="H394" s="22">
        <f t="shared" ca="1" si="12"/>
        <v>38</v>
      </c>
      <c r="I394" s="19" t="s">
        <v>26</v>
      </c>
      <c r="J394" s="18" t="s">
        <v>27</v>
      </c>
      <c r="K394" s="18"/>
      <c r="L394" s="23" t="s">
        <v>1695</v>
      </c>
      <c r="M394" s="23" t="s">
        <v>1696</v>
      </c>
      <c r="N394" s="23" t="s">
        <v>1499</v>
      </c>
      <c r="O394" s="18">
        <v>1</v>
      </c>
      <c r="P394" s="24"/>
      <c r="Q394" s="25">
        <v>42516</v>
      </c>
      <c r="R394" s="13">
        <v>0</v>
      </c>
      <c r="S394" s="26" t="str">
        <f>VLOOKUP(C394,'[1]Bazaar Salary'!$B$6:$J$1193,9,0)</f>
        <v>06150010045924700010</v>
      </c>
      <c r="T394" s="25" t="s">
        <v>32</v>
      </c>
      <c r="U394" s="25" t="s">
        <v>264</v>
      </c>
      <c r="V394" s="25" t="s">
        <v>1356</v>
      </c>
      <c r="W394" s="27" t="s">
        <v>1697</v>
      </c>
      <c r="X394" s="28" t="s">
        <v>1698</v>
      </c>
      <c r="Y394" s="28"/>
      <c r="Z394" s="29" t="s">
        <v>37</v>
      </c>
    </row>
    <row r="395" spans="1:26" ht="30" customHeight="1" thickBot="1" x14ac:dyDescent="0.25">
      <c r="A395" s="17">
        <f t="shared" si="13"/>
        <v>394</v>
      </c>
      <c r="B395" s="18" t="s">
        <v>25</v>
      </c>
      <c r="C395" s="19">
        <v>3840178873833</v>
      </c>
      <c r="D395" s="19">
        <v>477</v>
      </c>
      <c r="E395" s="20">
        <v>44811</v>
      </c>
      <c r="F395" s="20">
        <v>48464</v>
      </c>
      <c r="G395" s="21">
        <v>33745</v>
      </c>
      <c r="H395" s="22">
        <f t="shared" ca="1" si="12"/>
        <v>34</v>
      </c>
      <c r="I395" s="19" t="s">
        <v>26</v>
      </c>
      <c r="J395" s="18" t="s">
        <v>27</v>
      </c>
      <c r="K395" s="18"/>
      <c r="L395" s="23" t="s">
        <v>1699</v>
      </c>
      <c r="M395" s="23" t="s">
        <v>1700</v>
      </c>
      <c r="N395" s="23" t="s">
        <v>1499</v>
      </c>
      <c r="O395" s="18">
        <v>1</v>
      </c>
      <c r="P395" s="24"/>
      <c r="Q395" s="25">
        <v>42970</v>
      </c>
      <c r="R395" s="13">
        <v>0</v>
      </c>
      <c r="S395" s="26" t="str">
        <f>VLOOKUP(C395,'[1]Bazaar Salary'!$B$6:$J$1193,9,0)</f>
        <v>06150010046546200016</v>
      </c>
      <c r="T395" s="25" t="s">
        <v>32</v>
      </c>
      <c r="U395" s="25" t="s">
        <v>264</v>
      </c>
      <c r="V395" s="25" t="s">
        <v>1701</v>
      </c>
      <c r="W395" s="27" t="s">
        <v>1702</v>
      </c>
      <c r="X395" s="28" t="s">
        <v>1703</v>
      </c>
      <c r="Y395" s="28"/>
      <c r="Z395" s="29" t="s">
        <v>37</v>
      </c>
    </row>
    <row r="396" spans="1:26" ht="30" customHeight="1" thickBot="1" x14ac:dyDescent="0.25">
      <c r="A396" s="17">
        <f t="shared" si="13"/>
        <v>395</v>
      </c>
      <c r="B396" s="18" t="s">
        <v>25</v>
      </c>
      <c r="C396" s="19">
        <v>3840189529673</v>
      </c>
      <c r="D396" s="19">
        <v>1105</v>
      </c>
      <c r="E396" s="20">
        <v>42066</v>
      </c>
      <c r="F396" s="20">
        <v>45719</v>
      </c>
      <c r="G396" s="21">
        <v>35220</v>
      </c>
      <c r="H396" s="22">
        <f t="shared" ca="1" si="12"/>
        <v>30</v>
      </c>
      <c r="I396" s="19" t="s">
        <v>26</v>
      </c>
      <c r="J396" s="18" t="s">
        <v>27</v>
      </c>
      <c r="K396" s="18"/>
      <c r="L396" s="23" t="s">
        <v>1704</v>
      </c>
      <c r="M396" s="23" t="s">
        <v>1705</v>
      </c>
      <c r="N396" s="23" t="s">
        <v>1551</v>
      </c>
      <c r="O396" s="18">
        <v>1</v>
      </c>
      <c r="P396" s="24"/>
      <c r="Q396" s="25">
        <v>43678</v>
      </c>
      <c r="R396" s="13">
        <v>0</v>
      </c>
      <c r="S396" s="26" t="str">
        <f>VLOOKUP(C396,'[1]Bazaar Salary'!$B$6:$J$1193,9,0)</f>
        <v>00600010053697520012</v>
      </c>
      <c r="T396" s="25" t="s">
        <v>32</v>
      </c>
      <c r="U396" s="25" t="s">
        <v>276</v>
      </c>
      <c r="V396" s="25" t="s">
        <v>1356</v>
      </c>
      <c r="W396" s="27" t="s">
        <v>1706</v>
      </c>
      <c r="X396" s="28" t="s">
        <v>1707</v>
      </c>
      <c r="Y396" s="28"/>
      <c r="Z396" s="29" t="s">
        <v>37</v>
      </c>
    </row>
    <row r="397" spans="1:26" ht="30" customHeight="1" thickBot="1" x14ac:dyDescent="0.25">
      <c r="A397" s="17">
        <f t="shared" si="13"/>
        <v>396</v>
      </c>
      <c r="B397" s="18" t="s">
        <v>25</v>
      </c>
      <c r="C397" s="19">
        <v>3720115616749</v>
      </c>
      <c r="D397" s="19">
        <v>1540</v>
      </c>
      <c r="E397" s="20">
        <v>45411</v>
      </c>
      <c r="F397" s="20">
        <v>49063</v>
      </c>
      <c r="G397" s="21">
        <v>30339</v>
      </c>
      <c r="H397" s="22">
        <f t="shared" ca="1" si="12"/>
        <v>43</v>
      </c>
      <c r="I397" s="19" t="s">
        <v>26</v>
      </c>
      <c r="J397" s="18" t="s">
        <v>27</v>
      </c>
      <c r="K397" s="18"/>
      <c r="L397" s="23" t="s">
        <v>1708</v>
      </c>
      <c r="M397" s="23" t="s">
        <v>1709</v>
      </c>
      <c r="N397" s="23" t="s">
        <v>1488</v>
      </c>
      <c r="O397" s="18">
        <v>1</v>
      </c>
      <c r="P397" s="24"/>
      <c r="Q397" s="25">
        <v>45748</v>
      </c>
      <c r="R397" s="13">
        <v>0</v>
      </c>
      <c r="S397" s="26" t="str">
        <f>VLOOKUP(C397,'[1]Bazaar Salary'!$B$6:$J$1193,9,0)</f>
        <v>51340020042444580013</v>
      </c>
      <c r="T397" s="25" t="s">
        <v>32</v>
      </c>
      <c r="U397" s="25" t="s">
        <v>276</v>
      </c>
      <c r="V397" s="25" t="s">
        <v>1093</v>
      </c>
      <c r="W397" s="27" t="s">
        <v>1710</v>
      </c>
      <c r="X397" s="28" t="s">
        <v>1711</v>
      </c>
      <c r="Y397" s="28"/>
      <c r="Z397" s="29" t="s">
        <v>37</v>
      </c>
    </row>
    <row r="398" spans="1:26" ht="30" customHeight="1" thickBot="1" x14ac:dyDescent="0.25">
      <c r="A398" s="17">
        <f t="shared" si="13"/>
        <v>397</v>
      </c>
      <c r="B398" s="18" t="s">
        <v>25</v>
      </c>
      <c r="C398" s="19">
        <v>3720198325053</v>
      </c>
      <c r="D398" s="19">
        <v>1630</v>
      </c>
      <c r="E398" s="20">
        <v>43493</v>
      </c>
      <c r="F398" s="20">
        <v>47146</v>
      </c>
      <c r="G398" s="21">
        <v>36879</v>
      </c>
      <c r="H398" s="22">
        <f t="shared" ca="1" si="12"/>
        <v>25</v>
      </c>
      <c r="I398" s="19" t="s">
        <v>26</v>
      </c>
      <c r="J398" s="18" t="s">
        <v>27</v>
      </c>
      <c r="K398" s="18"/>
      <c r="L398" s="23" t="s">
        <v>1065</v>
      </c>
      <c r="M398" s="23" t="s">
        <v>1712</v>
      </c>
      <c r="N398" s="23" t="s">
        <v>1488</v>
      </c>
      <c r="O398" s="18">
        <v>1</v>
      </c>
      <c r="P398" s="24"/>
      <c r="Q398" s="25">
        <v>45748</v>
      </c>
      <c r="R398" s="13">
        <v>0</v>
      </c>
      <c r="S398" s="26" t="str">
        <f>VLOOKUP(C398,'[1]Bazaar Salary'!$B$6:$J$1193,9,0)</f>
        <v>51340020132158460027</v>
      </c>
      <c r="T398" s="25" t="s">
        <v>32</v>
      </c>
      <c r="U398" s="25" t="s">
        <v>276</v>
      </c>
      <c r="V398" s="25" t="s">
        <v>1093</v>
      </c>
      <c r="W398" s="27" t="s">
        <v>1713</v>
      </c>
      <c r="X398" s="28" t="s">
        <v>1714</v>
      </c>
      <c r="Y398" s="28"/>
      <c r="Z398" s="29" t="s">
        <v>37</v>
      </c>
    </row>
    <row r="399" spans="1:26" ht="30" customHeight="1" thickBot="1" x14ac:dyDescent="0.25">
      <c r="A399" s="17">
        <f t="shared" si="13"/>
        <v>398</v>
      </c>
      <c r="B399" s="18" t="s">
        <v>25</v>
      </c>
      <c r="C399" s="19">
        <v>3720164447663</v>
      </c>
      <c r="D399" s="19">
        <v>1286</v>
      </c>
      <c r="E399" s="20">
        <v>43230</v>
      </c>
      <c r="F399" s="20">
        <v>46883</v>
      </c>
      <c r="G399" s="21">
        <v>35689</v>
      </c>
      <c r="H399" s="22">
        <f t="shared" ca="1" si="12"/>
        <v>28</v>
      </c>
      <c r="I399" s="18" t="s">
        <v>912</v>
      </c>
      <c r="J399" s="18" t="s">
        <v>27</v>
      </c>
      <c r="K399" s="18"/>
      <c r="L399" s="23" t="s">
        <v>1715</v>
      </c>
      <c r="M399" s="23" t="s">
        <v>1570</v>
      </c>
      <c r="N399" s="23" t="s">
        <v>1488</v>
      </c>
      <c r="O399" s="18">
        <v>1</v>
      </c>
      <c r="P399" s="24"/>
      <c r="Q399" s="25">
        <v>45748</v>
      </c>
      <c r="R399" s="13">
        <v>0</v>
      </c>
      <c r="S399" s="26" t="str">
        <f>VLOOKUP(C399,'[1]Bazaar Salary'!$B$6:$J$1193,9,0)</f>
        <v>00600010081050100018</v>
      </c>
      <c r="T399" s="25" t="s">
        <v>32</v>
      </c>
      <c r="U399" s="25" t="s">
        <v>276</v>
      </c>
      <c r="V399" s="25" t="s">
        <v>1093</v>
      </c>
      <c r="W399" s="27" t="s">
        <v>1716</v>
      </c>
      <c r="X399" s="28" t="s">
        <v>1707</v>
      </c>
      <c r="Y399" s="28"/>
      <c r="Z399" s="29" t="s">
        <v>37</v>
      </c>
    </row>
    <row r="400" spans="1:26" ht="30" customHeight="1" thickBot="1" x14ac:dyDescent="0.25">
      <c r="A400" s="17">
        <f t="shared" si="13"/>
        <v>399</v>
      </c>
      <c r="B400" s="18" t="s">
        <v>25</v>
      </c>
      <c r="C400" s="19">
        <v>3720298671365</v>
      </c>
      <c r="D400" s="19">
        <v>1789</v>
      </c>
      <c r="E400" s="20">
        <v>45572</v>
      </c>
      <c r="F400" s="20">
        <v>49224</v>
      </c>
      <c r="G400" s="21">
        <v>38961</v>
      </c>
      <c r="H400" s="22">
        <f t="shared" ca="1" si="12"/>
        <v>19</v>
      </c>
      <c r="I400" s="19" t="s">
        <v>26</v>
      </c>
      <c r="J400" s="18" t="s">
        <v>27</v>
      </c>
      <c r="K400" s="18"/>
      <c r="L400" s="23" t="s">
        <v>732</v>
      </c>
      <c r="M400" s="23" t="s">
        <v>1717</v>
      </c>
      <c r="N400" s="23" t="s">
        <v>1499</v>
      </c>
      <c r="O400" s="18">
        <v>1</v>
      </c>
      <c r="P400" s="24"/>
      <c r="Q400" s="25">
        <v>45748</v>
      </c>
      <c r="R400" s="13">
        <v>0</v>
      </c>
      <c r="S400" s="26" t="str">
        <f>VLOOKUP(C400,'[1]Bazaar Salary'!$B$6:$J$1193,9,0)</f>
        <v>51340020140686400010</v>
      </c>
      <c r="T400" s="25" t="s">
        <v>32</v>
      </c>
      <c r="U400" s="25" t="s">
        <v>276</v>
      </c>
      <c r="V400" s="25" t="s">
        <v>1093</v>
      </c>
      <c r="W400" s="27" t="s">
        <v>1718</v>
      </c>
      <c r="X400" s="28" t="s">
        <v>1719</v>
      </c>
      <c r="Y400" s="28"/>
      <c r="Z400" s="29" t="s">
        <v>37</v>
      </c>
    </row>
    <row r="401" spans="1:26" ht="30" customHeight="1" thickBot="1" x14ac:dyDescent="0.25">
      <c r="A401" s="17">
        <f t="shared" si="13"/>
        <v>400</v>
      </c>
      <c r="B401" s="18" t="s">
        <v>25</v>
      </c>
      <c r="C401" s="19">
        <v>3720174234854</v>
      </c>
      <c r="D401" s="19">
        <v>1756</v>
      </c>
      <c r="E401" s="20">
        <v>42425</v>
      </c>
      <c r="F401" s="20">
        <v>46078</v>
      </c>
      <c r="G401" s="21">
        <v>35573</v>
      </c>
      <c r="H401" s="22">
        <f t="shared" ca="1" si="12"/>
        <v>29</v>
      </c>
      <c r="I401" s="19" t="s">
        <v>26</v>
      </c>
      <c r="J401" s="18" t="s">
        <v>66</v>
      </c>
      <c r="K401" s="18"/>
      <c r="L401" s="23" t="s">
        <v>1720</v>
      </c>
      <c r="M401" s="23" t="s">
        <v>1721</v>
      </c>
      <c r="N401" s="23" t="s">
        <v>1499</v>
      </c>
      <c r="O401" s="18">
        <v>1</v>
      </c>
      <c r="P401" s="24"/>
      <c r="Q401" s="25">
        <v>45748</v>
      </c>
      <c r="R401" s="13">
        <v>0</v>
      </c>
      <c r="S401" s="26" t="str">
        <f>VLOOKUP(C401,'[1]Bazaar Salary'!$B$6:$J$1193,9,0)</f>
        <v>00600010096917820018</v>
      </c>
      <c r="T401" s="25" t="s">
        <v>32</v>
      </c>
      <c r="U401" s="25" t="s">
        <v>276</v>
      </c>
      <c r="V401" s="25" t="s">
        <v>884</v>
      </c>
      <c r="W401" s="27" t="s">
        <v>1722</v>
      </c>
      <c r="X401" s="28" t="s">
        <v>1723</v>
      </c>
      <c r="Y401" s="28"/>
      <c r="Z401" s="29" t="s">
        <v>37</v>
      </c>
    </row>
    <row r="402" spans="1:26" ht="30" customHeight="1" thickBot="1" x14ac:dyDescent="0.25">
      <c r="A402" s="17">
        <f t="shared" si="13"/>
        <v>401</v>
      </c>
      <c r="B402" s="18" t="s">
        <v>25</v>
      </c>
      <c r="C402" s="19">
        <v>3110112549121</v>
      </c>
      <c r="D402" s="19">
        <v>1754</v>
      </c>
      <c r="E402" s="20">
        <v>42089</v>
      </c>
      <c r="F402" s="20">
        <v>45742</v>
      </c>
      <c r="G402" s="21">
        <v>29952</v>
      </c>
      <c r="H402" s="22">
        <f t="shared" ca="1" si="12"/>
        <v>44</v>
      </c>
      <c r="I402" s="19" t="s">
        <v>26</v>
      </c>
      <c r="J402" s="18" t="s">
        <v>27</v>
      </c>
      <c r="K402" s="18"/>
      <c r="L402" s="23" t="s">
        <v>1724</v>
      </c>
      <c r="M402" s="23" t="s">
        <v>1725</v>
      </c>
      <c r="N402" s="23" t="s">
        <v>1499</v>
      </c>
      <c r="O402" s="18">
        <v>1</v>
      </c>
      <c r="P402" s="24"/>
      <c r="Q402" s="25">
        <v>45748</v>
      </c>
      <c r="R402" s="13">
        <v>0</v>
      </c>
      <c r="S402" s="26" t="str">
        <f>VLOOKUP(C402,'[1]Bazaar Salary'!$B$6:$J$1193,9,0)</f>
        <v>51340020138254000019</v>
      </c>
      <c r="T402" s="25" t="s">
        <v>32</v>
      </c>
      <c r="U402" s="25" t="s">
        <v>276</v>
      </c>
      <c r="V402" s="25" t="s">
        <v>1093</v>
      </c>
      <c r="W402" s="27" t="s">
        <v>1726</v>
      </c>
      <c r="X402" s="28" t="s">
        <v>1727</v>
      </c>
      <c r="Y402" s="28"/>
      <c r="Z402" s="29" t="s">
        <v>37</v>
      </c>
    </row>
    <row r="403" spans="1:26" ht="30" customHeight="1" thickBot="1" x14ac:dyDescent="0.25">
      <c r="A403" s="17">
        <f t="shared" si="13"/>
        <v>402</v>
      </c>
      <c r="B403" s="18" t="s">
        <v>25</v>
      </c>
      <c r="C403" s="19">
        <v>3720117880875</v>
      </c>
      <c r="D403" s="19">
        <v>1104</v>
      </c>
      <c r="E403" s="20">
        <v>43066</v>
      </c>
      <c r="F403" s="20">
        <v>46718</v>
      </c>
      <c r="G403" s="21">
        <v>28888</v>
      </c>
      <c r="H403" s="22">
        <f t="shared" ca="1" si="12"/>
        <v>47</v>
      </c>
      <c r="I403" s="19" t="s">
        <v>26</v>
      </c>
      <c r="J403" s="18" t="s">
        <v>27</v>
      </c>
      <c r="K403" s="18"/>
      <c r="L403" s="23" t="s">
        <v>1728</v>
      </c>
      <c r="M403" s="23" t="s">
        <v>1214</v>
      </c>
      <c r="N403" s="23" t="s">
        <v>1499</v>
      </c>
      <c r="O403" s="18">
        <v>1</v>
      </c>
      <c r="P403" s="24"/>
      <c r="Q403" s="25">
        <v>43678</v>
      </c>
      <c r="R403" s="13">
        <v>0</v>
      </c>
      <c r="S403" s="26" t="str">
        <f>VLOOKUP(C403,'[1]Bazaar Salary'!$B$6:$J$1193,9,0)</f>
        <v>08160010042489880023</v>
      </c>
      <c r="T403" s="25" t="s">
        <v>32</v>
      </c>
      <c r="U403" s="25" t="s">
        <v>276</v>
      </c>
      <c r="V403" s="25" t="s">
        <v>1356</v>
      </c>
      <c r="W403" s="27" t="s">
        <v>1729</v>
      </c>
      <c r="X403" s="28" t="s">
        <v>1730</v>
      </c>
      <c r="Y403" s="28"/>
      <c r="Z403" s="29" t="s">
        <v>37</v>
      </c>
    </row>
    <row r="404" spans="1:26" ht="30" customHeight="1" thickBot="1" x14ac:dyDescent="0.25">
      <c r="A404" s="17">
        <f t="shared" si="13"/>
        <v>403</v>
      </c>
      <c r="B404" s="18" t="s">
        <v>25</v>
      </c>
      <c r="C404" s="19">
        <v>3320277307911</v>
      </c>
      <c r="D404" s="19">
        <v>1713</v>
      </c>
      <c r="E404" s="20">
        <v>44979</v>
      </c>
      <c r="F404" s="20">
        <v>48632</v>
      </c>
      <c r="G404" s="21">
        <v>38350</v>
      </c>
      <c r="H404" s="22">
        <f t="shared" ca="1" si="12"/>
        <v>21</v>
      </c>
      <c r="I404" s="19" t="s">
        <v>26</v>
      </c>
      <c r="J404" s="18" t="s">
        <v>27</v>
      </c>
      <c r="K404" s="18"/>
      <c r="L404" s="23" t="s">
        <v>1731</v>
      </c>
      <c r="M404" s="23" t="s">
        <v>68</v>
      </c>
      <c r="N404" s="23" t="s">
        <v>1499</v>
      </c>
      <c r="O404" s="18">
        <v>1</v>
      </c>
      <c r="P404" s="24"/>
      <c r="Q404" s="25">
        <v>45748</v>
      </c>
      <c r="R404" s="13">
        <v>0</v>
      </c>
      <c r="S404" s="26" t="str">
        <f>VLOOKUP(C404,'[1]Bazaar Salary'!$B$6:$J$1193,9,0)</f>
        <v>00600010136967400014</v>
      </c>
      <c r="T404" s="25" t="s">
        <v>32</v>
      </c>
      <c r="U404" s="25" t="s">
        <v>276</v>
      </c>
      <c r="V404" s="25" t="s">
        <v>884</v>
      </c>
      <c r="W404" s="27" t="s">
        <v>1732</v>
      </c>
      <c r="X404" s="28" t="s">
        <v>1733</v>
      </c>
      <c r="Y404" s="28"/>
      <c r="Z404" s="29" t="s">
        <v>37</v>
      </c>
    </row>
    <row r="405" spans="1:26" ht="30" customHeight="1" thickBot="1" x14ac:dyDescent="0.25">
      <c r="A405" s="17">
        <f t="shared" si="13"/>
        <v>404</v>
      </c>
      <c r="B405" s="18" t="s">
        <v>25</v>
      </c>
      <c r="C405" s="19">
        <v>3520125091273</v>
      </c>
      <c r="D405" s="19">
        <v>357</v>
      </c>
      <c r="E405" s="20">
        <v>41757</v>
      </c>
      <c r="F405" s="20" t="s">
        <v>1734</v>
      </c>
      <c r="G405" s="21">
        <v>34227</v>
      </c>
      <c r="H405" s="22">
        <f t="shared" ca="1" si="12"/>
        <v>32</v>
      </c>
      <c r="I405" s="18" t="s">
        <v>912</v>
      </c>
      <c r="J405" s="18" t="s">
        <v>27</v>
      </c>
      <c r="K405" s="18"/>
      <c r="L405" s="23" t="s">
        <v>1735</v>
      </c>
      <c r="M405" s="23" t="s">
        <v>1736</v>
      </c>
      <c r="N405" s="23" t="s">
        <v>1551</v>
      </c>
      <c r="O405" s="18">
        <v>1</v>
      </c>
      <c r="P405" s="24"/>
      <c r="Q405" s="25">
        <v>42146</v>
      </c>
      <c r="R405" s="13">
        <v>0</v>
      </c>
      <c r="S405" s="26" t="str">
        <f>VLOOKUP(C405,'[1]Bazaar Salary'!$B$6:$J$1193,9,0)</f>
        <v>07040010045921700017</v>
      </c>
      <c r="T405" s="25" t="s">
        <v>32</v>
      </c>
      <c r="U405" s="25" t="s">
        <v>281</v>
      </c>
      <c r="V405" s="25" t="s">
        <v>1356</v>
      </c>
      <c r="W405" s="27" t="s">
        <v>1737</v>
      </c>
      <c r="X405" s="28" t="s">
        <v>1738</v>
      </c>
      <c r="Y405" s="28"/>
      <c r="Z405" s="29" t="s">
        <v>37</v>
      </c>
    </row>
    <row r="406" spans="1:26" ht="30" customHeight="1" thickBot="1" x14ac:dyDescent="0.25">
      <c r="A406" s="17">
        <f t="shared" si="13"/>
        <v>405</v>
      </c>
      <c r="B406" s="18" t="s">
        <v>25</v>
      </c>
      <c r="C406" s="19">
        <v>3520230167789</v>
      </c>
      <c r="D406" s="19">
        <v>1579</v>
      </c>
      <c r="E406" s="20">
        <v>45326</v>
      </c>
      <c r="F406" s="20">
        <v>48979</v>
      </c>
      <c r="G406" s="21">
        <v>39123</v>
      </c>
      <c r="H406" s="22">
        <f t="shared" ca="1" si="12"/>
        <v>19</v>
      </c>
      <c r="I406" s="18" t="s">
        <v>912</v>
      </c>
      <c r="J406" s="18" t="s">
        <v>27</v>
      </c>
      <c r="K406" s="18"/>
      <c r="L406" s="23" t="s">
        <v>1739</v>
      </c>
      <c r="M406" s="23" t="s">
        <v>1740</v>
      </c>
      <c r="N406" s="23" t="s">
        <v>1488</v>
      </c>
      <c r="O406" s="18">
        <v>1</v>
      </c>
      <c r="P406" s="24"/>
      <c r="Q406" s="25">
        <v>45748</v>
      </c>
      <c r="R406" s="13">
        <v>0</v>
      </c>
      <c r="S406" s="26" t="str">
        <f>VLOOKUP(C406,'[1]Bazaar Salary'!$B$6:$J$1193,9,0)</f>
        <v>07040010125887970019</v>
      </c>
      <c r="T406" s="25" t="s">
        <v>32</v>
      </c>
      <c r="U406" s="25" t="s">
        <v>281</v>
      </c>
      <c r="V406" s="25" t="s">
        <v>1093</v>
      </c>
      <c r="W406" s="27" t="s">
        <v>1741</v>
      </c>
      <c r="X406" s="28" t="s">
        <v>1742</v>
      </c>
      <c r="Y406" s="28"/>
      <c r="Z406" s="29" t="s">
        <v>37</v>
      </c>
    </row>
    <row r="407" spans="1:26" ht="30" customHeight="1" thickBot="1" x14ac:dyDescent="0.25">
      <c r="A407" s="17">
        <f t="shared" si="13"/>
        <v>406</v>
      </c>
      <c r="B407" s="18" t="s">
        <v>25</v>
      </c>
      <c r="C407" s="19">
        <v>3520253865099</v>
      </c>
      <c r="D407" s="19">
        <v>529</v>
      </c>
      <c r="E407" s="20">
        <v>42017</v>
      </c>
      <c r="F407" s="20">
        <v>45670</v>
      </c>
      <c r="G407" s="21">
        <v>31049</v>
      </c>
      <c r="H407" s="22">
        <f t="shared" ca="1" si="12"/>
        <v>41</v>
      </c>
      <c r="I407" s="18" t="s">
        <v>912</v>
      </c>
      <c r="J407" s="18" t="s">
        <v>27</v>
      </c>
      <c r="K407" s="18"/>
      <c r="L407" s="23" t="s">
        <v>1743</v>
      </c>
      <c r="M407" s="23" t="s">
        <v>1744</v>
      </c>
      <c r="N407" s="23" t="s">
        <v>1488</v>
      </c>
      <c r="O407" s="18">
        <v>1</v>
      </c>
      <c r="P407" s="24"/>
      <c r="Q407" s="25">
        <v>42339</v>
      </c>
      <c r="R407" s="13">
        <v>0</v>
      </c>
      <c r="S407" s="26" t="str">
        <f>VLOOKUP(C407,'[1]Bazaar Salary'!$B$6:$J$1193,9,0)</f>
        <v>07040010045941960013</v>
      </c>
      <c r="T407" s="25" t="s">
        <v>32</v>
      </c>
      <c r="U407" s="25" t="s">
        <v>281</v>
      </c>
      <c r="V407" s="25" t="s">
        <v>1093</v>
      </c>
      <c r="W407" s="27" t="s">
        <v>1745</v>
      </c>
      <c r="X407" s="28" t="s">
        <v>1746</v>
      </c>
      <c r="Y407" s="28"/>
      <c r="Z407" s="29" t="s">
        <v>37</v>
      </c>
    </row>
    <row r="408" spans="1:26" ht="50" customHeight="1" thickBot="1" x14ac:dyDescent="0.25">
      <c r="A408" s="17">
        <f t="shared" si="13"/>
        <v>407</v>
      </c>
      <c r="B408" s="18" t="s">
        <v>25</v>
      </c>
      <c r="C408" s="19">
        <v>3520116434511</v>
      </c>
      <c r="D408" s="19">
        <v>1703</v>
      </c>
      <c r="E408" s="20">
        <v>44601</v>
      </c>
      <c r="F408" s="20">
        <v>48253</v>
      </c>
      <c r="G408" s="21">
        <v>33972</v>
      </c>
      <c r="H408" s="22">
        <f t="shared" ca="1" si="12"/>
        <v>33</v>
      </c>
      <c r="I408" s="19" t="s">
        <v>912</v>
      </c>
      <c r="J408" s="18" t="s">
        <v>27</v>
      </c>
      <c r="K408" s="18"/>
      <c r="L408" s="23" t="s">
        <v>1747</v>
      </c>
      <c r="M408" s="23" t="s">
        <v>1748</v>
      </c>
      <c r="N408" s="23" t="s">
        <v>1488</v>
      </c>
      <c r="O408" s="18">
        <v>1</v>
      </c>
      <c r="P408" s="24"/>
      <c r="Q408" s="25">
        <v>45748</v>
      </c>
      <c r="R408" s="13">
        <v>0</v>
      </c>
      <c r="S408" s="26" t="str">
        <f>VLOOKUP(C408,'[1]Bazaar Salary'!$B$6:$J$1193,9,0)</f>
        <v>51990020136425220015</v>
      </c>
      <c r="T408" s="25" t="s">
        <v>32</v>
      </c>
      <c r="U408" s="25" t="s">
        <v>281</v>
      </c>
      <c r="V408" s="25" t="s">
        <v>1093</v>
      </c>
      <c r="W408" s="27" t="s">
        <v>1749</v>
      </c>
      <c r="X408" s="28" t="s">
        <v>1750</v>
      </c>
      <c r="Y408" s="28"/>
      <c r="Z408" s="29" t="s">
        <v>37</v>
      </c>
    </row>
    <row r="409" spans="1:26" ht="30" customHeight="1" thickBot="1" x14ac:dyDescent="0.25">
      <c r="A409" s="17">
        <f t="shared" si="13"/>
        <v>408</v>
      </c>
      <c r="B409" s="18" t="s">
        <v>25</v>
      </c>
      <c r="C409" s="19">
        <v>3520122568541</v>
      </c>
      <c r="D409" s="19">
        <v>1694</v>
      </c>
      <c r="E409" s="20">
        <v>42071</v>
      </c>
      <c r="F409" s="20">
        <v>45724</v>
      </c>
      <c r="G409" s="21">
        <v>30407</v>
      </c>
      <c r="H409" s="22">
        <f t="shared" ca="1" si="12"/>
        <v>43</v>
      </c>
      <c r="I409" s="19" t="s">
        <v>26</v>
      </c>
      <c r="J409" s="18" t="s">
        <v>27</v>
      </c>
      <c r="K409" s="18"/>
      <c r="L409" s="23" t="s">
        <v>1751</v>
      </c>
      <c r="M409" s="23" t="s">
        <v>1752</v>
      </c>
      <c r="N409" s="23" t="s">
        <v>1488</v>
      </c>
      <c r="O409" s="18">
        <v>1</v>
      </c>
      <c r="P409" s="24"/>
      <c r="Q409" s="25">
        <v>45748</v>
      </c>
      <c r="R409" s="13">
        <v>0</v>
      </c>
      <c r="S409" s="26" t="str">
        <f>VLOOKUP(C409,'[1]Bazaar Salary'!$B$6:$J$1193,9,0)</f>
        <v>06750010136042870010</v>
      </c>
      <c r="T409" s="25" t="s">
        <v>32</v>
      </c>
      <c r="U409" s="25" t="s">
        <v>281</v>
      </c>
      <c r="V409" s="25" t="s">
        <v>1093</v>
      </c>
      <c r="W409" s="27" t="s">
        <v>1753</v>
      </c>
      <c r="X409" s="28" t="s">
        <v>1754</v>
      </c>
      <c r="Y409" s="28"/>
      <c r="Z409" s="29" t="s">
        <v>37</v>
      </c>
    </row>
    <row r="410" spans="1:26" ht="30" customHeight="1" thickBot="1" x14ac:dyDescent="0.25">
      <c r="A410" s="17">
        <f t="shared" si="13"/>
        <v>409</v>
      </c>
      <c r="B410" s="18" t="s">
        <v>25</v>
      </c>
      <c r="C410" s="19">
        <v>3520269686359</v>
      </c>
      <c r="D410" s="19">
        <v>1522</v>
      </c>
      <c r="E410" s="20">
        <v>43704</v>
      </c>
      <c r="F410" s="20">
        <v>47357</v>
      </c>
      <c r="G410" s="21">
        <v>31048</v>
      </c>
      <c r="H410" s="22">
        <f t="shared" ca="1" si="12"/>
        <v>41</v>
      </c>
      <c r="I410" s="19" t="s">
        <v>26</v>
      </c>
      <c r="J410" s="18" t="s">
        <v>27</v>
      </c>
      <c r="K410" s="18"/>
      <c r="L410" s="23" t="s">
        <v>785</v>
      </c>
      <c r="M410" s="23" t="s">
        <v>1158</v>
      </c>
      <c r="N410" s="23" t="s">
        <v>1499</v>
      </c>
      <c r="O410" s="18">
        <v>1</v>
      </c>
      <c r="P410" s="24"/>
      <c r="Q410" s="25">
        <v>45748</v>
      </c>
      <c r="R410" s="13">
        <v>0</v>
      </c>
      <c r="S410" s="26" t="str">
        <f>VLOOKUP(C410,'[1]Bazaar Salary'!$B$6:$J$1193,9,0)</f>
        <v>05150010075051590014</v>
      </c>
      <c r="T410" s="25" t="s">
        <v>32</v>
      </c>
      <c r="U410" s="25" t="s">
        <v>281</v>
      </c>
      <c r="V410" s="25" t="s">
        <v>1093</v>
      </c>
      <c r="W410" s="27" t="s">
        <v>1755</v>
      </c>
      <c r="X410" s="28" t="s">
        <v>1756</v>
      </c>
      <c r="Y410" s="28"/>
      <c r="Z410" s="29" t="s">
        <v>37</v>
      </c>
    </row>
    <row r="411" spans="1:26" ht="30" customHeight="1" thickBot="1" x14ac:dyDescent="0.25">
      <c r="A411" s="17">
        <f t="shared" si="13"/>
        <v>410</v>
      </c>
      <c r="B411" s="18" t="s">
        <v>25</v>
      </c>
      <c r="C411" s="19">
        <v>3520250736311</v>
      </c>
      <c r="D411" s="19">
        <v>356</v>
      </c>
      <c r="E411" s="20">
        <v>44407</v>
      </c>
      <c r="F411" s="20">
        <v>48059</v>
      </c>
      <c r="G411" s="21">
        <v>33234</v>
      </c>
      <c r="H411" s="22">
        <f t="shared" ca="1" si="12"/>
        <v>35</v>
      </c>
      <c r="I411" s="19" t="s">
        <v>26</v>
      </c>
      <c r="J411" s="18" t="s">
        <v>27</v>
      </c>
      <c r="K411" s="18"/>
      <c r="L411" s="23" t="s">
        <v>1757</v>
      </c>
      <c r="M411" s="23" t="s">
        <v>1758</v>
      </c>
      <c r="N411" s="23" t="s">
        <v>1499</v>
      </c>
      <c r="O411" s="18">
        <v>1</v>
      </c>
      <c r="P411" s="24"/>
      <c r="Q411" s="25">
        <v>41997</v>
      </c>
      <c r="R411" s="13">
        <v>0</v>
      </c>
      <c r="S411" s="26" t="str">
        <f>VLOOKUP(C411,'[1]Bazaar Salary'!$B$6:$J$1193,9,0)</f>
        <v>05450010045942770011</v>
      </c>
      <c r="T411" s="25" t="s">
        <v>32</v>
      </c>
      <c r="U411" s="25" t="s">
        <v>281</v>
      </c>
      <c r="V411" s="25" t="s">
        <v>1356</v>
      </c>
      <c r="W411" s="27" t="s">
        <v>1759</v>
      </c>
      <c r="X411" s="28" t="s">
        <v>1760</v>
      </c>
      <c r="Y411" s="28"/>
      <c r="Z411" s="29" t="s">
        <v>37</v>
      </c>
    </row>
    <row r="412" spans="1:26" ht="30" customHeight="1" thickBot="1" x14ac:dyDescent="0.25">
      <c r="A412" s="17">
        <f t="shared" si="13"/>
        <v>411</v>
      </c>
      <c r="B412" s="18" t="s">
        <v>25</v>
      </c>
      <c r="C412" s="19">
        <v>3520262488751</v>
      </c>
      <c r="D412" s="19">
        <v>354</v>
      </c>
      <c r="E412" s="20">
        <v>44722</v>
      </c>
      <c r="F412" s="20">
        <v>48375</v>
      </c>
      <c r="G412" s="21">
        <v>29692</v>
      </c>
      <c r="H412" s="22">
        <f t="shared" ca="1" si="12"/>
        <v>45</v>
      </c>
      <c r="I412" s="19" t="s">
        <v>26</v>
      </c>
      <c r="J412" s="18" t="s">
        <v>27</v>
      </c>
      <c r="K412" s="18"/>
      <c r="L412" s="23" t="s">
        <v>1761</v>
      </c>
      <c r="M412" s="23" t="s">
        <v>1762</v>
      </c>
      <c r="N412" s="23" t="s">
        <v>1499</v>
      </c>
      <c r="O412" s="18">
        <v>1</v>
      </c>
      <c r="P412" s="24"/>
      <c r="Q412" s="25">
        <v>42251</v>
      </c>
      <c r="R412" s="13">
        <v>0</v>
      </c>
      <c r="S412" s="26" t="str">
        <f>VLOOKUP(C412,'[1]Bazaar Salary'!$B$6:$J$1193,9,0)</f>
        <v>07040010046257130013</v>
      </c>
      <c r="T412" s="25" t="s">
        <v>32</v>
      </c>
      <c r="U412" s="25" t="s">
        <v>281</v>
      </c>
      <c r="V412" s="25" t="s">
        <v>1356</v>
      </c>
      <c r="W412" s="27" t="s">
        <v>1763</v>
      </c>
      <c r="X412" s="28" t="s">
        <v>1764</v>
      </c>
      <c r="Y412" s="28"/>
      <c r="Z412" s="29" t="s">
        <v>37</v>
      </c>
    </row>
    <row r="413" spans="1:26" ht="30" customHeight="1" thickBot="1" x14ac:dyDescent="0.25">
      <c r="A413" s="17">
        <f t="shared" si="13"/>
        <v>412</v>
      </c>
      <c r="B413" s="18" t="s">
        <v>25</v>
      </c>
      <c r="C413" s="19">
        <v>3520113308163</v>
      </c>
      <c r="D413" s="19">
        <v>351</v>
      </c>
      <c r="E413" s="20">
        <v>44766</v>
      </c>
      <c r="F413" s="20">
        <v>48419</v>
      </c>
      <c r="G413" s="21">
        <v>30356</v>
      </c>
      <c r="H413" s="22">
        <f t="shared" ca="1" si="12"/>
        <v>43</v>
      </c>
      <c r="I413" s="19" t="s">
        <v>26</v>
      </c>
      <c r="J413" s="18" t="s">
        <v>27</v>
      </c>
      <c r="K413" s="18"/>
      <c r="L413" s="23" t="s">
        <v>1765</v>
      </c>
      <c r="M413" s="23" t="s">
        <v>1766</v>
      </c>
      <c r="N413" s="23" t="s">
        <v>1499</v>
      </c>
      <c r="O413" s="18">
        <v>1</v>
      </c>
      <c r="P413" s="24"/>
      <c r="Q413" s="25">
        <v>42041</v>
      </c>
      <c r="R413" s="13">
        <v>0</v>
      </c>
      <c r="S413" s="26" t="str">
        <f>VLOOKUP(C413,'[1]Bazaar Salary'!$B$6:$J$1193,9,0)</f>
        <v>07040010046246220014</v>
      </c>
      <c r="T413" s="25" t="s">
        <v>32</v>
      </c>
      <c r="U413" s="25" t="s">
        <v>281</v>
      </c>
      <c r="V413" s="25" t="s">
        <v>1356</v>
      </c>
      <c r="W413" s="27" t="s">
        <v>1767</v>
      </c>
      <c r="X413" s="28" t="s">
        <v>1768</v>
      </c>
      <c r="Y413" s="28"/>
      <c r="Z413" s="29" t="s">
        <v>37</v>
      </c>
    </row>
    <row r="414" spans="1:26" ht="30" customHeight="1" thickBot="1" x14ac:dyDescent="0.25">
      <c r="A414" s="17">
        <f t="shared" si="13"/>
        <v>413</v>
      </c>
      <c r="B414" s="18" t="s">
        <v>25</v>
      </c>
      <c r="C414" s="19">
        <v>3520130295429</v>
      </c>
      <c r="D414" s="19">
        <v>363</v>
      </c>
      <c r="E414" s="20">
        <v>44127</v>
      </c>
      <c r="F414" s="20">
        <v>47779</v>
      </c>
      <c r="G414" s="21">
        <v>31849</v>
      </c>
      <c r="H414" s="22">
        <f t="shared" ca="1" si="12"/>
        <v>39</v>
      </c>
      <c r="I414" s="19" t="s">
        <v>26</v>
      </c>
      <c r="J414" s="18" t="s">
        <v>27</v>
      </c>
      <c r="K414" s="18" t="s">
        <v>197</v>
      </c>
      <c r="L414" s="23" t="s">
        <v>1769</v>
      </c>
      <c r="M414" s="23" t="s">
        <v>68</v>
      </c>
      <c r="N414" s="23" t="s">
        <v>1499</v>
      </c>
      <c r="O414" s="18">
        <v>1</v>
      </c>
      <c r="P414" s="24"/>
      <c r="Q414" s="25">
        <v>42242</v>
      </c>
      <c r="R414" s="13">
        <v>0</v>
      </c>
      <c r="S414" s="26" t="str">
        <f>VLOOKUP(C414,'[1]Bazaar Salary'!$B$6:$J$1193,9,0)</f>
        <v>01260010046464490010</v>
      </c>
      <c r="T414" s="25" t="s">
        <v>32</v>
      </c>
      <c r="U414" s="25" t="s">
        <v>281</v>
      </c>
      <c r="V414" s="25" t="s">
        <v>1356</v>
      </c>
      <c r="W414" s="27" t="s">
        <v>1770</v>
      </c>
      <c r="X414" s="28" t="s">
        <v>1771</v>
      </c>
      <c r="Y414" s="28"/>
      <c r="Z414" s="29" t="s">
        <v>37</v>
      </c>
    </row>
    <row r="415" spans="1:26" ht="30" customHeight="1" thickBot="1" x14ac:dyDescent="0.25">
      <c r="A415" s="17">
        <f t="shared" si="13"/>
        <v>414</v>
      </c>
      <c r="B415" s="18" t="s">
        <v>25</v>
      </c>
      <c r="C415" s="19">
        <v>3520171006489</v>
      </c>
      <c r="D415" s="19">
        <v>1680</v>
      </c>
      <c r="E415" s="21">
        <v>44230</v>
      </c>
      <c r="F415" s="21">
        <v>47882</v>
      </c>
      <c r="G415" s="21">
        <v>36047</v>
      </c>
      <c r="H415" s="22">
        <f t="shared" ca="1" si="12"/>
        <v>27</v>
      </c>
      <c r="I415" s="18" t="s">
        <v>26</v>
      </c>
      <c r="J415" s="18" t="s">
        <v>27</v>
      </c>
      <c r="K415" s="23"/>
      <c r="L415" s="24" t="s">
        <v>1772</v>
      </c>
      <c r="M415" s="33" t="s">
        <v>1773</v>
      </c>
      <c r="N415" s="23" t="s">
        <v>1499</v>
      </c>
      <c r="O415" s="18">
        <v>1</v>
      </c>
      <c r="P415" s="24"/>
      <c r="Q415" s="25">
        <v>45748</v>
      </c>
      <c r="R415" s="13">
        <v>0</v>
      </c>
      <c r="S415" s="26" t="str">
        <f>VLOOKUP(C415,'[1]Bazaar Salary'!$B$6:$J$1193,9,0)</f>
        <v>07040010135667960019</v>
      </c>
      <c r="T415" s="25" t="s">
        <v>32</v>
      </c>
      <c r="U415" s="25" t="s">
        <v>281</v>
      </c>
      <c r="V415" s="25" t="s">
        <v>1093</v>
      </c>
      <c r="W415" s="33" t="s">
        <v>1774</v>
      </c>
      <c r="X415" s="28" t="s">
        <v>1775</v>
      </c>
      <c r="Y415" s="28"/>
      <c r="Z415" s="29" t="s">
        <v>37</v>
      </c>
    </row>
    <row r="416" spans="1:26" ht="30" customHeight="1" thickBot="1" x14ac:dyDescent="0.25">
      <c r="A416" s="17">
        <f t="shared" si="13"/>
        <v>415</v>
      </c>
      <c r="B416" s="18" t="s">
        <v>25</v>
      </c>
      <c r="C416" s="19">
        <v>3520230579801</v>
      </c>
      <c r="D416" s="19">
        <v>322</v>
      </c>
      <c r="E416" s="20">
        <v>44738</v>
      </c>
      <c r="F416" s="20">
        <v>48391</v>
      </c>
      <c r="G416" s="21">
        <v>32568</v>
      </c>
      <c r="H416" s="22">
        <f t="shared" ca="1" si="12"/>
        <v>37</v>
      </c>
      <c r="I416" s="19" t="s">
        <v>26</v>
      </c>
      <c r="J416" s="18" t="s">
        <v>27</v>
      </c>
      <c r="K416" s="18"/>
      <c r="L416" s="23" t="s">
        <v>1776</v>
      </c>
      <c r="M416" s="23" t="s">
        <v>1777</v>
      </c>
      <c r="N416" s="23" t="s">
        <v>1499</v>
      </c>
      <c r="O416" s="18">
        <v>1</v>
      </c>
      <c r="P416" s="24"/>
      <c r="Q416" s="25">
        <v>42391</v>
      </c>
      <c r="R416" s="13">
        <v>0</v>
      </c>
      <c r="S416" s="26" t="str">
        <f>VLOOKUP(C416,'[1]Bazaar Salary'!$B$6:$J$1193,9,0)</f>
        <v>07040010046839800018</v>
      </c>
      <c r="T416" s="25" t="s">
        <v>32</v>
      </c>
      <c r="U416" s="25" t="s">
        <v>281</v>
      </c>
      <c r="V416" s="25" t="s">
        <v>1356</v>
      </c>
      <c r="W416" s="27" t="s">
        <v>1778</v>
      </c>
      <c r="X416" s="28" t="s">
        <v>1779</v>
      </c>
      <c r="Y416" s="28"/>
      <c r="Z416" s="29" t="s">
        <v>37</v>
      </c>
    </row>
    <row r="417" spans="1:26" ht="30" customHeight="1" thickBot="1" x14ac:dyDescent="0.25">
      <c r="A417" s="17">
        <f t="shared" si="13"/>
        <v>416</v>
      </c>
      <c r="B417" s="18" t="s">
        <v>25</v>
      </c>
      <c r="C417" s="19">
        <v>3520210374682</v>
      </c>
      <c r="D417" s="19">
        <v>1192</v>
      </c>
      <c r="E417" s="20">
        <v>42518</v>
      </c>
      <c r="F417" s="20">
        <v>46170</v>
      </c>
      <c r="G417" s="21">
        <v>25204</v>
      </c>
      <c r="H417" s="22">
        <f t="shared" ca="1" si="12"/>
        <v>57</v>
      </c>
      <c r="I417" s="19" t="s">
        <v>26</v>
      </c>
      <c r="J417" s="18" t="s">
        <v>66</v>
      </c>
      <c r="K417" s="18"/>
      <c r="L417" s="23" t="s">
        <v>1780</v>
      </c>
      <c r="M417" s="23" t="s">
        <v>1305</v>
      </c>
      <c r="N417" s="23" t="s">
        <v>1499</v>
      </c>
      <c r="O417" s="18">
        <v>1</v>
      </c>
      <c r="P417" s="24"/>
      <c r="Q417" s="25">
        <v>44317</v>
      </c>
      <c r="R417" s="13">
        <v>0</v>
      </c>
      <c r="S417" s="26" t="str">
        <f>VLOOKUP(C417,'[1]Bazaar Salary'!$B$6:$J$1193,9,0)</f>
        <v>01260010048903460017</v>
      </c>
      <c r="T417" s="25" t="s">
        <v>32</v>
      </c>
      <c r="U417" s="25" t="s">
        <v>281</v>
      </c>
      <c r="V417" s="25" t="s">
        <v>1093</v>
      </c>
      <c r="W417" s="27" t="s">
        <v>1781</v>
      </c>
      <c r="X417" s="28" t="s">
        <v>1782</v>
      </c>
      <c r="Y417" s="28"/>
      <c r="Z417" s="29" t="s">
        <v>37</v>
      </c>
    </row>
    <row r="418" spans="1:26" ht="30" customHeight="1" thickBot="1" x14ac:dyDescent="0.25">
      <c r="A418" s="17">
        <f t="shared" si="13"/>
        <v>417</v>
      </c>
      <c r="B418" s="18" t="s">
        <v>25</v>
      </c>
      <c r="C418" s="19">
        <v>3520167374173</v>
      </c>
      <c r="D418" s="19">
        <v>1794</v>
      </c>
      <c r="E418" s="20">
        <v>44483</v>
      </c>
      <c r="F418" s="20">
        <v>48135</v>
      </c>
      <c r="G418" s="25">
        <v>33376</v>
      </c>
      <c r="H418" s="22">
        <f t="shared" ca="1" si="12"/>
        <v>35</v>
      </c>
      <c r="I418" s="19" t="s">
        <v>26</v>
      </c>
      <c r="J418" s="18" t="s">
        <v>27</v>
      </c>
      <c r="K418" s="18"/>
      <c r="L418" s="23" t="s">
        <v>87</v>
      </c>
      <c r="M418" s="23" t="s">
        <v>1783</v>
      </c>
      <c r="N418" s="23" t="s">
        <v>1499</v>
      </c>
      <c r="O418" s="18">
        <v>1</v>
      </c>
      <c r="P418" s="24"/>
      <c r="Q418" s="25">
        <v>45748</v>
      </c>
      <c r="R418" s="13">
        <v>0</v>
      </c>
      <c r="S418" s="26" t="str">
        <f>VLOOKUP(C418,'[1]Bazaar Salary'!$B$6:$J$1193,9,0)</f>
        <v>01260010140179430012</v>
      </c>
      <c r="T418" s="25" t="s">
        <v>32</v>
      </c>
      <c r="U418" s="25" t="s">
        <v>281</v>
      </c>
      <c r="V418" s="25" t="s">
        <v>1093</v>
      </c>
      <c r="W418" s="27" t="s">
        <v>1784</v>
      </c>
      <c r="X418" s="28" t="s">
        <v>1785</v>
      </c>
      <c r="Y418" s="28"/>
      <c r="Z418" s="29" t="s">
        <v>37</v>
      </c>
    </row>
    <row r="419" spans="1:26" ht="30" customHeight="1" thickBot="1" x14ac:dyDescent="0.25">
      <c r="A419" s="17">
        <f t="shared" si="13"/>
        <v>418</v>
      </c>
      <c r="B419" s="18" t="s">
        <v>25</v>
      </c>
      <c r="C419" s="19">
        <v>3520229446841</v>
      </c>
      <c r="D419" s="19">
        <v>359</v>
      </c>
      <c r="E419" s="20">
        <v>44678</v>
      </c>
      <c r="F419" s="20">
        <v>48331</v>
      </c>
      <c r="G419" s="21">
        <v>35227</v>
      </c>
      <c r="H419" s="22">
        <f t="shared" ca="1" si="12"/>
        <v>30</v>
      </c>
      <c r="I419" s="19" t="s">
        <v>26</v>
      </c>
      <c r="J419" s="18" t="s">
        <v>27</v>
      </c>
      <c r="K419" s="18"/>
      <c r="L419" s="23" t="s">
        <v>1786</v>
      </c>
      <c r="M419" s="23" t="s">
        <v>1121</v>
      </c>
      <c r="N419" s="23" t="s">
        <v>1499</v>
      </c>
      <c r="O419" s="18">
        <v>1</v>
      </c>
      <c r="P419" s="24"/>
      <c r="Q419" s="25">
        <v>42159</v>
      </c>
      <c r="R419" s="13">
        <v>0</v>
      </c>
      <c r="S419" s="26" t="str">
        <f>VLOOKUP(C419,'[1]Bazaar Salary'!$B$6:$J$1193,9,0)</f>
        <v>01260010045926930012</v>
      </c>
      <c r="T419" s="25" t="s">
        <v>32</v>
      </c>
      <c r="U419" s="25" t="s">
        <v>1787</v>
      </c>
      <c r="V419" s="25" t="s">
        <v>1356</v>
      </c>
      <c r="W419" s="27" t="s">
        <v>1788</v>
      </c>
      <c r="X419" s="28" t="s">
        <v>1789</v>
      </c>
      <c r="Y419" s="28"/>
      <c r="Z419" s="29" t="s">
        <v>37</v>
      </c>
    </row>
    <row r="420" spans="1:26" ht="30" customHeight="1" thickBot="1" x14ac:dyDescent="0.25">
      <c r="A420" s="17">
        <f t="shared" si="13"/>
        <v>419</v>
      </c>
      <c r="B420" s="18" t="s">
        <v>25</v>
      </c>
      <c r="C420" s="19">
        <v>3520229534773</v>
      </c>
      <c r="D420" s="19">
        <v>1787</v>
      </c>
      <c r="E420" s="20">
        <v>42590</v>
      </c>
      <c r="F420" s="20">
        <v>46242</v>
      </c>
      <c r="G420" s="21">
        <v>30696</v>
      </c>
      <c r="H420" s="22">
        <f t="shared" ca="1" si="12"/>
        <v>42</v>
      </c>
      <c r="I420" s="19" t="s">
        <v>912</v>
      </c>
      <c r="J420" s="18" t="s">
        <v>27</v>
      </c>
      <c r="K420" s="18"/>
      <c r="L420" s="23" t="s">
        <v>1790</v>
      </c>
      <c r="M420" s="23" t="s">
        <v>1791</v>
      </c>
      <c r="N420" s="23" t="s">
        <v>1488</v>
      </c>
      <c r="O420" s="18">
        <v>1</v>
      </c>
      <c r="P420" s="24"/>
      <c r="Q420" s="25">
        <v>45748</v>
      </c>
      <c r="R420" s="13">
        <v>0</v>
      </c>
      <c r="S420" s="26" t="str">
        <f>VLOOKUP(C420,'[1]Bazaar Salary'!$B$6:$J$1193,9,0)</f>
        <v>06340010104598750013</v>
      </c>
      <c r="T420" s="25" t="s">
        <v>32</v>
      </c>
      <c r="U420" s="25" t="s">
        <v>286</v>
      </c>
      <c r="V420" s="25" t="s">
        <v>1093</v>
      </c>
      <c r="W420" s="27" t="s">
        <v>1792</v>
      </c>
      <c r="X420" s="28" t="s">
        <v>1793</v>
      </c>
      <c r="Y420" s="28"/>
      <c r="Z420" s="29" t="s">
        <v>37</v>
      </c>
    </row>
    <row r="421" spans="1:26" ht="30" customHeight="1" thickBot="1" x14ac:dyDescent="0.25">
      <c r="A421" s="17">
        <f t="shared" si="13"/>
        <v>420</v>
      </c>
      <c r="B421" s="18" t="s">
        <v>25</v>
      </c>
      <c r="C421" s="19">
        <v>3510170329981</v>
      </c>
      <c r="D421" s="19">
        <v>1582</v>
      </c>
      <c r="E421" s="20">
        <v>44160</v>
      </c>
      <c r="F421" s="20">
        <v>47812</v>
      </c>
      <c r="G421" s="21">
        <v>27395</v>
      </c>
      <c r="H421" s="22">
        <f t="shared" ca="1" si="12"/>
        <v>51</v>
      </c>
      <c r="I421" s="18" t="s">
        <v>912</v>
      </c>
      <c r="J421" s="18" t="s">
        <v>27</v>
      </c>
      <c r="K421" s="18"/>
      <c r="L421" s="23" t="s">
        <v>1794</v>
      </c>
      <c r="M421" s="23" t="s">
        <v>1795</v>
      </c>
      <c r="N421" s="23" t="s">
        <v>1488</v>
      </c>
      <c r="O421" s="18">
        <v>1</v>
      </c>
      <c r="P421" s="24"/>
      <c r="Q421" s="25">
        <v>45748</v>
      </c>
      <c r="R421" s="13">
        <v>0</v>
      </c>
      <c r="S421" s="26" t="str">
        <f>VLOOKUP(C421,'[1]Bazaar Salary'!$B$6:$J$1193,9,0)</f>
        <v>09650010126228830019</v>
      </c>
      <c r="T421" s="25" t="s">
        <v>32</v>
      </c>
      <c r="U421" s="25" t="s">
        <v>286</v>
      </c>
      <c r="V421" s="25" t="s">
        <v>1093</v>
      </c>
      <c r="W421" s="27" t="s">
        <v>1796</v>
      </c>
      <c r="X421" s="28" t="s">
        <v>1797</v>
      </c>
      <c r="Y421" s="28"/>
      <c r="Z421" s="29" t="s">
        <v>37</v>
      </c>
    </row>
    <row r="422" spans="1:26" ht="30" customHeight="1" thickBot="1" x14ac:dyDescent="0.25">
      <c r="A422" s="17">
        <f t="shared" si="13"/>
        <v>421</v>
      </c>
      <c r="B422" s="18" t="s">
        <v>25</v>
      </c>
      <c r="C422" s="19">
        <v>3520228836713</v>
      </c>
      <c r="D422" s="19">
        <v>422</v>
      </c>
      <c r="E422" s="20">
        <v>44405</v>
      </c>
      <c r="F422" s="20" t="s">
        <v>196</v>
      </c>
      <c r="G422" s="21">
        <v>29952</v>
      </c>
      <c r="H422" s="22">
        <f t="shared" ca="1" si="12"/>
        <v>44</v>
      </c>
      <c r="I422" s="19" t="s">
        <v>26</v>
      </c>
      <c r="J422" s="18" t="s">
        <v>27</v>
      </c>
      <c r="K422" s="18" t="s">
        <v>197</v>
      </c>
      <c r="L422" s="23" t="s">
        <v>1798</v>
      </c>
      <c r="M422" s="23" t="s">
        <v>1799</v>
      </c>
      <c r="N422" s="23" t="s">
        <v>1499</v>
      </c>
      <c r="O422" s="18">
        <v>1</v>
      </c>
      <c r="P422" s="24"/>
      <c r="Q422" s="25">
        <v>42213</v>
      </c>
      <c r="R422" s="13">
        <v>0</v>
      </c>
      <c r="S422" s="26" t="str">
        <f>VLOOKUP(C422,'[1]Bazaar Salary'!$B$6:$J$1193,9,0)</f>
        <v>09650010045793600010</v>
      </c>
      <c r="T422" s="25" t="s">
        <v>32</v>
      </c>
      <c r="U422" s="25" t="s">
        <v>286</v>
      </c>
      <c r="V422" s="25" t="s">
        <v>1356</v>
      </c>
      <c r="W422" s="27" t="s">
        <v>1800</v>
      </c>
      <c r="X422" s="28" t="s">
        <v>1801</v>
      </c>
      <c r="Y422" s="28"/>
      <c r="Z422" s="29" t="s">
        <v>37</v>
      </c>
    </row>
    <row r="423" spans="1:26" ht="30" customHeight="1" thickBot="1" x14ac:dyDescent="0.25">
      <c r="A423" s="17">
        <f t="shared" si="13"/>
        <v>422</v>
      </c>
      <c r="B423" s="18" t="s">
        <v>25</v>
      </c>
      <c r="C423" s="19">
        <v>3520237239953</v>
      </c>
      <c r="D423" s="19">
        <v>395</v>
      </c>
      <c r="E423" s="20">
        <v>43752</v>
      </c>
      <c r="F423" s="20">
        <v>47405</v>
      </c>
      <c r="G423" s="21">
        <v>34292</v>
      </c>
      <c r="H423" s="22">
        <f t="shared" ca="1" si="12"/>
        <v>32</v>
      </c>
      <c r="I423" s="19" t="s">
        <v>26</v>
      </c>
      <c r="J423" s="18" t="s">
        <v>27</v>
      </c>
      <c r="K423" s="18"/>
      <c r="L423" s="23" t="s">
        <v>1802</v>
      </c>
      <c r="M423" s="23" t="s">
        <v>1158</v>
      </c>
      <c r="N423" s="23" t="s">
        <v>1499</v>
      </c>
      <c r="O423" s="18">
        <v>1</v>
      </c>
      <c r="P423" s="24"/>
      <c r="Q423" s="25">
        <v>42229</v>
      </c>
      <c r="R423" s="13">
        <v>0</v>
      </c>
      <c r="S423" s="26" t="str">
        <f>VLOOKUP(C423,'[1]Bazaar Salary'!$B$6:$J$1193,9,0)</f>
        <v>02880010046061080017</v>
      </c>
      <c r="T423" s="25" t="s">
        <v>32</v>
      </c>
      <c r="U423" s="25" t="s">
        <v>286</v>
      </c>
      <c r="V423" s="25" t="s">
        <v>1356</v>
      </c>
      <c r="W423" s="27" t="s">
        <v>684</v>
      </c>
      <c r="X423" s="28" t="s">
        <v>1803</v>
      </c>
      <c r="Y423" s="28"/>
      <c r="Z423" s="29" t="s">
        <v>37</v>
      </c>
    </row>
    <row r="424" spans="1:26" ht="30" customHeight="1" thickBot="1" x14ac:dyDescent="0.25">
      <c r="A424" s="17">
        <f t="shared" si="13"/>
        <v>423</v>
      </c>
      <c r="B424" s="18" t="s">
        <v>25</v>
      </c>
      <c r="C424" s="19">
        <v>3520257062327</v>
      </c>
      <c r="D424" s="19">
        <v>344</v>
      </c>
      <c r="E424" s="20">
        <v>43734</v>
      </c>
      <c r="F424" s="20">
        <v>47387</v>
      </c>
      <c r="G424" s="21">
        <v>28856</v>
      </c>
      <c r="H424" s="22">
        <f t="shared" ca="1" si="12"/>
        <v>47</v>
      </c>
      <c r="I424" s="19" t="s">
        <v>26</v>
      </c>
      <c r="J424" s="18" t="s">
        <v>27</v>
      </c>
      <c r="K424" s="18"/>
      <c r="L424" s="23" t="s">
        <v>1804</v>
      </c>
      <c r="M424" s="23" t="s">
        <v>1805</v>
      </c>
      <c r="N424" s="23" t="s">
        <v>1499</v>
      </c>
      <c r="O424" s="18">
        <v>1</v>
      </c>
      <c r="P424" s="24"/>
      <c r="Q424" s="25">
        <v>42861</v>
      </c>
      <c r="R424" s="13">
        <v>0</v>
      </c>
      <c r="S424" s="26" t="str">
        <f>VLOOKUP(C424,'[1]Bazaar Salary'!$B$6:$J$1193,9,0)</f>
        <v>09650010045822050018</v>
      </c>
      <c r="T424" s="25" t="s">
        <v>32</v>
      </c>
      <c r="U424" s="25" t="s">
        <v>286</v>
      </c>
      <c r="V424" s="25" t="s">
        <v>1356</v>
      </c>
      <c r="W424" s="27" t="s">
        <v>1806</v>
      </c>
      <c r="X424" s="28" t="s">
        <v>1807</v>
      </c>
      <c r="Y424" s="28"/>
      <c r="Z424" s="29" t="s">
        <v>37</v>
      </c>
    </row>
    <row r="425" spans="1:26" ht="30" customHeight="1" thickBot="1" x14ac:dyDescent="0.25">
      <c r="A425" s="17">
        <f t="shared" si="13"/>
        <v>424</v>
      </c>
      <c r="B425" s="18" t="s">
        <v>25</v>
      </c>
      <c r="C425" s="19">
        <v>3520231509563</v>
      </c>
      <c r="D425" s="19">
        <v>1507</v>
      </c>
      <c r="E425" s="20">
        <v>44830</v>
      </c>
      <c r="F425" s="20">
        <v>48483</v>
      </c>
      <c r="G425" s="21">
        <v>38384</v>
      </c>
      <c r="H425" s="22">
        <f t="shared" ca="1" si="12"/>
        <v>21</v>
      </c>
      <c r="I425" s="19" t="s">
        <v>26</v>
      </c>
      <c r="J425" s="18" t="s">
        <v>27</v>
      </c>
      <c r="K425" s="18"/>
      <c r="L425" s="23" t="s">
        <v>1808</v>
      </c>
      <c r="M425" s="23" t="s">
        <v>1125</v>
      </c>
      <c r="N425" s="23" t="s">
        <v>1499</v>
      </c>
      <c r="O425" s="18">
        <v>1</v>
      </c>
      <c r="P425" s="24"/>
      <c r="Q425" s="25">
        <v>45748</v>
      </c>
      <c r="R425" s="13">
        <v>0</v>
      </c>
      <c r="S425" s="26" t="str">
        <f>VLOOKUP(C425,'[1]Bazaar Salary'!$B$6:$J$1193,9,0)</f>
        <v>52120020109433950015</v>
      </c>
      <c r="T425" s="25" t="s">
        <v>32</v>
      </c>
      <c r="U425" s="25" t="s">
        <v>286</v>
      </c>
      <c r="V425" s="25" t="s">
        <v>1093</v>
      </c>
      <c r="W425" s="27" t="s">
        <v>1809</v>
      </c>
      <c r="X425" s="28" t="s">
        <v>1810</v>
      </c>
      <c r="Y425" s="28"/>
      <c r="Z425" s="29" t="s">
        <v>37</v>
      </c>
    </row>
    <row r="426" spans="1:26" ht="30" customHeight="1" thickBot="1" x14ac:dyDescent="0.25">
      <c r="A426" s="17">
        <f t="shared" si="13"/>
        <v>425</v>
      </c>
      <c r="B426" s="18" t="s">
        <v>25</v>
      </c>
      <c r="C426" s="19">
        <v>3520226531057</v>
      </c>
      <c r="D426" s="19">
        <v>1631</v>
      </c>
      <c r="E426" s="20">
        <v>45432</v>
      </c>
      <c r="F426" s="20">
        <v>49084</v>
      </c>
      <c r="G426" s="21">
        <v>31700</v>
      </c>
      <c r="H426" s="22">
        <f t="shared" ca="1" si="12"/>
        <v>39</v>
      </c>
      <c r="I426" s="19" t="s">
        <v>26</v>
      </c>
      <c r="J426" s="18" t="s">
        <v>27</v>
      </c>
      <c r="K426" s="18"/>
      <c r="L426" s="23" t="s">
        <v>1455</v>
      </c>
      <c r="M426" s="23" t="s">
        <v>703</v>
      </c>
      <c r="N426" s="23" t="s">
        <v>1499</v>
      </c>
      <c r="O426" s="18">
        <v>1</v>
      </c>
      <c r="P426" s="24"/>
      <c r="Q426" s="25">
        <v>45748</v>
      </c>
      <c r="R426" s="13">
        <v>0</v>
      </c>
      <c r="S426" s="26" t="str">
        <f>VLOOKUP(C426,'[1]Bazaar Salary'!$B$6:$J$1193,9,0)</f>
        <v>09650010132185410016</v>
      </c>
      <c r="T426" s="25" t="s">
        <v>32</v>
      </c>
      <c r="U426" s="25" t="s">
        <v>286</v>
      </c>
      <c r="V426" s="25" t="s">
        <v>1093</v>
      </c>
      <c r="W426" s="27" t="s">
        <v>1811</v>
      </c>
      <c r="X426" s="28" t="s">
        <v>1812</v>
      </c>
      <c r="Y426" s="28"/>
      <c r="Z426" s="29" t="s">
        <v>37</v>
      </c>
    </row>
    <row r="427" spans="1:26" ht="30" customHeight="1" thickBot="1" x14ac:dyDescent="0.25">
      <c r="A427" s="17">
        <f t="shared" si="13"/>
        <v>426</v>
      </c>
      <c r="B427" s="18" t="s">
        <v>25</v>
      </c>
      <c r="C427" s="19">
        <v>3520264484143</v>
      </c>
      <c r="D427" s="19">
        <v>1349</v>
      </c>
      <c r="E427" s="20">
        <v>43094</v>
      </c>
      <c r="F427" s="20">
        <v>46746</v>
      </c>
      <c r="G427" s="21">
        <v>29353</v>
      </c>
      <c r="H427" s="22">
        <f t="shared" ca="1" si="12"/>
        <v>46</v>
      </c>
      <c r="I427" s="19" t="s">
        <v>26</v>
      </c>
      <c r="J427" s="18" t="s">
        <v>27</v>
      </c>
      <c r="K427" s="18"/>
      <c r="L427" s="23" t="s">
        <v>1813</v>
      </c>
      <c r="M427" s="23" t="s">
        <v>1814</v>
      </c>
      <c r="N427" s="23" t="s">
        <v>1499</v>
      </c>
      <c r="O427" s="18">
        <v>1</v>
      </c>
      <c r="P427" s="24"/>
      <c r="Q427" s="25">
        <v>45748</v>
      </c>
      <c r="R427" s="13">
        <v>0</v>
      </c>
      <c r="S427" s="26" t="str">
        <f>VLOOKUP(C427,'[1]Bazaar Salary'!$B$6:$J$1193,9,0)</f>
        <v>03910010092007720012</v>
      </c>
      <c r="T427" s="25" t="s">
        <v>32</v>
      </c>
      <c r="U427" s="25" t="s">
        <v>286</v>
      </c>
      <c r="V427" s="25" t="s">
        <v>1093</v>
      </c>
      <c r="W427" s="27" t="s">
        <v>1815</v>
      </c>
      <c r="X427" s="28" t="s">
        <v>1816</v>
      </c>
      <c r="Y427" s="28"/>
      <c r="Z427" s="29" t="s">
        <v>37</v>
      </c>
    </row>
    <row r="428" spans="1:26" ht="30" customHeight="1" thickBot="1" x14ac:dyDescent="0.25">
      <c r="A428" s="17">
        <f t="shared" si="13"/>
        <v>427</v>
      </c>
      <c r="B428" s="18" t="s">
        <v>25</v>
      </c>
      <c r="C428" s="19">
        <v>3520290326869</v>
      </c>
      <c r="D428" s="19">
        <v>1588</v>
      </c>
      <c r="E428" s="20">
        <v>43472</v>
      </c>
      <c r="F428" s="20">
        <v>47125</v>
      </c>
      <c r="G428" s="21">
        <v>32888</v>
      </c>
      <c r="H428" s="22">
        <f t="shared" ca="1" si="12"/>
        <v>36</v>
      </c>
      <c r="I428" s="19" t="s">
        <v>26</v>
      </c>
      <c r="J428" s="18" t="s">
        <v>27</v>
      </c>
      <c r="K428" s="18"/>
      <c r="L428" s="23" t="s">
        <v>1817</v>
      </c>
      <c r="M428" s="23" t="s">
        <v>1818</v>
      </c>
      <c r="N428" s="23" t="s">
        <v>1499</v>
      </c>
      <c r="O428" s="18">
        <v>1</v>
      </c>
      <c r="P428" s="24"/>
      <c r="Q428" s="25">
        <v>45748</v>
      </c>
      <c r="R428" s="13">
        <v>0</v>
      </c>
      <c r="S428" s="26" t="str">
        <f>VLOOKUP(C428,'[1]Bazaar Salary'!$B$6:$J$1193,9,0)</f>
        <v>12960010064514450017</v>
      </c>
      <c r="T428" s="25" t="s">
        <v>32</v>
      </c>
      <c r="U428" s="25" t="s">
        <v>286</v>
      </c>
      <c r="V428" s="25" t="s">
        <v>1093</v>
      </c>
      <c r="W428" s="27" t="s">
        <v>1819</v>
      </c>
      <c r="X428" s="28" t="s">
        <v>1820</v>
      </c>
      <c r="Y428" s="28"/>
      <c r="Z428" s="29" t="s">
        <v>37</v>
      </c>
    </row>
    <row r="429" spans="1:26" ht="30" customHeight="1" thickBot="1" x14ac:dyDescent="0.25">
      <c r="A429" s="17">
        <f t="shared" si="13"/>
        <v>428</v>
      </c>
      <c r="B429" s="18" t="s">
        <v>25</v>
      </c>
      <c r="C429" s="19">
        <v>3510169338349</v>
      </c>
      <c r="D429" s="19">
        <v>340</v>
      </c>
      <c r="E429" s="20">
        <v>44251</v>
      </c>
      <c r="F429" s="20">
        <v>47903</v>
      </c>
      <c r="G429" s="21">
        <v>30746</v>
      </c>
      <c r="H429" s="22">
        <f t="shared" ca="1" si="12"/>
        <v>42</v>
      </c>
      <c r="I429" s="19" t="s">
        <v>26</v>
      </c>
      <c r="J429" s="18" t="s">
        <v>27</v>
      </c>
      <c r="K429" s="18"/>
      <c r="L429" s="23" t="s">
        <v>1821</v>
      </c>
      <c r="M429" s="23" t="s">
        <v>1822</v>
      </c>
      <c r="N429" s="23" t="s">
        <v>1499</v>
      </c>
      <c r="O429" s="18">
        <v>1</v>
      </c>
      <c r="P429" s="24"/>
      <c r="Q429" s="25">
        <v>42767</v>
      </c>
      <c r="R429" s="13">
        <v>0</v>
      </c>
      <c r="S429" s="26" t="str">
        <f>VLOOKUP(C429,'[1]Bazaar Salary'!$B$6:$J$1193,9,0)</f>
        <v>03910010045877430014</v>
      </c>
      <c r="T429" s="25" t="s">
        <v>32</v>
      </c>
      <c r="U429" s="25" t="s">
        <v>1823</v>
      </c>
      <c r="V429" s="25" t="s">
        <v>1701</v>
      </c>
      <c r="W429" s="27" t="s">
        <v>1824</v>
      </c>
      <c r="X429" s="28" t="s">
        <v>1825</v>
      </c>
      <c r="Y429" s="28"/>
      <c r="Z429" s="29" t="s">
        <v>37</v>
      </c>
    </row>
    <row r="430" spans="1:26" ht="30" customHeight="1" thickBot="1" x14ac:dyDescent="0.25">
      <c r="A430" s="17">
        <f t="shared" si="13"/>
        <v>429</v>
      </c>
      <c r="B430" s="18" t="s">
        <v>25</v>
      </c>
      <c r="C430" s="19">
        <v>3210226914835</v>
      </c>
      <c r="D430" s="19">
        <v>492</v>
      </c>
      <c r="E430" s="20">
        <v>42198</v>
      </c>
      <c r="F430" s="20">
        <v>45851</v>
      </c>
      <c r="G430" s="21">
        <v>31083</v>
      </c>
      <c r="H430" s="22">
        <f t="shared" ca="1" si="12"/>
        <v>41</v>
      </c>
      <c r="I430" s="19" t="s">
        <v>26</v>
      </c>
      <c r="J430" s="18" t="s">
        <v>27</v>
      </c>
      <c r="K430" s="18"/>
      <c r="L430" s="23" t="s">
        <v>1826</v>
      </c>
      <c r="M430" s="23" t="s">
        <v>1827</v>
      </c>
      <c r="N430" s="23" t="s">
        <v>1551</v>
      </c>
      <c r="O430" s="18">
        <v>1</v>
      </c>
      <c r="P430" s="24"/>
      <c r="Q430" s="25">
        <v>42616</v>
      </c>
      <c r="R430" s="13">
        <v>0</v>
      </c>
      <c r="S430" s="26" t="str">
        <f>VLOOKUP(C430,'[1]Bazaar Salary'!$B$6:$J$1193,9,0)</f>
        <v>00720010046368860012</v>
      </c>
      <c r="T430" s="25" t="s">
        <v>32</v>
      </c>
      <c r="U430" s="25" t="s">
        <v>298</v>
      </c>
      <c r="V430" s="25" t="s">
        <v>1093</v>
      </c>
      <c r="W430" s="27" t="s">
        <v>1828</v>
      </c>
      <c r="X430" s="28" t="s">
        <v>1829</v>
      </c>
      <c r="Y430" s="28"/>
      <c r="Z430" s="29" t="s">
        <v>37</v>
      </c>
    </row>
    <row r="431" spans="1:26" ht="30" customHeight="1" thickBot="1" x14ac:dyDescent="0.25">
      <c r="A431" s="17">
        <f t="shared" si="13"/>
        <v>430</v>
      </c>
      <c r="B431" s="18" t="s">
        <v>25</v>
      </c>
      <c r="C431" s="19">
        <v>3210202662993</v>
      </c>
      <c r="D431" s="19">
        <v>493</v>
      </c>
      <c r="E431" s="20">
        <v>42843</v>
      </c>
      <c r="F431" s="20">
        <v>46495</v>
      </c>
      <c r="G431" s="21">
        <v>29587</v>
      </c>
      <c r="H431" s="22">
        <f t="shared" ca="1" si="12"/>
        <v>45</v>
      </c>
      <c r="I431" s="19" t="s">
        <v>26</v>
      </c>
      <c r="J431" s="18" t="s">
        <v>27</v>
      </c>
      <c r="K431" s="18"/>
      <c r="L431" s="23" t="s">
        <v>1830</v>
      </c>
      <c r="M431" s="23" t="s">
        <v>1831</v>
      </c>
      <c r="N431" s="23" t="s">
        <v>1551</v>
      </c>
      <c r="O431" s="18">
        <v>1</v>
      </c>
      <c r="P431" s="24"/>
      <c r="Q431" s="25">
        <v>42948</v>
      </c>
      <c r="R431" s="13">
        <v>0</v>
      </c>
      <c r="S431" s="26" t="str">
        <f>VLOOKUP(C431,'[1]Bazaar Salary'!$B$6:$J$1193,9,0)</f>
        <v>00720010046410120010</v>
      </c>
      <c r="T431" s="25" t="s">
        <v>32</v>
      </c>
      <c r="U431" s="25" t="s">
        <v>298</v>
      </c>
      <c r="V431" s="25" t="s">
        <v>1093</v>
      </c>
      <c r="W431" s="27" t="s">
        <v>1832</v>
      </c>
      <c r="X431" s="28" t="s">
        <v>1833</v>
      </c>
      <c r="Y431" s="28"/>
      <c r="Z431" s="29" t="s">
        <v>37</v>
      </c>
    </row>
    <row r="432" spans="1:26" ht="30" customHeight="1" thickBot="1" x14ac:dyDescent="0.25">
      <c r="A432" s="17">
        <f t="shared" si="13"/>
        <v>431</v>
      </c>
      <c r="B432" s="18" t="s">
        <v>25</v>
      </c>
      <c r="C432" s="19">
        <v>3210225316637</v>
      </c>
      <c r="D432" s="19">
        <v>1441</v>
      </c>
      <c r="E432" s="20">
        <v>42710</v>
      </c>
      <c r="F432" s="20">
        <v>46362</v>
      </c>
      <c r="G432" s="21">
        <v>30113</v>
      </c>
      <c r="H432" s="22">
        <f t="shared" ca="1" si="12"/>
        <v>44</v>
      </c>
      <c r="I432" s="19" t="s">
        <v>26</v>
      </c>
      <c r="J432" s="18" t="s">
        <v>27</v>
      </c>
      <c r="K432" s="18"/>
      <c r="L432" s="23" t="s">
        <v>81</v>
      </c>
      <c r="M432" s="23" t="s">
        <v>1834</v>
      </c>
      <c r="N432" s="23" t="s">
        <v>1551</v>
      </c>
      <c r="O432" s="18">
        <v>1</v>
      </c>
      <c r="P432" s="24"/>
      <c r="Q432" s="25">
        <v>45748</v>
      </c>
      <c r="R432" s="13">
        <v>0</v>
      </c>
      <c r="S432" s="26" t="str">
        <f>VLOOKUP(C432,'[1]Bazaar Salary'!$B$6:$J$1193,9,0)</f>
        <v>03660010100926680017</v>
      </c>
      <c r="T432" s="25" t="s">
        <v>32</v>
      </c>
      <c r="U432" s="25" t="s">
        <v>298</v>
      </c>
      <c r="V432" s="25" t="s">
        <v>1093</v>
      </c>
      <c r="W432" s="27" t="s">
        <v>1835</v>
      </c>
      <c r="X432" s="28" t="s">
        <v>1836</v>
      </c>
      <c r="Y432" s="28"/>
      <c r="Z432" s="29" t="s">
        <v>37</v>
      </c>
    </row>
    <row r="433" spans="1:26" ht="30" customHeight="1" thickBot="1" x14ac:dyDescent="0.25">
      <c r="A433" s="17">
        <f t="shared" si="13"/>
        <v>432</v>
      </c>
      <c r="B433" s="18" t="s">
        <v>25</v>
      </c>
      <c r="C433" s="19">
        <v>3210288500481</v>
      </c>
      <c r="D433" s="19">
        <v>1214</v>
      </c>
      <c r="E433" s="20">
        <v>44161</v>
      </c>
      <c r="F433" s="20">
        <v>47813</v>
      </c>
      <c r="G433" s="21">
        <v>37561</v>
      </c>
      <c r="H433" s="22">
        <f t="shared" ca="1" si="12"/>
        <v>23</v>
      </c>
      <c r="I433" s="19" t="s">
        <v>26</v>
      </c>
      <c r="J433" s="18" t="s">
        <v>27</v>
      </c>
      <c r="K433" s="18"/>
      <c r="L433" s="23" t="s">
        <v>413</v>
      </c>
      <c r="M433" s="23" t="s">
        <v>1837</v>
      </c>
      <c r="N433" s="23" t="s">
        <v>1488</v>
      </c>
      <c r="O433" s="18">
        <v>1</v>
      </c>
      <c r="P433" s="24"/>
      <c r="Q433" s="25">
        <v>44317</v>
      </c>
      <c r="R433" s="13">
        <v>0</v>
      </c>
      <c r="S433" s="26" t="str">
        <f>VLOOKUP(C433,'[1]Bazaar Salary'!$B$6:$J$1193,9,0)</f>
        <v>00720010075967840012</v>
      </c>
      <c r="T433" s="25" t="s">
        <v>32</v>
      </c>
      <c r="U433" s="25" t="s">
        <v>298</v>
      </c>
      <c r="V433" s="25" t="s">
        <v>1093</v>
      </c>
      <c r="W433" s="27" t="s">
        <v>1838</v>
      </c>
      <c r="X433" s="28" t="s">
        <v>1839</v>
      </c>
      <c r="Y433" s="28"/>
      <c r="Z433" s="29" t="s">
        <v>37</v>
      </c>
    </row>
    <row r="434" spans="1:26" ht="30" customHeight="1" thickBot="1" x14ac:dyDescent="0.25">
      <c r="A434" s="17">
        <f t="shared" si="13"/>
        <v>433</v>
      </c>
      <c r="B434" s="18" t="s">
        <v>25</v>
      </c>
      <c r="C434" s="19">
        <v>3210284786517</v>
      </c>
      <c r="D434" s="19">
        <v>1554</v>
      </c>
      <c r="E434" s="20">
        <v>45169</v>
      </c>
      <c r="F434" s="20">
        <v>48822</v>
      </c>
      <c r="G434" s="21">
        <v>29704</v>
      </c>
      <c r="H434" s="22">
        <f t="shared" ca="1" si="12"/>
        <v>45</v>
      </c>
      <c r="I434" s="19" t="s">
        <v>26</v>
      </c>
      <c r="J434" s="18" t="s">
        <v>27</v>
      </c>
      <c r="K434" s="18"/>
      <c r="L434" s="23" t="s">
        <v>1840</v>
      </c>
      <c r="M434" s="23" t="s">
        <v>1841</v>
      </c>
      <c r="N434" s="23" t="s">
        <v>1488</v>
      </c>
      <c r="O434" s="18">
        <v>1</v>
      </c>
      <c r="P434" s="24"/>
      <c r="Q434" s="25">
        <v>45748</v>
      </c>
      <c r="R434" s="13">
        <v>0</v>
      </c>
      <c r="S434" s="26" t="str">
        <f>VLOOKUP(C434,'[1]Bazaar Salary'!$B$6:$J$1193,9,0)</f>
        <v>00720010120350140015</v>
      </c>
      <c r="T434" s="25" t="s">
        <v>32</v>
      </c>
      <c r="U434" s="25" t="s">
        <v>298</v>
      </c>
      <c r="V434" s="25" t="s">
        <v>1093</v>
      </c>
      <c r="W434" s="27" t="s">
        <v>1842</v>
      </c>
      <c r="X434" s="28" t="s">
        <v>1843</v>
      </c>
      <c r="Y434" s="28"/>
      <c r="Z434" s="29" t="s">
        <v>37</v>
      </c>
    </row>
    <row r="435" spans="1:26" ht="30" customHeight="1" thickBot="1" x14ac:dyDescent="0.25">
      <c r="A435" s="17">
        <f t="shared" si="13"/>
        <v>434</v>
      </c>
      <c r="B435" s="18" t="s">
        <v>25</v>
      </c>
      <c r="C435" s="19">
        <v>3210290417823</v>
      </c>
      <c r="D435" s="19">
        <v>581</v>
      </c>
      <c r="E435" s="20">
        <v>44459</v>
      </c>
      <c r="F435" s="20">
        <v>48111</v>
      </c>
      <c r="G435" s="21">
        <v>31463</v>
      </c>
      <c r="H435" s="22">
        <f t="shared" ca="1" si="12"/>
        <v>40</v>
      </c>
      <c r="I435" s="19" t="s">
        <v>26</v>
      </c>
      <c r="J435" s="18" t="s">
        <v>27</v>
      </c>
      <c r="K435" s="18"/>
      <c r="L435" s="23" t="s">
        <v>1844</v>
      </c>
      <c r="M435" s="23" t="s">
        <v>1845</v>
      </c>
      <c r="N435" s="23" t="s">
        <v>1488</v>
      </c>
      <c r="O435" s="18">
        <v>1</v>
      </c>
      <c r="P435" s="24"/>
      <c r="Q435" s="25">
        <v>42948</v>
      </c>
      <c r="R435" s="13">
        <v>0</v>
      </c>
      <c r="S435" s="26" t="str">
        <f>VLOOKUP(C435,'[1]Bazaar Salary'!$B$6:$J$1193,9,0)</f>
        <v>00720010046543750011</v>
      </c>
      <c r="T435" s="25" t="s">
        <v>32</v>
      </c>
      <c r="U435" s="25" t="s">
        <v>298</v>
      </c>
      <c r="V435" s="25" t="s">
        <v>1093</v>
      </c>
      <c r="W435" s="27" t="s">
        <v>1846</v>
      </c>
      <c r="X435" s="28" t="s">
        <v>1829</v>
      </c>
      <c r="Y435" s="28"/>
      <c r="Z435" s="29" t="s">
        <v>37</v>
      </c>
    </row>
    <row r="436" spans="1:26" ht="30" customHeight="1" thickBot="1" x14ac:dyDescent="0.25">
      <c r="A436" s="17">
        <f t="shared" si="13"/>
        <v>435</v>
      </c>
      <c r="B436" s="18" t="s">
        <v>25</v>
      </c>
      <c r="C436" s="19">
        <v>3210267825819</v>
      </c>
      <c r="D436" s="19">
        <v>580</v>
      </c>
      <c r="E436" s="20">
        <v>42086</v>
      </c>
      <c r="F436" s="20">
        <v>45739</v>
      </c>
      <c r="G436" s="21">
        <v>31238</v>
      </c>
      <c r="H436" s="22">
        <f t="shared" ca="1" si="12"/>
        <v>40</v>
      </c>
      <c r="I436" s="19" t="s">
        <v>26</v>
      </c>
      <c r="J436" s="18" t="s">
        <v>27</v>
      </c>
      <c r="K436" s="18"/>
      <c r="L436" s="23" t="s">
        <v>127</v>
      </c>
      <c r="M436" s="23" t="s">
        <v>769</v>
      </c>
      <c r="N436" s="23" t="s">
        <v>1488</v>
      </c>
      <c r="O436" s="18">
        <v>1</v>
      </c>
      <c r="P436" s="24"/>
      <c r="Q436" s="25">
        <v>42861</v>
      </c>
      <c r="R436" s="13">
        <v>0</v>
      </c>
      <c r="S436" s="26" t="str">
        <f>VLOOKUP(C436,'[1]Bazaar Salary'!$B$6:$J$1193,9,0)</f>
        <v>00720010046271260012</v>
      </c>
      <c r="T436" s="25" t="s">
        <v>32</v>
      </c>
      <c r="U436" s="25" t="s">
        <v>298</v>
      </c>
      <c r="V436" s="25" t="s">
        <v>1093</v>
      </c>
      <c r="W436" s="27" t="s">
        <v>1847</v>
      </c>
      <c r="X436" s="28" t="s">
        <v>1848</v>
      </c>
      <c r="Y436" s="28"/>
      <c r="Z436" s="29" t="s">
        <v>37</v>
      </c>
    </row>
    <row r="437" spans="1:26" ht="30" customHeight="1" thickBot="1" x14ac:dyDescent="0.25">
      <c r="A437" s="17">
        <f t="shared" si="13"/>
        <v>436</v>
      </c>
      <c r="B437" s="18" t="s">
        <v>25</v>
      </c>
      <c r="C437" s="19">
        <v>3210367471079</v>
      </c>
      <c r="D437" s="19">
        <v>1486</v>
      </c>
      <c r="E437" s="20">
        <v>43700</v>
      </c>
      <c r="F437" s="20">
        <v>47353</v>
      </c>
      <c r="G437" s="21">
        <v>32243</v>
      </c>
      <c r="H437" s="22">
        <f t="shared" ca="1" si="12"/>
        <v>38</v>
      </c>
      <c r="I437" s="19" t="s">
        <v>26</v>
      </c>
      <c r="J437" s="18" t="s">
        <v>27</v>
      </c>
      <c r="K437" s="18"/>
      <c r="L437" s="23" t="s">
        <v>1849</v>
      </c>
      <c r="M437" s="23" t="s">
        <v>1850</v>
      </c>
      <c r="N437" s="23" t="s">
        <v>1488</v>
      </c>
      <c r="O437" s="18">
        <v>1</v>
      </c>
      <c r="P437" s="24"/>
      <c r="Q437" s="25">
        <v>45748</v>
      </c>
      <c r="R437" s="13">
        <v>0</v>
      </c>
      <c r="S437" s="26" t="str">
        <f>VLOOKUP(C437,'[1]Bazaar Salary'!$B$6:$J$1193,9,0)</f>
        <v>07330010104514190010</v>
      </c>
      <c r="T437" s="25" t="s">
        <v>32</v>
      </c>
      <c r="U437" s="25" t="s">
        <v>292</v>
      </c>
      <c r="V437" s="25" t="s">
        <v>1356</v>
      </c>
      <c r="W437" s="27" t="s">
        <v>1851</v>
      </c>
      <c r="X437" s="28" t="s">
        <v>1852</v>
      </c>
      <c r="Y437" s="28"/>
      <c r="Z437" s="29" t="s">
        <v>37</v>
      </c>
    </row>
    <row r="438" spans="1:26" ht="30" customHeight="1" thickBot="1" x14ac:dyDescent="0.25">
      <c r="A438" s="17">
        <f t="shared" si="13"/>
        <v>437</v>
      </c>
      <c r="B438" s="18" t="s">
        <v>25</v>
      </c>
      <c r="C438" s="19">
        <v>3240274766701</v>
      </c>
      <c r="D438" s="19">
        <v>1555</v>
      </c>
      <c r="E438" s="25">
        <v>45470</v>
      </c>
      <c r="F438" s="20">
        <v>49122</v>
      </c>
      <c r="G438" s="21">
        <v>35115</v>
      </c>
      <c r="H438" s="22">
        <f t="shared" ca="1" si="12"/>
        <v>30</v>
      </c>
      <c r="I438" s="19" t="s">
        <v>26</v>
      </c>
      <c r="J438" s="18" t="s">
        <v>27</v>
      </c>
      <c r="K438" s="18"/>
      <c r="L438" s="23" t="s">
        <v>548</v>
      </c>
      <c r="M438" s="23" t="s">
        <v>1853</v>
      </c>
      <c r="N438" s="23" t="s">
        <v>1488</v>
      </c>
      <c r="O438" s="18">
        <v>1</v>
      </c>
      <c r="P438" s="24"/>
      <c r="Q438" s="25">
        <v>45748</v>
      </c>
      <c r="R438" s="13">
        <v>0</v>
      </c>
      <c r="S438" s="26" t="str">
        <f>VLOOKUP(C438,'[1]Bazaar Salary'!$B$6:$J$1193,9,0)</f>
        <v>13620010109619880010</v>
      </c>
      <c r="T438" s="25" t="s">
        <v>32</v>
      </c>
      <c r="U438" s="25" t="s">
        <v>298</v>
      </c>
      <c r="V438" s="25" t="s">
        <v>1093</v>
      </c>
      <c r="W438" s="27" t="s">
        <v>741</v>
      </c>
      <c r="X438" s="28" t="s">
        <v>1854</v>
      </c>
      <c r="Y438" s="28"/>
      <c r="Z438" s="29" t="s">
        <v>37</v>
      </c>
    </row>
    <row r="439" spans="1:26" ht="30" customHeight="1" thickBot="1" x14ac:dyDescent="0.25">
      <c r="A439" s="17">
        <f t="shared" si="13"/>
        <v>438</v>
      </c>
      <c r="B439" s="18" t="s">
        <v>25</v>
      </c>
      <c r="C439" s="19">
        <v>3210213501877</v>
      </c>
      <c r="D439" s="19">
        <v>1423</v>
      </c>
      <c r="E439" s="20">
        <v>44747</v>
      </c>
      <c r="F439" s="20">
        <v>48400</v>
      </c>
      <c r="G439" s="21">
        <v>28219</v>
      </c>
      <c r="H439" s="22">
        <f t="shared" ca="1" si="12"/>
        <v>49</v>
      </c>
      <c r="I439" s="19" t="s">
        <v>26</v>
      </c>
      <c r="J439" s="18" t="s">
        <v>27</v>
      </c>
      <c r="K439" s="18"/>
      <c r="L439" s="23" t="s">
        <v>1855</v>
      </c>
      <c r="M439" s="23" t="s">
        <v>1856</v>
      </c>
      <c r="N439" s="23" t="s">
        <v>1488</v>
      </c>
      <c r="O439" s="18">
        <v>1</v>
      </c>
      <c r="P439" s="24"/>
      <c r="Q439" s="25">
        <v>45748</v>
      </c>
      <c r="R439" s="13">
        <v>0</v>
      </c>
      <c r="S439" s="26" t="str">
        <f>VLOOKUP(C439,'[1]Bazaar Salary'!$B$6:$J$1193,9,0)</f>
        <v>03660010100982040015</v>
      </c>
      <c r="T439" s="25" t="s">
        <v>32</v>
      </c>
      <c r="U439" s="25" t="s">
        <v>298</v>
      </c>
      <c r="V439" s="25" t="s">
        <v>1093</v>
      </c>
      <c r="W439" s="27" t="s">
        <v>1857</v>
      </c>
      <c r="X439" s="28" t="s">
        <v>1858</v>
      </c>
      <c r="Y439" s="28"/>
      <c r="Z439" s="29" t="s">
        <v>37</v>
      </c>
    </row>
    <row r="440" spans="1:26" ht="30" customHeight="1" thickBot="1" x14ac:dyDescent="0.25">
      <c r="A440" s="17">
        <f t="shared" si="13"/>
        <v>439</v>
      </c>
      <c r="B440" s="18" t="s">
        <v>25</v>
      </c>
      <c r="C440" s="19">
        <v>3210269020621</v>
      </c>
      <c r="D440" s="19">
        <v>579</v>
      </c>
      <c r="E440" s="20">
        <v>44736</v>
      </c>
      <c r="F440" s="20">
        <v>48389</v>
      </c>
      <c r="G440" s="21">
        <v>33637</v>
      </c>
      <c r="H440" s="22">
        <f t="shared" ca="1" si="12"/>
        <v>34</v>
      </c>
      <c r="I440" s="19" t="s">
        <v>26</v>
      </c>
      <c r="J440" s="18" t="s">
        <v>27</v>
      </c>
      <c r="K440" s="18"/>
      <c r="L440" s="23" t="s">
        <v>1859</v>
      </c>
      <c r="M440" s="23" t="s">
        <v>1860</v>
      </c>
      <c r="N440" s="23" t="s">
        <v>1499</v>
      </c>
      <c r="O440" s="18">
        <v>1</v>
      </c>
      <c r="P440" s="24"/>
      <c r="Q440" s="25">
        <v>42524</v>
      </c>
      <c r="R440" s="13">
        <v>0</v>
      </c>
      <c r="S440" s="26" t="str">
        <f>VLOOKUP(C440,'[1]Bazaar Salary'!$B$6:$J$1193,9,0)</f>
        <v>00720010046270570015</v>
      </c>
      <c r="T440" s="25" t="s">
        <v>32</v>
      </c>
      <c r="U440" s="25" t="s">
        <v>298</v>
      </c>
      <c r="V440" s="25" t="s">
        <v>1861</v>
      </c>
      <c r="W440" s="27" t="s">
        <v>1862</v>
      </c>
      <c r="X440" s="28" t="s">
        <v>1863</v>
      </c>
      <c r="Y440" s="28"/>
      <c r="Z440" s="29" t="s">
        <v>37</v>
      </c>
    </row>
    <row r="441" spans="1:26" ht="30" customHeight="1" thickBot="1" x14ac:dyDescent="0.25">
      <c r="A441" s="17">
        <f t="shared" si="13"/>
        <v>440</v>
      </c>
      <c r="B441" s="18" t="s">
        <v>25</v>
      </c>
      <c r="C441" s="19">
        <v>3210224482597</v>
      </c>
      <c r="D441" s="19">
        <v>1109</v>
      </c>
      <c r="E441" s="20">
        <v>42052</v>
      </c>
      <c r="F441" s="20">
        <v>45705</v>
      </c>
      <c r="G441" s="21">
        <v>25569</v>
      </c>
      <c r="H441" s="22">
        <f t="shared" ca="1" si="12"/>
        <v>56</v>
      </c>
      <c r="I441" s="19" t="s">
        <v>26</v>
      </c>
      <c r="J441" s="18" t="s">
        <v>27</v>
      </c>
      <c r="K441" s="18"/>
      <c r="L441" s="23" t="s">
        <v>1864</v>
      </c>
      <c r="M441" s="23" t="s">
        <v>1379</v>
      </c>
      <c r="N441" s="23" t="s">
        <v>1499</v>
      </c>
      <c r="O441" s="18">
        <v>1</v>
      </c>
      <c r="P441" s="24"/>
      <c r="Q441" s="25">
        <v>43678</v>
      </c>
      <c r="R441" s="13">
        <v>0</v>
      </c>
      <c r="S441" s="26" t="str">
        <f>VLOOKUP(C441,'[1]Bazaar Salary'!$B$6:$J$1193,9,0)</f>
        <v>00720010058997950019</v>
      </c>
      <c r="T441" s="25" t="s">
        <v>32</v>
      </c>
      <c r="U441" s="25" t="s">
        <v>298</v>
      </c>
      <c r="V441" s="25" t="s">
        <v>1093</v>
      </c>
      <c r="W441" s="27" t="s">
        <v>1865</v>
      </c>
      <c r="X441" s="28" t="s">
        <v>1866</v>
      </c>
      <c r="Y441" s="28"/>
      <c r="Z441" s="29" t="s">
        <v>37</v>
      </c>
    </row>
    <row r="442" spans="1:26" ht="30" customHeight="1" thickBot="1" x14ac:dyDescent="0.25">
      <c r="A442" s="17">
        <f t="shared" si="13"/>
        <v>441</v>
      </c>
      <c r="B442" s="18" t="s">
        <v>25</v>
      </c>
      <c r="C442" s="19">
        <v>3210261900949</v>
      </c>
      <c r="D442" s="19">
        <v>1108</v>
      </c>
      <c r="E442" s="20">
        <v>43547</v>
      </c>
      <c r="F442" s="20">
        <v>47200</v>
      </c>
      <c r="G442" s="21">
        <v>27760</v>
      </c>
      <c r="H442" s="22">
        <f t="shared" ca="1" si="12"/>
        <v>50</v>
      </c>
      <c r="I442" s="19" t="s">
        <v>26</v>
      </c>
      <c r="J442" s="18" t="s">
        <v>27</v>
      </c>
      <c r="K442" s="18"/>
      <c r="L442" s="23" t="s">
        <v>1867</v>
      </c>
      <c r="M442" s="23" t="s">
        <v>1645</v>
      </c>
      <c r="N442" s="23" t="s">
        <v>1499</v>
      </c>
      <c r="O442" s="18">
        <v>1</v>
      </c>
      <c r="P442" s="24"/>
      <c r="Q442" s="25">
        <v>43678</v>
      </c>
      <c r="R442" s="13">
        <v>0</v>
      </c>
      <c r="S442" s="26" t="str">
        <f>VLOOKUP(C442,'[1]Bazaar Salary'!$B$6:$J$1193,9,0)</f>
        <v>00720010059923820017</v>
      </c>
      <c r="T442" s="25" t="s">
        <v>32</v>
      </c>
      <c r="U442" s="25" t="s">
        <v>298</v>
      </c>
      <c r="V442" s="25" t="s">
        <v>1093</v>
      </c>
      <c r="W442" s="27" t="s">
        <v>1868</v>
      </c>
      <c r="X442" s="28" t="s">
        <v>1869</v>
      </c>
      <c r="Y442" s="28"/>
      <c r="Z442" s="29" t="s">
        <v>37</v>
      </c>
    </row>
    <row r="443" spans="1:26" ht="30" customHeight="1" thickBot="1" x14ac:dyDescent="0.25">
      <c r="A443" s="17">
        <f t="shared" si="13"/>
        <v>442</v>
      </c>
      <c r="B443" s="18" t="s">
        <v>25</v>
      </c>
      <c r="C443" s="19">
        <v>3210210277205</v>
      </c>
      <c r="D443" s="19">
        <v>1107</v>
      </c>
      <c r="E443" s="20">
        <v>44504</v>
      </c>
      <c r="F443" s="20">
        <v>48156</v>
      </c>
      <c r="G443" s="21">
        <v>27089</v>
      </c>
      <c r="H443" s="22">
        <f t="shared" ca="1" si="12"/>
        <v>52</v>
      </c>
      <c r="I443" s="19" t="s">
        <v>26</v>
      </c>
      <c r="J443" s="18" t="s">
        <v>27</v>
      </c>
      <c r="K443" s="18"/>
      <c r="L443" s="23" t="s">
        <v>1870</v>
      </c>
      <c r="M443" s="23" t="s">
        <v>1871</v>
      </c>
      <c r="N443" s="23" t="s">
        <v>1499</v>
      </c>
      <c r="O443" s="18">
        <v>1</v>
      </c>
      <c r="P443" s="24"/>
      <c r="Q443" s="25">
        <v>43678</v>
      </c>
      <c r="R443" s="13">
        <v>0</v>
      </c>
      <c r="S443" s="26" t="str">
        <f>VLOOKUP(C443,'[1]Bazaar Salary'!$B$6:$J$1193,9,0)</f>
        <v>00720010058985250012</v>
      </c>
      <c r="T443" s="25" t="s">
        <v>32</v>
      </c>
      <c r="U443" s="25" t="s">
        <v>298</v>
      </c>
      <c r="V443" s="25" t="s">
        <v>1093</v>
      </c>
      <c r="W443" s="27" t="s">
        <v>1872</v>
      </c>
      <c r="X443" s="28" t="s">
        <v>1873</v>
      </c>
      <c r="Y443" s="28"/>
      <c r="Z443" s="29" t="s">
        <v>37</v>
      </c>
    </row>
    <row r="444" spans="1:26" ht="30" customHeight="1" thickBot="1" x14ac:dyDescent="0.25">
      <c r="A444" s="17">
        <f t="shared" si="13"/>
        <v>443</v>
      </c>
      <c r="B444" s="18" t="s">
        <v>25</v>
      </c>
      <c r="C444" s="19">
        <v>3210403984157</v>
      </c>
      <c r="D444" s="19">
        <v>1467</v>
      </c>
      <c r="E444" s="20">
        <v>43081</v>
      </c>
      <c r="F444" s="20">
        <v>46733</v>
      </c>
      <c r="G444" s="21">
        <v>35463</v>
      </c>
      <c r="H444" s="22">
        <f t="shared" ca="1" si="12"/>
        <v>29</v>
      </c>
      <c r="I444" s="19" t="s">
        <v>26</v>
      </c>
      <c r="J444" s="18" t="s">
        <v>27</v>
      </c>
      <c r="K444" s="18"/>
      <c r="L444" s="23" t="s">
        <v>1874</v>
      </c>
      <c r="M444" s="23" t="s">
        <v>1875</v>
      </c>
      <c r="N444" s="23" t="s">
        <v>1499</v>
      </c>
      <c r="O444" s="18">
        <v>1</v>
      </c>
      <c r="P444" s="24"/>
      <c r="Q444" s="25">
        <v>45748</v>
      </c>
      <c r="R444" s="13">
        <v>0</v>
      </c>
      <c r="S444" s="26" t="str">
        <f>VLOOKUP(C444,'[1]Bazaar Salary'!$B$6:$J$1193,9,0)</f>
        <v>07330010101809140018</v>
      </c>
      <c r="T444" s="25" t="s">
        <v>32</v>
      </c>
      <c r="U444" s="25" t="s">
        <v>298</v>
      </c>
      <c r="V444" s="25" t="s">
        <v>1356</v>
      </c>
      <c r="W444" s="35" t="s">
        <v>1876</v>
      </c>
      <c r="X444" s="28" t="s">
        <v>1877</v>
      </c>
      <c r="Y444" s="28"/>
      <c r="Z444" s="29" t="s">
        <v>37</v>
      </c>
    </row>
    <row r="445" spans="1:26" ht="30" customHeight="1" thickBot="1" x14ac:dyDescent="0.25">
      <c r="A445" s="17">
        <f t="shared" si="13"/>
        <v>444</v>
      </c>
      <c r="B445" s="18" t="s">
        <v>25</v>
      </c>
      <c r="C445" s="19">
        <v>3210225610865</v>
      </c>
      <c r="D445" s="19">
        <v>496</v>
      </c>
      <c r="E445" s="20">
        <v>44629</v>
      </c>
      <c r="F445" s="20">
        <v>48282</v>
      </c>
      <c r="G445" s="21">
        <v>34318</v>
      </c>
      <c r="H445" s="22">
        <f t="shared" ca="1" si="12"/>
        <v>32</v>
      </c>
      <c r="I445" s="19" t="s">
        <v>26</v>
      </c>
      <c r="J445" s="18" t="s">
        <v>27</v>
      </c>
      <c r="K445" s="18"/>
      <c r="L445" s="23" t="s">
        <v>1878</v>
      </c>
      <c r="M445" s="23" t="s">
        <v>1879</v>
      </c>
      <c r="N445" s="23" t="s">
        <v>1499</v>
      </c>
      <c r="O445" s="18">
        <v>1</v>
      </c>
      <c r="P445" s="24"/>
      <c r="Q445" s="25">
        <v>42516</v>
      </c>
      <c r="R445" s="13">
        <v>0</v>
      </c>
      <c r="S445" s="26" t="str">
        <f>VLOOKUP(C445,'[1]Bazaar Salary'!$B$6:$J$1193,9,0)</f>
        <v>00720010045896860014</v>
      </c>
      <c r="T445" s="25" t="s">
        <v>32</v>
      </c>
      <c r="U445" s="25" t="s">
        <v>298</v>
      </c>
      <c r="V445" s="25" t="s">
        <v>884</v>
      </c>
      <c r="W445" s="27" t="s">
        <v>1862</v>
      </c>
      <c r="X445" s="28" t="s">
        <v>1880</v>
      </c>
      <c r="Y445" s="28"/>
      <c r="Z445" s="29" t="s">
        <v>37</v>
      </c>
    </row>
    <row r="446" spans="1:26" ht="30" customHeight="1" thickBot="1" x14ac:dyDescent="0.25">
      <c r="A446" s="17">
        <f t="shared" si="13"/>
        <v>445</v>
      </c>
      <c r="B446" s="18" t="s">
        <v>25</v>
      </c>
      <c r="C446" s="19">
        <v>3210207166313</v>
      </c>
      <c r="D446" s="19">
        <v>1709</v>
      </c>
      <c r="E446" s="20">
        <v>42108</v>
      </c>
      <c r="F446" s="20">
        <v>45761</v>
      </c>
      <c r="G446" s="21">
        <v>35377</v>
      </c>
      <c r="H446" s="22">
        <f t="shared" ca="1" si="12"/>
        <v>29</v>
      </c>
      <c r="I446" s="19" t="s">
        <v>26</v>
      </c>
      <c r="J446" s="18" t="s">
        <v>27</v>
      </c>
      <c r="K446" s="18"/>
      <c r="L446" s="23" t="s">
        <v>1881</v>
      </c>
      <c r="M446" s="23" t="s">
        <v>1554</v>
      </c>
      <c r="N446" s="23" t="s">
        <v>1499</v>
      </c>
      <c r="O446" s="18">
        <v>1</v>
      </c>
      <c r="P446" s="24"/>
      <c r="Q446" s="25">
        <v>45748</v>
      </c>
      <c r="R446" s="13">
        <v>0</v>
      </c>
      <c r="S446" s="26" t="str">
        <f>VLOOKUP(C446,'[1]Bazaar Salary'!$B$6:$J$1193,9,0)</f>
        <v>52000020138688920014</v>
      </c>
      <c r="T446" s="25" t="s">
        <v>32</v>
      </c>
      <c r="U446" s="25" t="s">
        <v>298</v>
      </c>
      <c r="V446" s="25" t="s">
        <v>1093</v>
      </c>
      <c r="W446" s="27" t="s">
        <v>1882</v>
      </c>
      <c r="X446" s="28" t="s">
        <v>1883</v>
      </c>
      <c r="Y446" s="28"/>
      <c r="Z446" s="29" t="s">
        <v>37</v>
      </c>
    </row>
    <row r="447" spans="1:26" ht="30" customHeight="1" thickBot="1" x14ac:dyDescent="0.25">
      <c r="A447" s="17">
        <f t="shared" si="13"/>
        <v>446</v>
      </c>
      <c r="B447" s="18" t="s">
        <v>25</v>
      </c>
      <c r="C447" s="19">
        <v>3210259736709</v>
      </c>
      <c r="D447" s="19">
        <v>1173</v>
      </c>
      <c r="E447" s="20">
        <v>44735</v>
      </c>
      <c r="F447" s="20">
        <v>48388</v>
      </c>
      <c r="G447" s="21">
        <v>33726</v>
      </c>
      <c r="H447" s="22">
        <f t="shared" ca="1" si="12"/>
        <v>34</v>
      </c>
      <c r="I447" s="19" t="s">
        <v>26</v>
      </c>
      <c r="J447" s="18" t="s">
        <v>27</v>
      </c>
      <c r="K447" s="18"/>
      <c r="L447" s="23" t="s">
        <v>1884</v>
      </c>
      <c r="M447" s="23" t="s">
        <v>1885</v>
      </c>
      <c r="N447" s="23" t="s">
        <v>1499</v>
      </c>
      <c r="O447" s="18">
        <v>1</v>
      </c>
      <c r="P447" s="24"/>
      <c r="Q447" s="25">
        <v>44317</v>
      </c>
      <c r="R447" s="13">
        <v>0</v>
      </c>
      <c r="S447" s="26" t="str">
        <f>VLOOKUP(C447,'[1]Bazaar Salary'!$B$6:$J$1193,9,0)</f>
        <v>00720010066374340011</v>
      </c>
      <c r="T447" s="25" t="s">
        <v>32</v>
      </c>
      <c r="U447" s="25" t="s">
        <v>292</v>
      </c>
      <c r="V447" s="25" t="s">
        <v>1093</v>
      </c>
      <c r="W447" s="27" t="s">
        <v>1886</v>
      </c>
      <c r="X447" s="28" t="s">
        <v>1887</v>
      </c>
      <c r="Y447" s="28"/>
      <c r="Z447" s="29" t="s">
        <v>37</v>
      </c>
    </row>
    <row r="448" spans="1:26" ht="30" customHeight="1" thickBot="1" x14ac:dyDescent="0.25">
      <c r="A448" s="17">
        <f t="shared" si="13"/>
        <v>447</v>
      </c>
      <c r="B448" s="18" t="s">
        <v>25</v>
      </c>
      <c r="C448" s="19">
        <v>3210241065168</v>
      </c>
      <c r="D448" s="19">
        <v>1724</v>
      </c>
      <c r="E448" s="20">
        <v>45634</v>
      </c>
      <c r="F448" s="20">
        <v>49286</v>
      </c>
      <c r="G448" s="21">
        <v>26642</v>
      </c>
      <c r="H448" s="22">
        <f t="shared" ca="1" si="12"/>
        <v>53</v>
      </c>
      <c r="I448" s="19" t="s">
        <v>26</v>
      </c>
      <c r="J448" s="18" t="s">
        <v>66</v>
      </c>
      <c r="K448" s="18"/>
      <c r="L448" s="23" t="s">
        <v>1888</v>
      </c>
      <c r="M448" s="23" t="s">
        <v>1889</v>
      </c>
      <c r="N448" s="23" t="s">
        <v>1499</v>
      </c>
      <c r="O448" s="18">
        <v>1</v>
      </c>
      <c r="P448" s="24"/>
      <c r="Q448" s="25">
        <v>45748</v>
      </c>
      <c r="R448" s="13">
        <v>0</v>
      </c>
      <c r="S448" s="26" t="str">
        <f>VLOOKUP(C448,'[1]Bazaar Salary'!$B$6:$J$1193,9,0)</f>
        <v>52670020138950380011</v>
      </c>
      <c r="T448" s="25" t="s">
        <v>32</v>
      </c>
      <c r="U448" s="25" t="s">
        <v>298</v>
      </c>
      <c r="V448" s="25" t="s">
        <v>1890</v>
      </c>
      <c r="W448" s="27" t="s">
        <v>1891</v>
      </c>
      <c r="X448" s="28"/>
      <c r="Y448" s="28"/>
      <c r="Z448" s="29" t="s">
        <v>37</v>
      </c>
    </row>
    <row r="449" spans="1:26" ht="30" customHeight="1" thickBot="1" x14ac:dyDescent="0.25">
      <c r="A449" s="17">
        <f t="shared" si="13"/>
        <v>448</v>
      </c>
      <c r="B449" s="18" t="s">
        <v>25</v>
      </c>
      <c r="C449" s="19">
        <v>3540408284335</v>
      </c>
      <c r="D449" s="19">
        <v>1116</v>
      </c>
      <c r="E449" s="20">
        <v>43761</v>
      </c>
      <c r="F449" s="20">
        <v>47414</v>
      </c>
      <c r="G449" s="21">
        <v>32509</v>
      </c>
      <c r="H449" s="22">
        <f t="shared" ca="1" si="12"/>
        <v>37</v>
      </c>
      <c r="I449" s="19" t="s">
        <v>26</v>
      </c>
      <c r="J449" s="18" t="s">
        <v>27</v>
      </c>
      <c r="K449" s="18"/>
      <c r="L449" s="23" t="s">
        <v>1892</v>
      </c>
      <c r="M449" s="23" t="s">
        <v>1458</v>
      </c>
      <c r="N449" s="23" t="s">
        <v>1551</v>
      </c>
      <c r="O449" s="18">
        <v>1</v>
      </c>
      <c r="P449" s="24"/>
      <c r="Q449" s="25">
        <v>43678</v>
      </c>
      <c r="R449" s="13">
        <v>0</v>
      </c>
      <c r="S449" s="26" t="str">
        <f>VLOOKUP(C449,'[1]Bazaar Salary'!$B$6:$J$1193,9,0)</f>
        <v>06200010052467880017</v>
      </c>
      <c r="T449" s="25" t="s">
        <v>32</v>
      </c>
      <c r="U449" s="25" t="s">
        <v>1041</v>
      </c>
      <c r="V449" s="25" t="s">
        <v>1093</v>
      </c>
      <c r="W449" s="27" t="s">
        <v>1893</v>
      </c>
      <c r="X449" s="28" t="s">
        <v>1894</v>
      </c>
      <c r="Y449" s="28"/>
      <c r="Z449" s="29" t="s">
        <v>37</v>
      </c>
    </row>
    <row r="450" spans="1:26" ht="30" customHeight="1" thickBot="1" x14ac:dyDescent="0.25">
      <c r="A450" s="17">
        <f t="shared" si="13"/>
        <v>449</v>
      </c>
      <c r="B450" s="18" t="s">
        <v>25</v>
      </c>
      <c r="C450" s="19">
        <v>3540401979301</v>
      </c>
      <c r="D450" s="19">
        <v>1118</v>
      </c>
      <c r="E450" s="20">
        <v>41858</v>
      </c>
      <c r="F450" s="20" t="s">
        <v>1734</v>
      </c>
      <c r="G450" s="21">
        <v>30152</v>
      </c>
      <c r="H450" s="22">
        <f t="shared" ref="H450:H513" ca="1" si="14">INT((TODAY()-G450)/365)</f>
        <v>43</v>
      </c>
      <c r="I450" s="18" t="s">
        <v>912</v>
      </c>
      <c r="J450" s="18" t="s">
        <v>27</v>
      </c>
      <c r="K450" s="18"/>
      <c r="L450" s="23" t="s">
        <v>1895</v>
      </c>
      <c r="M450" s="23" t="s">
        <v>1896</v>
      </c>
      <c r="N450" s="23" t="s">
        <v>1488</v>
      </c>
      <c r="O450" s="18">
        <v>1</v>
      </c>
      <c r="P450" s="24"/>
      <c r="Q450" s="25">
        <v>43678</v>
      </c>
      <c r="R450" s="13">
        <v>0</v>
      </c>
      <c r="S450" s="26" t="str">
        <f>VLOOKUP(C450,'[1]Bazaar Salary'!$B$6:$J$1193,9,0)</f>
        <v>06200010052453130016</v>
      </c>
      <c r="T450" s="25" t="s">
        <v>32</v>
      </c>
      <c r="U450" s="25" t="s">
        <v>1041</v>
      </c>
      <c r="V450" s="25" t="s">
        <v>1356</v>
      </c>
      <c r="W450" s="27" t="s">
        <v>1897</v>
      </c>
      <c r="X450" s="28" t="s">
        <v>1898</v>
      </c>
      <c r="Y450" s="28"/>
      <c r="Z450" s="29" t="s">
        <v>37</v>
      </c>
    </row>
    <row r="451" spans="1:26" ht="30" customHeight="1" thickBot="1" x14ac:dyDescent="0.25">
      <c r="A451" s="17">
        <f t="shared" si="13"/>
        <v>450</v>
      </c>
      <c r="B451" s="18" t="s">
        <v>25</v>
      </c>
      <c r="C451" s="19">
        <v>3540424049985</v>
      </c>
      <c r="D451" s="19">
        <v>1533</v>
      </c>
      <c r="E451" s="20">
        <v>45016</v>
      </c>
      <c r="F451" s="20">
        <v>48669</v>
      </c>
      <c r="G451" s="21">
        <v>38351</v>
      </c>
      <c r="H451" s="22">
        <f t="shared" ca="1" si="14"/>
        <v>21</v>
      </c>
      <c r="I451" s="18" t="s">
        <v>912</v>
      </c>
      <c r="J451" s="18" t="s">
        <v>27</v>
      </c>
      <c r="K451" s="18"/>
      <c r="L451" s="30" t="s">
        <v>1899</v>
      </c>
      <c r="M451" s="30" t="s">
        <v>1896</v>
      </c>
      <c r="N451" s="23" t="s">
        <v>1488</v>
      </c>
      <c r="O451" s="18">
        <v>1</v>
      </c>
      <c r="P451" s="24"/>
      <c r="Q451" s="25">
        <v>45748</v>
      </c>
      <c r="R451" s="13">
        <v>0</v>
      </c>
      <c r="S451" s="26" t="str">
        <f>VLOOKUP(C451,'[1]Bazaar Salary'!$B$6:$J$1193,9,0)</f>
        <v>06200010116248440018</v>
      </c>
      <c r="T451" s="25" t="s">
        <v>32</v>
      </c>
      <c r="U451" s="25" t="s">
        <v>1041</v>
      </c>
      <c r="V451" s="25" t="s">
        <v>1093</v>
      </c>
      <c r="W451" s="27" t="s">
        <v>1900</v>
      </c>
      <c r="X451" s="28" t="s">
        <v>1901</v>
      </c>
      <c r="Y451" s="28"/>
      <c r="Z451" s="29" t="s">
        <v>37</v>
      </c>
    </row>
    <row r="452" spans="1:26" ht="30" customHeight="1" thickBot="1" x14ac:dyDescent="0.25">
      <c r="A452" s="17">
        <f t="shared" ref="A452:A515" si="15">A451+1</f>
        <v>451</v>
      </c>
      <c r="B452" s="18" t="s">
        <v>25</v>
      </c>
      <c r="C452" s="19">
        <v>3540452736957</v>
      </c>
      <c r="D452" s="19">
        <v>1702</v>
      </c>
      <c r="E452" s="21">
        <v>44480</v>
      </c>
      <c r="F452" s="21">
        <v>48132</v>
      </c>
      <c r="G452" s="21">
        <v>34966</v>
      </c>
      <c r="H452" s="22">
        <f t="shared" ca="1" si="14"/>
        <v>30</v>
      </c>
      <c r="I452" s="18" t="s">
        <v>912</v>
      </c>
      <c r="J452" s="18" t="s">
        <v>27</v>
      </c>
      <c r="K452" s="23"/>
      <c r="L452" s="24" t="s">
        <v>1902</v>
      </c>
      <c r="M452" s="33" t="s">
        <v>1903</v>
      </c>
      <c r="N452" s="23" t="s">
        <v>1488</v>
      </c>
      <c r="O452" s="18">
        <v>1</v>
      </c>
      <c r="P452" s="24"/>
      <c r="Q452" s="25">
        <v>45748</v>
      </c>
      <c r="R452" s="13">
        <v>0</v>
      </c>
      <c r="S452" s="26" t="str">
        <f>VLOOKUP(C452,'[1]Bazaar Salary'!$B$6:$J$1193,9,0)</f>
        <v>06200010135667180015</v>
      </c>
      <c r="T452" s="25" t="s">
        <v>32</v>
      </c>
      <c r="U452" s="25" t="s">
        <v>1041</v>
      </c>
      <c r="V452" s="25" t="s">
        <v>1093</v>
      </c>
      <c r="W452" s="33" t="s">
        <v>1904</v>
      </c>
      <c r="X452" s="36" t="s">
        <v>1905</v>
      </c>
      <c r="Y452" s="28"/>
      <c r="Z452" s="29" t="s">
        <v>37</v>
      </c>
    </row>
    <row r="453" spans="1:26" ht="30" customHeight="1" thickBot="1" x14ac:dyDescent="0.25">
      <c r="A453" s="17">
        <f t="shared" si="15"/>
        <v>452</v>
      </c>
      <c r="B453" s="18" t="s">
        <v>25</v>
      </c>
      <c r="C453" s="19">
        <v>3540497070625</v>
      </c>
      <c r="D453" s="19">
        <v>1810</v>
      </c>
      <c r="E453" s="20">
        <v>45250</v>
      </c>
      <c r="F453" s="20">
        <v>48903</v>
      </c>
      <c r="G453" s="21">
        <v>33859</v>
      </c>
      <c r="H453" s="22">
        <f t="shared" ca="1" si="14"/>
        <v>33</v>
      </c>
      <c r="I453" s="19" t="s">
        <v>26</v>
      </c>
      <c r="J453" s="18" t="s">
        <v>27</v>
      </c>
      <c r="K453" s="18"/>
      <c r="L453" s="23" t="s">
        <v>1906</v>
      </c>
      <c r="M453" s="23" t="s">
        <v>761</v>
      </c>
      <c r="N453" s="23" t="s">
        <v>1499</v>
      </c>
      <c r="O453" s="18">
        <v>1</v>
      </c>
      <c r="P453" s="24"/>
      <c r="Q453" s="25">
        <v>45748</v>
      </c>
      <c r="R453" s="13">
        <v>0</v>
      </c>
      <c r="S453" s="26" t="str">
        <f>VLOOKUP(C453,'[1]Bazaar Salary'!$B$6:$J$1193,9,0)</f>
        <v>06200010140125510018</v>
      </c>
      <c r="T453" s="25" t="s">
        <v>32</v>
      </c>
      <c r="U453" s="25" t="s">
        <v>1041</v>
      </c>
      <c r="V453" s="25" t="s">
        <v>1093</v>
      </c>
      <c r="W453" s="27" t="s">
        <v>1907</v>
      </c>
      <c r="X453" s="28" t="s">
        <v>1908</v>
      </c>
      <c r="Y453" s="28"/>
      <c r="Z453" s="29" t="s">
        <v>37</v>
      </c>
    </row>
    <row r="454" spans="1:26" ht="30" customHeight="1" thickBot="1" x14ac:dyDescent="0.25">
      <c r="A454" s="17">
        <f t="shared" si="15"/>
        <v>453</v>
      </c>
      <c r="B454" s="18" t="s">
        <v>25</v>
      </c>
      <c r="C454" s="19">
        <v>3540129827114</v>
      </c>
      <c r="D454" s="19"/>
      <c r="E454" s="20">
        <v>45240</v>
      </c>
      <c r="F454" s="20">
        <v>48893</v>
      </c>
      <c r="G454" s="21">
        <v>25004</v>
      </c>
      <c r="H454" s="22">
        <f t="shared" ca="1" si="14"/>
        <v>58</v>
      </c>
      <c r="I454" s="19" t="s">
        <v>26</v>
      </c>
      <c r="J454" s="18" t="s">
        <v>66</v>
      </c>
      <c r="K454" s="18"/>
      <c r="L454" s="23" t="s">
        <v>1909</v>
      </c>
      <c r="M454" s="23" t="s">
        <v>1910</v>
      </c>
      <c r="N454" s="23" t="s">
        <v>1499</v>
      </c>
      <c r="O454" s="18">
        <v>1</v>
      </c>
      <c r="P454" s="24"/>
      <c r="Q454" s="25">
        <v>45748</v>
      </c>
      <c r="R454" s="13">
        <v>0</v>
      </c>
      <c r="S454" s="26" t="str">
        <f>VLOOKUP(C454,'[1]Bazaar Salary'!$B$6:$J$1193,9,0)</f>
        <v>14380010139254400013</v>
      </c>
      <c r="T454" s="25" t="s">
        <v>32</v>
      </c>
      <c r="U454" s="25" t="s">
        <v>1041</v>
      </c>
      <c r="V454" s="25" t="s">
        <v>1093</v>
      </c>
      <c r="W454" s="27" t="s">
        <v>1911</v>
      </c>
      <c r="X454" s="28" t="s">
        <v>1912</v>
      </c>
      <c r="Y454" s="28"/>
      <c r="Z454" s="29" t="s">
        <v>37</v>
      </c>
    </row>
    <row r="455" spans="1:26" ht="30" customHeight="1" thickBot="1" x14ac:dyDescent="0.25">
      <c r="A455" s="17">
        <f t="shared" si="15"/>
        <v>454</v>
      </c>
      <c r="B455" s="18" t="s">
        <v>25</v>
      </c>
      <c r="C455" s="19">
        <v>3520295155010</v>
      </c>
      <c r="D455" s="19"/>
      <c r="E455" s="20">
        <v>45511</v>
      </c>
      <c r="F455" s="20">
        <v>49163</v>
      </c>
      <c r="G455" s="21">
        <v>31401</v>
      </c>
      <c r="H455" s="22">
        <f t="shared" ca="1" si="14"/>
        <v>40</v>
      </c>
      <c r="I455" s="19" t="s">
        <v>26</v>
      </c>
      <c r="J455" s="18" t="s">
        <v>66</v>
      </c>
      <c r="K455" s="18"/>
      <c r="L455" s="23" t="s">
        <v>1913</v>
      </c>
      <c r="M455" s="23" t="s">
        <v>1914</v>
      </c>
      <c r="N455" s="23" t="s">
        <v>1499</v>
      </c>
      <c r="O455" s="18">
        <v>1</v>
      </c>
      <c r="P455" s="24"/>
      <c r="Q455" s="25">
        <v>45748</v>
      </c>
      <c r="R455" s="13">
        <v>0</v>
      </c>
      <c r="S455" s="26" t="str">
        <f>VLOOKUP(C455,'[1]Bazaar Salary'!$B$6:$J$1193,9,0)</f>
        <v>00840010100589670027</v>
      </c>
      <c r="T455" s="25" t="s">
        <v>32</v>
      </c>
      <c r="U455" s="25" t="s">
        <v>1041</v>
      </c>
      <c r="V455" s="25" t="s">
        <v>1093</v>
      </c>
      <c r="W455" s="27" t="s">
        <v>1915</v>
      </c>
      <c r="X455" s="28" t="s">
        <v>1916</v>
      </c>
      <c r="Y455" s="28"/>
      <c r="Z455" s="29" t="s">
        <v>37</v>
      </c>
    </row>
    <row r="456" spans="1:26" ht="30" customHeight="1" thickBot="1" x14ac:dyDescent="0.25">
      <c r="A456" s="17">
        <f t="shared" si="15"/>
        <v>455</v>
      </c>
      <c r="B456" s="18" t="s">
        <v>25</v>
      </c>
      <c r="C456" s="19">
        <v>3540439918841</v>
      </c>
      <c r="D456" s="19">
        <v>1217</v>
      </c>
      <c r="E456" s="20">
        <v>43690</v>
      </c>
      <c r="F456" s="20">
        <v>47343</v>
      </c>
      <c r="G456" s="21">
        <v>36702</v>
      </c>
      <c r="H456" s="22">
        <f t="shared" ca="1" si="14"/>
        <v>25</v>
      </c>
      <c r="I456" s="19" t="s">
        <v>26</v>
      </c>
      <c r="J456" s="18" t="s">
        <v>27</v>
      </c>
      <c r="K456" s="18"/>
      <c r="L456" s="23" t="s">
        <v>1917</v>
      </c>
      <c r="M456" s="23" t="s">
        <v>1918</v>
      </c>
      <c r="N456" s="23" t="s">
        <v>1499</v>
      </c>
      <c r="O456" s="18">
        <v>1</v>
      </c>
      <c r="P456" s="24"/>
      <c r="Q456" s="25">
        <v>44317</v>
      </c>
      <c r="R456" s="13">
        <v>0</v>
      </c>
      <c r="S456" s="26" t="str">
        <f>VLOOKUP(C456,'[1]Bazaar Salary'!$B$6:$J$1193,9,0)</f>
        <v>07300010074221560019</v>
      </c>
      <c r="T456" s="25" t="s">
        <v>32</v>
      </c>
      <c r="U456" s="25" t="s">
        <v>1041</v>
      </c>
      <c r="V456" s="25" t="s">
        <v>1093</v>
      </c>
      <c r="W456" s="27" t="s">
        <v>1919</v>
      </c>
      <c r="X456" s="28" t="s">
        <v>1920</v>
      </c>
      <c r="Y456" s="28"/>
      <c r="Z456" s="29" t="s">
        <v>37</v>
      </c>
    </row>
    <row r="457" spans="1:26" ht="30" customHeight="1" thickBot="1" x14ac:dyDescent="0.25">
      <c r="A457" s="17">
        <f t="shared" si="15"/>
        <v>456</v>
      </c>
      <c r="B457" s="18" t="s">
        <v>25</v>
      </c>
      <c r="C457" s="19">
        <v>3540424615137</v>
      </c>
      <c r="D457" s="19">
        <v>1113</v>
      </c>
      <c r="E457" s="20">
        <v>44333</v>
      </c>
      <c r="F457" s="20">
        <v>47985</v>
      </c>
      <c r="G457" s="21">
        <v>36621</v>
      </c>
      <c r="H457" s="22">
        <f t="shared" ca="1" si="14"/>
        <v>26</v>
      </c>
      <c r="I457" s="19" t="s">
        <v>26</v>
      </c>
      <c r="J457" s="18" t="s">
        <v>27</v>
      </c>
      <c r="K457" s="18"/>
      <c r="L457" s="23" t="s">
        <v>1921</v>
      </c>
      <c r="M457" s="23" t="s">
        <v>1922</v>
      </c>
      <c r="N457" s="23" t="s">
        <v>1499</v>
      </c>
      <c r="O457" s="18">
        <v>1</v>
      </c>
      <c r="P457" s="24"/>
      <c r="Q457" s="25">
        <v>43678</v>
      </c>
      <c r="R457" s="13">
        <v>0</v>
      </c>
      <c r="S457" s="26" t="str">
        <f>VLOOKUP(C457,'[1]Bazaar Salary'!$B$6:$J$1193,9,0)</f>
        <v>06200010058608360012</v>
      </c>
      <c r="T457" s="25" t="s">
        <v>32</v>
      </c>
      <c r="U457" s="25" t="s">
        <v>1041</v>
      </c>
      <c r="V457" s="25" t="s">
        <v>1356</v>
      </c>
      <c r="W457" s="27" t="s">
        <v>1923</v>
      </c>
      <c r="X457" s="28" t="s">
        <v>1924</v>
      </c>
      <c r="Y457" s="28"/>
      <c r="Z457" s="29" t="s">
        <v>37</v>
      </c>
    </row>
    <row r="458" spans="1:26" ht="30" customHeight="1" thickBot="1" x14ac:dyDescent="0.25">
      <c r="A458" s="17">
        <f t="shared" si="15"/>
        <v>457</v>
      </c>
      <c r="B458" s="18" t="s">
        <v>25</v>
      </c>
      <c r="C458" s="19">
        <v>3540422777833</v>
      </c>
      <c r="D458" s="19">
        <v>1243</v>
      </c>
      <c r="E458" s="20">
        <v>42573</v>
      </c>
      <c r="F458" s="20">
        <v>46225</v>
      </c>
      <c r="G458" s="21">
        <v>32270</v>
      </c>
      <c r="H458" s="22">
        <f t="shared" ca="1" si="14"/>
        <v>38</v>
      </c>
      <c r="I458" s="19" t="s">
        <v>26</v>
      </c>
      <c r="J458" s="18" t="s">
        <v>27</v>
      </c>
      <c r="K458" s="18"/>
      <c r="L458" s="23" t="s">
        <v>1925</v>
      </c>
      <c r="M458" s="23" t="s">
        <v>711</v>
      </c>
      <c r="N458" s="23" t="s">
        <v>1499</v>
      </c>
      <c r="O458" s="18">
        <v>1</v>
      </c>
      <c r="P458" s="24"/>
      <c r="Q458" s="25">
        <v>44317</v>
      </c>
      <c r="R458" s="13">
        <v>0</v>
      </c>
      <c r="S458" s="26" t="str">
        <f>VLOOKUP(C458,'[1]Bazaar Salary'!$B$6:$J$1193,9,0)</f>
        <v>06200010074163630022</v>
      </c>
      <c r="T458" s="25" t="s">
        <v>32</v>
      </c>
      <c r="U458" s="25" t="s">
        <v>1041</v>
      </c>
      <c r="V458" s="25" t="s">
        <v>1535</v>
      </c>
      <c r="W458" s="27" t="s">
        <v>1926</v>
      </c>
      <c r="X458" s="28" t="s">
        <v>1927</v>
      </c>
      <c r="Y458" s="28"/>
      <c r="Z458" s="29" t="s">
        <v>37</v>
      </c>
    </row>
    <row r="459" spans="1:26" ht="30" customHeight="1" thickBot="1" x14ac:dyDescent="0.25">
      <c r="A459" s="17">
        <f t="shared" si="15"/>
        <v>458</v>
      </c>
      <c r="B459" s="18" t="s">
        <v>25</v>
      </c>
      <c r="C459" s="19">
        <v>3540474522747</v>
      </c>
      <c r="D459" s="19">
        <v>1564</v>
      </c>
      <c r="E459" s="20">
        <v>44854</v>
      </c>
      <c r="F459" s="20">
        <v>48507</v>
      </c>
      <c r="G459" s="21">
        <v>38219</v>
      </c>
      <c r="H459" s="22">
        <f t="shared" ca="1" si="14"/>
        <v>21</v>
      </c>
      <c r="I459" s="19" t="s">
        <v>26</v>
      </c>
      <c r="J459" s="18" t="s">
        <v>27</v>
      </c>
      <c r="K459" s="18"/>
      <c r="L459" s="23" t="s">
        <v>1439</v>
      </c>
      <c r="M459" s="23" t="s">
        <v>1928</v>
      </c>
      <c r="N459" s="23" t="s">
        <v>1499</v>
      </c>
      <c r="O459" s="18">
        <v>1</v>
      </c>
      <c r="P459" s="24"/>
      <c r="Q459" s="25">
        <v>45748</v>
      </c>
      <c r="R459" s="13">
        <v>0</v>
      </c>
      <c r="S459" s="26" t="str">
        <f>VLOOKUP(C459,'[1]Bazaar Salary'!$B$6:$J$1193,9,0)</f>
        <v>06200010120840560016</v>
      </c>
      <c r="T459" s="25" t="s">
        <v>32</v>
      </c>
      <c r="U459" s="25" t="s">
        <v>1041</v>
      </c>
      <c r="V459" s="25" t="s">
        <v>1093</v>
      </c>
      <c r="W459" s="27" t="s">
        <v>1929</v>
      </c>
      <c r="X459" s="28" t="s">
        <v>1930</v>
      </c>
      <c r="Y459" s="28"/>
      <c r="Z459" s="29" t="s">
        <v>37</v>
      </c>
    </row>
    <row r="460" spans="1:26" ht="30" customHeight="1" thickBot="1" x14ac:dyDescent="0.25">
      <c r="A460" s="17">
        <f t="shared" si="15"/>
        <v>459</v>
      </c>
      <c r="B460" s="18" t="s">
        <v>25</v>
      </c>
      <c r="C460" s="19">
        <v>3540460285967</v>
      </c>
      <c r="D460" s="19">
        <v>1114</v>
      </c>
      <c r="E460" s="20">
        <v>43041</v>
      </c>
      <c r="F460" s="20">
        <v>46693</v>
      </c>
      <c r="G460" s="21">
        <v>36386</v>
      </c>
      <c r="H460" s="22">
        <f t="shared" ca="1" si="14"/>
        <v>26</v>
      </c>
      <c r="I460" s="19" t="s">
        <v>26</v>
      </c>
      <c r="J460" s="18" t="s">
        <v>27</v>
      </c>
      <c r="K460" s="18"/>
      <c r="L460" s="23" t="s">
        <v>1150</v>
      </c>
      <c r="M460" s="23" t="s">
        <v>1277</v>
      </c>
      <c r="N460" s="23" t="s">
        <v>1499</v>
      </c>
      <c r="O460" s="18">
        <v>1</v>
      </c>
      <c r="P460" s="24"/>
      <c r="Q460" s="25">
        <v>43678</v>
      </c>
      <c r="R460" s="13">
        <v>0</v>
      </c>
      <c r="S460" s="26" t="str">
        <f>VLOOKUP(C460,'[1]Bazaar Salary'!$B$6:$J$1193,9,0)</f>
        <v>06200010058639520010</v>
      </c>
      <c r="T460" s="25" t="s">
        <v>32</v>
      </c>
      <c r="U460" s="25" t="s">
        <v>1041</v>
      </c>
      <c r="V460" s="25" t="s">
        <v>1093</v>
      </c>
      <c r="W460" s="27" t="s">
        <v>1931</v>
      </c>
      <c r="X460" s="28" t="s">
        <v>1932</v>
      </c>
      <c r="Y460" s="28"/>
      <c r="Z460" s="29" t="s">
        <v>37</v>
      </c>
    </row>
    <row r="461" spans="1:26" ht="30" customHeight="1" thickBot="1" x14ac:dyDescent="0.25">
      <c r="A461" s="17">
        <f t="shared" si="15"/>
        <v>460</v>
      </c>
      <c r="B461" s="18" t="s">
        <v>25</v>
      </c>
      <c r="C461" s="19">
        <v>3540475738465</v>
      </c>
      <c r="D461" s="19">
        <v>1122</v>
      </c>
      <c r="E461" s="20">
        <v>43034</v>
      </c>
      <c r="F461" s="20">
        <v>46686</v>
      </c>
      <c r="G461" s="21">
        <v>36382</v>
      </c>
      <c r="H461" s="22">
        <f t="shared" ca="1" si="14"/>
        <v>26</v>
      </c>
      <c r="I461" s="19" t="s">
        <v>26</v>
      </c>
      <c r="J461" s="18" t="s">
        <v>27</v>
      </c>
      <c r="K461" s="18"/>
      <c r="L461" s="23" t="s">
        <v>1933</v>
      </c>
      <c r="M461" s="23" t="s">
        <v>1934</v>
      </c>
      <c r="N461" s="23" t="s">
        <v>1499</v>
      </c>
      <c r="O461" s="18">
        <v>1</v>
      </c>
      <c r="P461" s="24"/>
      <c r="Q461" s="25">
        <v>43678</v>
      </c>
      <c r="R461" s="13">
        <v>0</v>
      </c>
      <c r="S461" s="26" t="str">
        <f>VLOOKUP(C461,'[1]Bazaar Salary'!$B$6:$J$1193,9,0)</f>
        <v>06200010060334820029</v>
      </c>
      <c r="T461" s="25" t="s">
        <v>32</v>
      </c>
      <c r="U461" s="25" t="s">
        <v>1041</v>
      </c>
      <c r="V461" s="25" t="s">
        <v>1535</v>
      </c>
      <c r="W461" s="27" t="s">
        <v>1935</v>
      </c>
      <c r="X461" s="28" t="s">
        <v>1936</v>
      </c>
      <c r="Y461" s="28"/>
      <c r="Z461" s="29" t="s">
        <v>37</v>
      </c>
    </row>
    <row r="462" spans="1:26" ht="30" customHeight="1" thickBot="1" x14ac:dyDescent="0.25">
      <c r="A462" s="17">
        <f t="shared" si="15"/>
        <v>461</v>
      </c>
      <c r="B462" s="18" t="s">
        <v>25</v>
      </c>
      <c r="C462" s="19">
        <v>3540494630851</v>
      </c>
      <c r="D462" s="19">
        <v>1112</v>
      </c>
      <c r="E462" s="20">
        <v>41978</v>
      </c>
      <c r="F462" s="20">
        <v>45631</v>
      </c>
      <c r="G462" s="21">
        <v>30731</v>
      </c>
      <c r="H462" s="22">
        <f t="shared" ca="1" si="14"/>
        <v>42</v>
      </c>
      <c r="I462" s="19" t="s">
        <v>26</v>
      </c>
      <c r="J462" s="18" t="s">
        <v>27</v>
      </c>
      <c r="K462" s="18"/>
      <c r="L462" s="23" t="s">
        <v>1937</v>
      </c>
      <c r="M462" s="23" t="s">
        <v>438</v>
      </c>
      <c r="N462" s="23" t="s">
        <v>1499</v>
      </c>
      <c r="O462" s="18">
        <v>1</v>
      </c>
      <c r="P462" s="24"/>
      <c r="Q462" s="25">
        <v>43678</v>
      </c>
      <c r="R462" s="13">
        <v>0</v>
      </c>
      <c r="S462" s="26" t="str">
        <f>VLOOKUP(C462,'[1]Bazaar Salary'!$B$6:$J$1193,9,0)</f>
        <v>06200010052452060016</v>
      </c>
      <c r="T462" s="25" t="s">
        <v>32</v>
      </c>
      <c r="U462" s="25" t="s">
        <v>1041</v>
      </c>
      <c r="V462" s="25" t="s">
        <v>1093</v>
      </c>
      <c r="W462" s="27" t="s">
        <v>1938</v>
      </c>
      <c r="X462" s="28" t="s">
        <v>1939</v>
      </c>
      <c r="Y462" s="28"/>
      <c r="Z462" s="29" t="s">
        <v>37</v>
      </c>
    </row>
    <row r="463" spans="1:26" ht="30" customHeight="1" thickBot="1" x14ac:dyDescent="0.25">
      <c r="A463" s="17">
        <f t="shared" si="15"/>
        <v>462</v>
      </c>
      <c r="B463" s="18" t="s">
        <v>25</v>
      </c>
      <c r="C463" s="19">
        <v>3410204252249</v>
      </c>
      <c r="D463" s="19">
        <v>438</v>
      </c>
      <c r="E463" s="20">
        <v>44736</v>
      </c>
      <c r="F463" s="20">
        <v>48389</v>
      </c>
      <c r="G463" s="21">
        <v>29954</v>
      </c>
      <c r="H463" s="22">
        <f t="shared" ca="1" si="14"/>
        <v>44</v>
      </c>
      <c r="I463" s="19" t="s">
        <v>26</v>
      </c>
      <c r="J463" s="18" t="s">
        <v>27</v>
      </c>
      <c r="K463" s="18"/>
      <c r="L463" s="23" t="s">
        <v>1940</v>
      </c>
      <c r="M463" s="23" t="s">
        <v>1941</v>
      </c>
      <c r="N463" s="23" t="s">
        <v>1551</v>
      </c>
      <c r="O463" s="18">
        <v>1</v>
      </c>
      <c r="P463" s="24"/>
      <c r="Q463" s="25">
        <v>41096</v>
      </c>
      <c r="R463" s="13">
        <v>0</v>
      </c>
      <c r="S463" s="26" t="str">
        <f>VLOOKUP(C463,'[1]Bazaar Salary'!$B$6:$J$1193,9,0)</f>
        <v>07300010045672670013</v>
      </c>
      <c r="T463" s="25" t="s">
        <v>32</v>
      </c>
      <c r="U463" s="25" t="s">
        <v>303</v>
      </c>
      <c r="V463" s="25" t="s">
        <v>1701</v>
      </c>
      <c r="W463" s="27" t="s">
        <v>1942</v>
      </c>
      <c r="X463" s="28" t="s">
        <v>1943</v>
      </c>
      <c r="Y463" s="28"/>
      <c r="Z463" s="29" t="s">
        <v>37</v>
      </c>
    </row>
    <row r="464" spans="1:26" ht="30" customHeight="1" thickBot="1" x14ac:dyDescent="0.25">
      <c r="A464" s="17">
        <f t="shared" si="15"/>
        <v>463</v>
      </c>
      <c r="B464" s="18" t="s">
        <v>25</v>
      </c>
      <c r="C464" s="19">
        <v>3840343959527</v>
      </c>
      <c r="D464" s="19">
        <v>1182</v>
      </c>
      <c r="E464" s="20">
        <v>42395</v>
      </c>
      <c r="F464" s="20">
        <v>46048</v>
      </c>
      <c r="G464" s="21">
        <v>35684</v>
      </c>
      <c r="H464" s="22">
        <f t="shared" ca="1" si="14"/>
        <v>28</v>
      </c>
      <c r="I464" s="18" t="s">
        <v>912</v>
      </c>
      <c r="J464" s="18" t="s">
        <v>27</v>
      </c>
      <c r="K464" s="18"/>
      <c r="L464" s="23" t="s">
        <v>1944</v>
      </c>
      <c r="M464" s="23" t="s">
        <v>1945</v>
      </c>
      <c r="N464" s="23" t="s">
        <v>1488</v>
      </c>
      <c r="O464" s="18">
        <v>1</v>
      </c>
      <c r="P464" s="24"/>
      <c r="Q464" s="25">
        <v>45748</v>
      </c>
      <c r="R464" s="13">
        <v>0</v>
      </c>
      <c r="S464" s="26" t="str">
        <f>VLOOKUP(C464,'[1]Bazaar Salary'!$B$6:$J$1193,9,0)</f>
        <v>07300010070319660015</v>
      </c>
      <c r="T464" s="25" t="s">
        <v>32</v>
      </c>
      <c r="U464" s="25" t="s">
        <v>303</v>
      </c>
      <c r="V464" s="25" t="s">
        <v>1093</v>
      </c>
      <c r="W464" s="27" t="s">
        <v>1946</v>
      </c>
      <c r="X464" s="28" t="s">
        <v>1947</v>
      </c>
      <c r="Y464" s="28"/>
      <c r="Z464" s="29" t="s">
        <v>37</v>
      </c>
    </row>
    <row r="465" spans="1:26" ht="30" customHeight="1" thickBot="1" x14ac:dyDescent="0.25">
      <c r="A465" s="17">
        <f t="shared" si="15"/>
        <v>464</v>
      </c>
      <c r="B465" s="18" t="s">
        <v>25</v>
      </c>
      <c r="C465" s="19">
        <v>3460220084205</v>
      </c>
      <c r="D465" s="19">
        <v>1419</v>
      </c>
      <c r="E465" s="20">
        <v>43819</v>
      </c>
      <c r="F465" s="20">
        <v>47472</v>
      </c>
      <c r="G465" s="21">
        <v>27111</v>
      </c>
      <c r="H465" s="22">
        <f t="shared" ca="1" si="14"/>
        <v>52</v>
      </c>
      <c r="I465" s="18" t="s">
        <v>912</v>
      </c>
      <c r="J465" s="18" t="s">
        <v>27</v>
      </c>
      <c r="K465" s="18"/>
      <c r="L465" s="23" t="s">
        <v>1948</v>
      </c>
      <c r="M465" s="23" t="s">
        <v>1949</v>
      </c>
      <c r="N465" s="23" t="s">
        <v>1488</v>
      </c>
      <c r="O465" s="18">
        <v>1</v>
      </c>
      <c r="P465" s="24"/>
      <c r="Q465" s="25">
        <v>45748</v>
      </c>
      <c r="R465" s="13">
        <v>0</v>
      </c>
      <c r="S465" s="26" t="str">
        <f>VLOOKUP(C465,'[1]Bazaar Salary'!$B$6:$J$1193,9,0)</f>
        <v>12620010090000790017</v>
      </c>
      <c r="T465" s="25" t="s">
        <v>32</v>
      </c>
      <c r="U465" s="25" t="s">
        <v>303</v>
      </c>
      <c r="V465" s="25" t="s">
        <v>1093</v>
      </c>
      <c r="W465" s="27" t="s">
        <v>1950</v>
      </c>
      <c r="X465" s="28" t="s">
        <v>1951</v>
      </c>
      <c r="Y465" s="28"/>
      <c r="Z465" s="29" t="s">
        <v>37</v>
      </c>
    </row>
    <row r="466" spans="1:26" ht="30" customHeight="1" thickBot="1" x14ac:dyDescent="0.25">
      <c r="A466" s="17">
        <f t="shared" si="15"/>
        <v>465</v>
      </c>
      <c r="B466" s="18" t="s">
        <v>25</v>
      </c>
      <c r="C466" s="19">
        <v>3410159007785</v>
      </c>
      <c r="D466" s="19">
        <v>1328</v>
      </c>
      <c r="E466" s="20">
        <v>44427</v>
      </c>
      <c r="F466" s="20">
        <v>48079</v>
      </c>
      <c r="G466" s="21">
        <v>37831</v>
      </c>
      <c r="H466" s="22">
        <f t="shared" ca="1" si="14"/>
        <v>22</v>
      </c>
      <c r="I466" s="18" t="s">
        <v>912</v>
      </c>
      <c r="J466" s="18" t="s">
        <v>27</v>
      </c>
      <c r="K466" s="18"/>
      <c r="L466" s="23" t="s">
        <v>1952</v>
      </c>
      <c r="M466" s="23" t="s">
        <v>1948</v>
      </c>
      <c r="N466" s="23" t="s">
        <v>1488</v>
      </c>
      <c r="O466" s="18">
        <v>1</v>
      </c>
      <c r="P466" s="24"/>
      <c r="Q466" s="25">
        <v>45748</v>
      </c>
      <c r="R466" s="13">
        <v>0</v>
      </c>
      <c r="S466" s="26" t="str">
        <f>VLOOKUP(C466,'[1]Bazaar Salary'!$B$6:$J$1193,9,0)</f>
        <v>07300010085368880019</v>
      </c>
      <c r="T466" s="25" t="s">
        <v>32</v>
      </c>
      <c r="U466" s="25" t="s">
        <v>303</v>
      </c>
      <c r="V466" s="25" t="s">
        <v>1093</v>
      </c>
      <c r="W466" s="27" t="s">
        <v>1953</v>
      </c>
      <c r="X466" s="28" t="s">
        <v>1954</v>
      </c>
      <c r="Y466" s="28"/>
      <c r="Z466" s="29" t="s">
        <v>37</v>
      </c>
    </row>
    <row r="467" spans="1:26" ht="30" customHeight="1" thickBot="1" x14ac:dyDescent="0.25">
      <c r="A467" s="17">
        <f t="shared" si="15"/>
        <v>466</v>
      </c>
      <c r="B467" s="18" t="s">
        <v>25</v>
      </c>
      <c r="C467" s="19">
        <v>3410183437737</v>
      </c>
      <c r="D467" s="19">
        <v>1417</v>
      </c>
      <c r="E467" s="20">
        <v>44649</v>
      </c>
      <c r="F467" s="20">
        <v>48302</v>
      </c>
      <c r="G467" s="21">
        <v>33493</v>
      </c>
      <c r="H467" s="22">
        <f t="shared" ca="1" si="14"/>
        <v>34</v>
      </c>
      <c r="I467" s="18" t="s">
        <v>912</v>
      </c>
      <c r="J467" s="18" t="s">
        <v>27</v>
      </c>
      <c r="K467" s="18"/>
      <c r="L467" s="23" t="s">
        <v>1955</v>
      </c>
      <c r="M467" s="23" t="s">
        <v>1956</v>
      </c>
      <c r="N467" s="23" t="s">
        <v>1488</v>
      </c>
      <c r="O467" s="18">
        <v>1</v>
      </c>
      <c r="P467" s="24"/>
      <c r="Q467" s="25">
        <v>45748</v>
      </c>
      <c r="R467" s="13">
        <v>0</v>
      </c>
      <c r="S467" s="26" t="str">
        <f>VLOOKUP(C467,'[1]Bazaar Salary'!$B$6:$J$1193,9,0)</f>
        <v>07300010094512630011</v>
      </c>
      <c r="T467" s="25" t="s">
        <v>32</v>
      </c>
      <c r="U467" s="25" t="s">
        <v>303</v>
      </c>
      <c r="V467" s="25" t="s">
        <v>1093</v>
      </c>
      <c r="W467" s="27" t="s">
        <v>1957</v>
      </c>
      <c r="X467" s="28" t="s">
        <v>1958</v>
      </c>
      <c r="Y467" s="28"/>
      <c r="Z467" s="29" t="s">
        <v>37</v>
      </c>
    </row>
    <row r="468" spans="1:26" ht="30" customHeight="1" thickBot="1" x14ac:dyDescent="0.25">
      <c r="A468" s="17">
        <f t="shared" si="15"/>
        <v>467</v>
      </c>
      <c r="B468" s="18" t="s">
        <v>25</v>
      </c>
      <c r="C468" s="19">
        <v>3410174065033</v>
      </c>
      <c r="D468" s="19">
        <v>1418</v>
      </c>
      <c r="E468" s="20">
        <v>42436</v>
      </c>
      <c r="F468" s="20">
        <v>46088</v>
      </c>
      <c r="G468" s="21">
        <v>28856</v>
      </c>
      <c r="H468" s="22">
        <f t="shared" ca="1" si="14"/>
        <v>47</v>
      </c>
      <c r="I468" s="18" t="s">
        <v>912</v>
      </c>
      <c r="J468" s="18" t="s">
        <v>27</v>
      </c>
      <c r="K468" s="18"/>
      <c r="L468" s="23" t="s">
        <v>1959</v>
      </c>
      <c r="M468" s="23" t="s">
        <v>1949</v>
      </c>
      <c r="N468" s="23" t="s">
        <v>1488</v>
      </c>
      <c r="O468" s="18">
        <v>1</v>
      </c>
      <c r="P468" s="24"/>
      <c r="Q468" s="25">
        <v>45748</v>
      </c>
      <c r="R468" s="13">
        <v>0</v>
      </c>
      <c r="S468" s="26" t="str">
        <f>VLOOKUP(C468,'[1]Bazaar Salary'!$B$6:$J$1193,9,0)</f>
        <v>07300010100713250017</v>
      </c>
      <c r="T468" s="25" t="s">
        <v>32</v>
      </c>
      <c r="U468" s="25" t="s">
        <v>303</v>
      </c>
      <c r="V468" s="25" t="s">
        <v>1093</v>
      </c>
      <c r="W468" s="27" t="s">
        <v>1950</v>
      </c>
      <c r="X468" s="28" t="s">
        <v>1958</v>
      </c>
      <c r="Y468" s="28"/>
      <c r="Z468" s="29" t="s">
        <v>37</v>
      </c>
    </row>
    <row r="469" spans="1:26" ht="30" customHeight="1" thickBot="1" x14ac:dyDescent="0.25">
      <c r="A469" s="17">
        <f t="shared" si="15"/>
        <v>468</v>
      </c>
      <c r="B469" s="18" t="s">
        <v>25</v>
      </c>
      <c r="C469" s="19">
        <v>3410483231533</v>
      </c>
      <c r="D469" s="19">
        <v>1330</v>
      </c>
      <c r="E469" s="20">
        <v>44895</v>
      </c>
      <c r="F469" s="20">
        <v>48548</v>
      </c>
      <c r="G469" s="21">
        <v>32176</v>
      </c>
      <c r="H469" s="22">
        <f t="shared" ca="1" si="14"/>
        <v>38</v>
      </c>
      <c r="I469" s="18" t="s">
        <v>912</v>
      </c>
      <c r="J469" s="18" t="s">
        <v>27</v>
      </c>
      <c r="K469" s="18"/>
      <c r="L469" s="23" t="s">
        <v>1960</v>
      </c>
      <c r="M469" s="23" t="s">
        <v>1570</v>
      </c>
      <c r="N469" s="23" t="s">
        <v>1488</v>
      </c>
      <c r="O469" s="18">
        <v>1</v>
      </c>
      <c r="P469" s="24"/>
      <c r="Q469" s="25">
        <v>45748</v>
      </c>
      <c r="R469" s="13">
        <v>0</v>
      </c>
      <c r="S469" s="26" t="str">
        <f>VLOOKUP(C469,'[1]Bazaar Salary'!$B$6:$J$1193,9,0)</f>
        <v>07300010082717960017</v>
      </c>
      <c r="T469" s="25" t="s">
        <v>32</v>
      </c>
      <c r="U469" s="25" t="s">
        <v>303</v>
      </c>
      <c r="V469" s="25" t="s">
        <v>1093</v>
      </c>
      <c r="W469" s="27" t="s">
        <v>1961</v>
      </c>
      <c r="X469" s="28" t="s">
        <v>1962</v>
      </c>
      <c r="Y469" s="28"/>
      <c r="Z469" s="29" t="s">
        <v>37</v>
      </c>
    </row>
    <row r="470" spans="1:26" ht="30" customHeight="1" thickBot="1" x14ac:dyDescent="0.25">
      <c r="A470" s="17">
        <f t="shared" si="15"/>
        <v>469</v>
      </c>
      <c r="B470" s="18" t="s">
        <v>25</v>
      </c>
      <c r="C470" s="19">
        <v>3410136970521</v>
      </c>
      <c r="D470" s="19">
        <v>1537</v>
      </c>
      <c r="E470" s="20">
        <v>45093</v>
      </c>
      <c r="F470" s="20">
        <v>48746</v>
      </c>
      <c r="G470" s="21">
        <v>37847</v>
      </c>
      <c r="H470" s="22">
        <f t="shared" ca="1" si="14"/>
        <v>22</v>
      </c>
      <c r="I470" s="18" t="s">
        <v>912</v>
      </c>
      <c r="J470" s="18" t="s">
        <v>27</v>
      </c>
      <c r="K470" s="18"/>
      <c r="L470" s="23" t="s">
        <v>1963</v>
      </c>
      <c r="M470" s="23" t="s">
        <v>1948</v>
      </c>
      <c r="N470" s="23" t="s">
        <v>1488</v>
      </c>
      <c r="O470" s="18">
        <v>1</v>
      </c>
      <c r="P470" s="24"/>
      <c r="Q470" s="25">
        <v>45748</v>
      </c>
      <c r="R470" s="13">
        <v>0</v>
      </c>
      <c r="S470" s="26" t="str">
        <f>VLOOKUP(C470,'[1]Bazaar Salary'!$B$6:$J$1193,9,0)</f>
        <v>12620010117215700015</v>
      </c>
      <c r="T470" s="25" t="s">
        <v>32</v>
      </c>
      <c r="U470" s="25" t="s">
        <v>303</v>
      </c>
      <c r="V470" s="25" t="s">
        <v>1093</v>
      </c>
      <c r="W470" s="27" t="s">
        <v>1950</v>
      </c>
      <c r="X470" s="37" t="s">
        <v>1964</v>
      </c>
      <c r="Y470" s="28"/>
      <c r="Z470" s="29" t="s">
        <v>37</v>
      </c>
    </row>
    <row r="471" spans="1:26" ht="30" customHeight="1" thickBot="1" x14ac:dyDescent="0.25">
      <c r="A471" s="17">
        <f t="shared" si="15"/>
        <v>470</v>
      </c>
      <c r="B471" s="18" t="s">
        <v>25</v>
      </c>
      <c r="C471" s="19">
        <v>3840357096413</v>
      </c>
      <c r="D471" s="19">
        <v>1420</v>
      </c>
      <c r="E471" s="20">
        <v>44866</v>
      </c>
      <c r="F471" s="20">
        <v>48519</v>
      </c>
      <c r="G471" s="21">
        <v>26299</v>
      </c>
      <c r="H471" s="22">
        <f t="shared" ca="1" si="14"/>
        <v>54</v>
      </c>
      <c r="I471" s="18" t="s">
        <v>26</v>
      </c>
      <c r="J471" s="18" t="s">
        <v>27</v>
      </c>
      <c r="K471" s="18"/>
      <c r="L471" s="23" t="s">
        <v>1640</v>
      </c>
      <c r="M471" s="23" t="s">
        <v>1965</v>
      </c>
      <c r="N471" s="23" t="s">
        <v>1488</v>
      </c>
      <c r="O471" s="18">
        <v>1</v>
      </c>
      <c r="P471" s="24"/>
      <c r="Q471" s="25">
        <v>45748</v>
      </c>
      <c r="R471" s="13">
        <v>0</v>
      </c>
      <c r="S471" s="26" t="str">
        <f>VLOOKUP(C471,'[1]Bazaar Salary'!$B$6:$J$1193,9,0)</f>
        <v>07300010101737630018</v>
      </c>
      <c r="T471" s="25" t="s">
        <v>32</v>
      </c>
      <c r="U471" s="25" t="s">
        <v>303</v>
      </c>
      <c r="V471" s="25" t="s">
        <v>1093</v>
      </c>
      <c r="W471" s="27" t="s">
        <v>1966</v>
      </c>
      <c r="X471" s="28" t="s">
        <v>1967</v>
      </c>
      <c r="Y471" s="28"/>
      <c r="Z471" s="29" t="s">
        <v>37</v>
      </c>
    </row>
    <row r="472" spans="1:26" ht="30" customHeight="1" thickBot="1" x14ac:dyDescent="0.25">
      <c r="A472" s="17">
        <f t="shared" si="15"/>
        <v>471</v>
      </c>
      <c r="B472" s="18" t="s">
        <v>25</v>
      </c>
      <c r="C472" s="19">
        <v>3410186785053</v>
      </c>
      <c r="D472" s="19">
        <v>1541</v>
      </c>
      <c r="E472" s="20">
        <v>45323</v>
      </c>
      <c r="F472" s="20">
        <v>48976</v>
      </c>
      <c r="G472" s="21">
        <v>33352</v>
      </c>
      <c r="H472" s="22">
        <f t="shared" ca="1" si="14"/>
        <v>35</v>
      </c>
      <c r="I472" s="19" t="s">
        <v>26</v>
      </c>
      <c r="J472" s="18" t="s">
        <v>27</v>
      </c>
      <c r="K472" s="18"/>
      <c r="L472" s="23" t="s">
        <v>1968</v>
      </c>
      <c r="M472" s="23" t="s">
        <v>491</v>
      </c>
      <c r="N472" s="23" t="s">
        <v>1488</v>
      </c>
      <c r="O472" s="18">
        <v>1</v>
      </c>
      <c r="P472" s="24"/>
      <c r="Q472" s="25">
        <v>45748</v>
      </c>
      <c r="R472" s="13">
        <v>0</v>
      </c>
      <c r="S472" s="26" t="str">
        <f>VLOOKUP(C472,'[1]Bazaar Salary'!$B$6:$J$1193,9,0)</f>
        <v>07300010118639490017</v>
      </c>
      <c r="T472" s="25" t="s">
        <v>32</v>
      </c>
      <c r="U472" s="25" t="s">
        <v>303</v>
      </c>
      <c r="V472" s="25" t="s">
        <v>1093</v>
      </c>
      <c r="W472" s="27"/>
      <c r="X472" s="28" t="s">
        <v>1969</v>
      </c>
      <c r="Y472" s="28"/>
      <c r="Z472" s="29" t="s">
        <v>37</v>
      </c>
    </row>
    <row r="473" spans="1:26" ht="30" customHeight="1" thickBot="1" x14ac:dyDescent="0.25">
      <c r="A473" s="17">
        <f t="shared" si="15"/>
        <v>472</v>
      </c>
      <c r="B473" s="18" t="s">
        <v>25</v>
      </c>
      <c r="C473" s="19">
        <v>3410160715637</v>
      </c>
      <c r="D473" s="19">
        <v>1529</v>
      </c>
      <c r="E473" s="20">
        <v>44758</v>
      </c>
      <c r="F473" s="20">
        <v>48411</v>
      </c>
      <c r="G473" s="21">
        <v>38150</v>
      </c>
      <c r="H473" s="22">
        <f t="shared" ca="1" si="14"/>
        <v>22</v>
      </c>
      <c r="I473" s="18" t="s">
        <v>912</v>
      </c>
      <c r="J473" s="18" t="s">
        <v>27</v>
      </c>
      <c r="K473" s="18"/>
      <c r="L473" s="23" t="s">
        <v>1970</v>
      </c>
      <c r="M473" s="23" t="s">
        <v>1971</v>
      </c>
      <c r="N473" s="23" t="s">
        <v>1488</v>
      </c>
      <c r="O473" s="18">
        <v>1</v>
      </c>
      <c r="P473" s="24"/>
      <c r="Q473" s="25">
        <v>45748</v>
      </c>
      <c r="R473" s="13">
        <v>0</v>
      </c>
      <c r="S473" s="26" t="str">
        <f>VLOOKUP(C473,'[1]Bazaar Salary'!$B$6:$J$1193,9,0)</f>
        <v>52250020115884290025</v>
      </c>
      <c r="T473" s="25" t="s">
        <v>32</v>
      </c>
      <c r="U473" s="25" t="s">
        <v>303</v>
      </c>
      <c r="V473" s="25" t="s">
        <v>1093</v>
      </c>
      <c r="W473" s="27" t="s">
        <v>1972</v>
      </c>
      <c r="X473" s="37" t="s">
        <v>1947</v>
      </c>
      <c r="Y473" s="28"/>
      <c r="Z473" s="29" t="s">
        <v>37</v>
      </c>
    </row>
    <row r="474" spans="1:26" ht="30" customHeight="1" thickBot="1" x14ac:dyDescent="0.25">
      <c r="A474" s="17">
        <f t="shared" si="15"/>
        <v>473</v>
      </c>
      <c r="B474" s="18" t="s">
        <v>25</v>
      </c>
      <c r="C474" s="19">
        <v>3420195926691</v>
      </c>
      <c r="D474" s="19">
        <v>1327</v>
      </c>
      <c r="E474" s="20">
        <v>42479</v>
      </c>
      <c r="F474" s="20">
        <v>46131</v>
      </c>
      <c r="G474" s="21">
        <v>34582</v>
      </c>
      <c r="H474" s="22">
        <f t="shared" ca="1" si="14"/>
        <v>31</v>
      </c>
      <c r="I474" s="18" t="s">
        <v>912</v>
      </c>
      <c r="J474" s="18" t="s">
        <v>27</v>
      </c>
      <c r="K474" s="18"/>
      <c r="L474" s="23" t="s">
        <v>1973</v>
      </c>
      <c r="M474" s="23" t="s">
        <v>1974</v>
      </c>
      <c r="N474" s="23" t="s">
        <v>1488</v>
      </c>
      <c r="O474" s="18">
        <v>1</v>
      </c>
      <c r="P474" s="24"/>
      <c r="Q474" s="25">
        <v>45748</v>
      </c>
      <c r="R474" s="13">
        <v>0</v>
      </c>
      <c r="S474" s="26" t="str">
        <f>VLOOKUP(C474,'[1]Bazaar Salary'!$B$6:$J$1193,9,0)</f>
        <v>07300010085368640017</v>
      </c>
      <c r="T474" s="25" t="s">
        <v>32</v>
      </c>
      <c r="U474" s="25" t="s">
        <v>303</v>
      </c>
      <c r="V474" s="25" t="s">
        <v>1093</v>
      </c>
      <c r="W474" s="27" t="s">
        <v>1975</v>
      </c>
      <c r="X474" s="28" t="s">
        <v>1976</v>
      </c>
      <c r="Y474" s="28"/>
      <c r="Z474" s="29" t="s">
        <v>37</v>
      </c>
    </row>
    <row r="475" spans="1:26" ht="30" customHeight="1" thickBot="1" x14ac:dyDescent="0.25">
      <c r="A475" s="17">
        <f t="shared" si="15"/>
        <v>474</v>
      </c>
      <c r="B475" s="18" t="s">
        <v>25</v>
      </c>
      <c r="C475" s="19">
        <v>3420193901455</v>
      </c>
      <c r="D475" s="19">
        <v>1126</v>
      </c>
      <c r="E475" s="20">
        <v>43143</v>
      </c>
      <c r="F475" s="20">
        <v>46795</v>
      </c>
      <c r="G475" s="21">
        <v>31753</v>
      </c>
      <c r="H475" s="22">
        <f t="shared" ca="1" si="14"/>
        <v>39</v>
      </c>
      <c r="I475" s="18" t="s">
        <v>912</v>
      </c>
      <c r="J475" s="18" t="s">
        <v>27</v>
      </c>
      <c r="K475" s="18"/>
      <c r="L475" s="23" t="s">
        <v>1977</v>
      </c>
      <c r="M475" s="23" t="s">
        <v>1974</v>
      </c>
      <c r="N475" s="23" t="s">
        <v>1488</v>
      </c>
      <c r="O475" s="18">
        <v>1</v>
      </c>
      <c r="P475" s="24"/>
      <c r="Q475" s="25">
        <v>45748</v>
      </c>
      <c r="R475" s="13">
        <v>0</v>
      </c>
      <c r="S475" s="26" t="str">
        <f>VLOOKUP(C475,'[1]Bazaar Salary'!$B$6:$J$1193,9,0)</f>
        <v>07300010064054810014</v>
      </c>
      <c r="T475" s="25" t="s">
        <v>32</v>
      </c>
      <c r="U475" s="25" t="s">
        <v>303</v>
      </c>
      <c r="V475" s="25" t="s">
        <v>1093</v>
      </c>
      <c r="W475" s="27" t="s">
        <v>1978</v>
      </c>
      <c r="X475" s="28" t="s">
        <v>1979</v>
      </c>
      <c r="Y475" s="28"/>
      <c r="Z475" s="29" t="s">
        <v>37</v>
      </c>
    </row>
    <row r="476" spans="1:26" ht="30" customHeight="1" thickBot="1" x14ac:dyDescent="0.25">
      <c r="A476" s="17">
        <f t="shared" si="15"/>
        <v>475</v>
      </c>
      <c r="B476" s="18" t="s">
        <v>25</v>
      </c>
      <c r="C476" s="19">
        <v>3410124517229</v>
      </c>
      <c r="D476" s="19">
        <v>170</v>
      </c>
      <c r="E476" s="20">
        <v>43516</v>
      </c>
      <c r="F476" s="20">
        <v>47169</v>
      </c>
      <c r="G476" s="21">
        <v>29224</v>
      </c>
      <c r="H476" s="22">
        <f t="shared" ca="1" si="14"/>
        <v>46</v>
      </c>
      <c r="I476" s="19" t="s">
        <v>26</v>
      </c>
      <c r="J476" s="18" t="s">
        <v>27</v>
      </c>
      <c r="K476" s="18"/>
      <c r="L476" s="23" t="s">
        <v>1980</v>
      </c>
      <c r="M476" s="23" t="s">
        <v>1826</v>
      </c>
      <c r="N476" s="23" t="s">
        <v>1499</v>
      </c>
      <c r="O476" s="18">
        <v>1</v>
      </c>
      <c r="P476" s="24"/>
      <c r="Q476" s="25">
        <v>40640</v>
      </c>
      <c r="R476" s="13">
        <v>0</v>
      </c>
      <c r="S476" s="26" t="str">
        <f>VLOOKUP(C476,'[1]Bazaar Salary'!$B$6:$J$1193,9,0)</f>
        <v>07300010045719990012</v>
      </c>
      <c r="T476" s="25" t="s">
        <v>32</v>
      </c>
      <c r="U476" s="25" t="s">
        <v>303</v>
      </c>
      <c r="V476" s="25" t="s">
        <v>1093</v>
      </c>
      <c r="W476" s="27" t="s">
        <v>1981</v>
      </c>
      <c r="X476" s="28" t="s">
        <v>1982</v>
      </c>
      <c r="Y476" s="28"/>
      <c r="Z476" s="29" t="s">
        <v>37</v>
      </c>
    </row>
    <row r="477" spans="1:26" ht="30" customHeight="1" thickBot="1" x14ac:dyDescent="0.25">
      <c r="A477" s="17">
        <f t="shared" si="15"/>
        <v>476</v>
      </c>
      <c r="B477" s="18" t="s">
        <v>25</v>
      </c>
      <c r="C477" s="19">
        <v>3410351262487</v>
      </c>
      <c r="D477" s="19">
        <v>1634</v>
      </c>
      <c r="E477" s="20">
        <v>42821</v>
      </c>
      <c r="F477" s="20">
        <v>46473</v>
      </c>
      <c r="G477" s="21">
        <v>35671</v>
      </c>
      <c r="H477" s="22">
        <f t="shared" ca="1" si="14"/>
        <v>28</v>
      </c>
      <c r="I477" s="19" t="s">
        <v>26</v>
      </c>
      <c r="J477" s="18" t="s">
        <v>27</v>
      </c>
      <c r="K477" s="18"/>
      <c r="L477" s="23" t="s">
        <v>1983</v>
      </c>
      <c r="M477" s="23" t="s">
        <v>1984</v>
      </c>
      <c r="N477" s="23" t="s">
        <v>1499</v>
      </c>
      <c r="O477" s="18">
        <v>1</v>
      </c>
      <c r="P477" s="24"/>
      <c r="Q477" s="25">
        <v>45748</v>
      </c>
      <c r="R477" s="13">
        <v>0</v>
      </c>
      <c r="S477" s="26" t="str">
        <f>VLOOKUP(C477,'[1]Bazaar Salary'!$B$6:$J$1193,9,0)</f>
        <v>07300010132444990015</v>
      </c>
      <c r="T477" s="25" t="s">
        <v>32</v>
      </c>
      <c r="U477" s="25" t="s">
        <v>303</v>
      </c>
      <c r="V477" s="25" t="s">
        <v>1093</v>
      </c>
      <c r="W477" s="27" t="s">
        <v>1985</v>
      </c>
      <c r="X477" s="28" t="s">
        <v>1986</v>
      </c>
      <c r="Y477" s="28"/>
      <c r="Z477" s="29" t="s">
        <v>37</v>
      </c>
    </row>
    <row r="478" spans="1:26" ht="30" customHeight="1" thickBot="1" x14ac:dyDescent="0.25">
      <c r="A478" s="17">
        <f t="shared" si="15"/>
        <v>477</v>
      </c>
      <c r="B478" s="18" t="s">
        <v>25</v>
      </c>
      <c r="C478" s="19">
        <v>3410392482501</v>
      </c>
      <c r="D478" s="19">
        <v>1218</v>
      </c>
      <c r="E478" s="20">
        <v>44757</v>
      </c>
      <c r="F478" s="20">
        <v>48410</v>
      </c>
      <c r="G478" s="21">
        <v>35117</v>
      </c>
      <c r="H478" s="22">
        <f t="shared" ca="1" si="14"/>
        <v>30</v>
      </c>
      <c r="I478" s="19" t="s">
        <v>26</v>
      </c>
      <c r="J478" s="18" t="s">
        <v>27</v>
      </c>
      <c r="K478" s="18"/>
      <c r="L478" s="23" t="s">
        <v>1987</v>
      </c>
      <c r="M478" s="23" t="s">
        <v>1066</v>
      </c>
      <c r="N478" s="23" t="s">
        <v>1499</v>
      </c>
      <c r="O478" s="18">
        <v>1</v>
      </c>
      <c r="P478" s="24"/>
      <c r="Q478" s="25">
        <v>44317</v>
      </c>
      <c r="R478" s="13">
        <v>0</v>
      </c>
      <c r="S478" s="26" t="str">
        <f>VLOOKUP(C478,'[1]Bazaar Salary'!$B$6:$J$1193,9,0)</f>
        <v>07300010076509930010</v>
      </c>
      <c r="T478" s="25" t="s">
        <v>32</v>
      </c>
      <c r="U478" s="25" t="s">
        <v>303</v>
      </c>
      <c r="V478" s="25" t="s">
        <v>1093</v>
      </c>
      <c r="W478" s="27" t="s">
        <v>1988</v>
      </c>
      <c r="X478" s="28" t="s">
        <v>1989</v>
      </c>
      <c r="Y478" s="28"/>
      <c r="Z478" s="29" t="s">
        <v>37</v>
      </c>
    </row>
    <row r="479" spans="1:26" ht="30" customHeight="1" thickBot="1" x14ac:dyDescent="0.25">
      <c r="A479" s="17">
        <f t="shared" si="15"/>
        <v>478</v>
      </c>
      <c r="B479" s="18" t="s">
        <v>25</v>
      </c>
      <c r="C479" s="19">
        <v>3410126310909</v>
      </c>
      <c r="D479" s="19">
        <v>1125</v>
      </c>
      <c r="E479" s="20">
        <v>43751</v>
      </c>
      <c r="F479" s="20">
        <v>47404</v>
      </c>
      <c r="G479" s="21">
        <v>29436</v>
      </c>
      <c r="H479" s="22">
        <f t="shared" ca="1" si="14"/>
        <v>45</v>
      </c>
      <c r="I479" s="19" t="s">
        <v>26</v>
      </c>
      <c r="J479" s="18" t="s">
        <v>27</v>
      </c>
      <c r="K479" s="18"/>
      <c r="L479" s="23" t="s">
        <v>1990</v>
      </c>
      <c r="M479" s="23" t="s">
        <v>1158</v>
      </c>
      <c r="N479" s="23" t="s">
        <v>1499</v>
      </c>
      <c r="O479" s="18">
        <v>1</v>
      </c>
      <c r="P479" s="24"/>
      <c r="Q479" s="25">
        <v>44317</v>
      </c>
      <c r="R479" s="13">
        <v>0</v>
      </c>
      <c r="S479" s="26" t="str">
        <f>VLOOKUP(C479,'[1]Bazaar Salary'!$B$6:$J$1193,9,0)</f>
        <v>07300010065363430019</v>
      </c>
      <c r="T479" s="25" t="s">
        <v>32</v>
      </c>
      <c r="U479" s="25" t="s">
        <v>303</v>
      </c>
      <c r="V479" s="25" t="s">
        <v>1701</v>
      </c>
      <c r="W479" s="27" t="s">
        <v>1991</v>
      </c>
      <c r="X479" s="28" t="s">
        <v>1992</v>
      </c>
      <c r="Y479" s="28"/>
      <c r="Z479" s="29" t="s">
        <v>37</v>
      </c>
    </row>
    <row r="480" spans="1:26" ht="30" customHeight="1" thickBot="1" x14ac:dyDescent="0.25">
      <c r="A480" s="17">
        <f t="shared" si="15"/>
        <v>479</v>
      </c>
      <c r="B480" s="18" t="s">
        <v>25</v>
      </c>
      <c r="C480" s="19">
        <v>3410175867815</v>
      </c>
      <c r="D480" s="19">
        <v>1335</v>
      </c>
      <c r="E480" s="20">
        <v>44318</v>
      </c>
      <c r="F480" s="20">
        <v>47970</v>
      </c>
      <c r="G480" s="21">
        <v>32752</v>
      </c>
      <c r="H480" s="22">
        <f t="shared" ca="1" si="14"/>
        <v>36</v>
      </c>
      <c r="I480" s="19" t="s">
        <v>26</v>
      </c>
      <c r="J480" s="18" t="s">
        <v>27</v>
      </c>
      <c r="K480" s="18"/>
      <c r="L480" s="23" t="s">
        <v>1993</v>
      </c>
      <c r="M480" s="23" t="s">
        <v>631</v>
      </c>
      <c r="N480" s="23" t="s">
        <v>1499</v>
      </c>
      <c r="O480" s="18">
        <v>1</v>
      </c>
      <c r="P480" s="24"/>
      <c r="Q480" s="25">
        <v>44317</v>
      </c>
      <c r="R480" s="13">
        <v>0</v>
      </c>
      <c r="S480" s="26" t="str">
        <f>VLOOKUP(C480,'[1]Bazaar Salary'!$B$6:$J$1193,9,0)</f>
        <v>07300010072092300013</v>
      </c>
      <c r="T480" s="25" t="s">
        <v>32</v>
      </c>
      <c r="U480" s="25" t="s">
        <v>303</v>
      </c>
      <c r="V480" s="25" t="s">
        <v>1093</v>
      </c>
      <c r="W480" s="27" t="s">
        <v>1994</v>
      </c>
      <c r="X480" s="28" t="s">
        <v>1995</v>
      </c>
      <c r="Y480" s="28"/>
      <c r="Z480" s="29" t="s">
        <v>37</v>
      </c>
    </row>
    <row r="481" spans="1:26" ht="30" customHeight="1" thickBot="1" x14ac:dyDescent="0.25">
      <c r="A481" s="17">
        <f t="shared" si="15"/>
        <v>480</v>
      </c>
      <c r="B481" s="18" t="s">
        <v>25</v>
      </c>
      <c r="C481" s="19">
        <v>3630239495073</v>
      </c>
      <c r="D481" s="19">
        <v>1698</v>
      </c>
      <c r="E481" s="21">
        <v>42254</v>
      </c>
      <c r="F481" s="21">
        <v>45907</v>
      </c>
      <c r="G481" s="21">
        <v>33228</v>
      </c>
      <c r="H481" s="22">
        <f t="shared" ca="1" si="14"/>
        <v>35</v>
      </c>
      <c r="I481" s="18" t="s">
        <v>26</v>
      </c>
      <c r="J481" s="18" t="s">
        <v>27</v>
      </c>
      <c r="K481" s="23"/>
      <c r="L481" s="24" t="s">
        <v>1996</v>
      </c>
      <c r="M481" s="33" t="s">
        <v>1997</v>
      </c>
      <c r="N481" s="23" t="s">
        <v>1499</v>
      </c>
      <c r="O481" s="18">
        <v>1</v>
      </c>
      <c r="P481" s="24"/>
      <c r="Q481" s="25">
        <v>45748</v>
      </c>
      <c r="R481" s="13">
        <v>0</v>
      </c>
      <c r="S481" s="26" t="str">
        <f>VLOOKUP(C481,'[1]Bazaar Salary'!$B$6:$J$1193,9,0)</f>
        <v>07300010136207410014</v>
      </c>
      <c r="T481" s="25" t="s">
        <v>32</v>
      </c>
      <c r="U481" s="25" t="s">
        <v>303</v>
      </c>
      <c r="V481" s="25" t="s">
        <v>1093</v>
      </c>
      <c r="W481" s="33" t="s">
        <v>1998</v>
      </c>
      <c r="X481" s="28" t="s">
        <v>1999</v>
      </c>
      <c r="Y481" s="28"/>
      <c r="Z481" s="29" t="s">
        <v>37</v>
      </c>
    </row>
    <row r="482" spans="1:26" ht="30" customHeight="1" thickBot="1" x14ac:dyDescent="0.25">
      <c r="A482" s="17">
        <f t="shared" si="15"/>
        <v>481</v>
      </c>
      <c r="B482" s="18" t="s">
        <v>25</v>
      </c>
      <c r="C482" s="19">
        <v>3430117435753</v>
      </c>
      <c r="D482" s="19">
        <v>1123</v>
      </c>
      <c r="E482" s="20">
        <v>43858</v>
      </c>
      <c r="F482" s="20">
        <v>47511</v>
      </c>
      <c r="G482" s="21">
        <v>25204</v>
      </c>
      <c r="H482" s="22">
        <f t="shared" ca="1" si="14"/>
        <v>57</v>
      </c>
      <c r="I482" s="19" t="s">
        <v>26</v>
      </c>
      <c r="J482" s="18" t="s">
        <v>27</v>
      </c>
      <c r="K482" s="18"/>
      <c r="L482" s="23" t="s">
        <v>600</v>
      </c>
      <c r="M482" s="23" t="s">
        <v>1588</v>
      </c>
      <c r="N482" s="23" t="s">
        <v>1499</v>
      </c>
      <c r="O482" s="18">
        <v>1</v>
      </c>
      <c r="P482" s="24"/>
      <c r="Q482" s="25">
        <v>43678</v>
      </c>
      <c r="R482" s="13">
        <v>0</v>
      </c>
      <c r="S482" s="26" t="str">
        <f>VLOOKUP(C482,'[1]Bazaar Salary'!$B$6:$J$1193,9,0)</f>
        <v>07300010060451720012</v>
      </c>
      <c r="T482" s="25" t="s">
        <v>32</v>
      </c>
      <c r="U482" s="25" t="s">
        <v>303</v>
      </c>
      <c r="V482" s="25" t="s">
        <v>1093</v>
      </c>
      <c r="W482" s="27" t="s">
        <v>2000</v>
      </c>
      <c r="X482" s="28" t="s">
        <v>2001</v>
      </c>
      <c r="Y482" s="28"/>
      <c r="Z482" s="29" t="s">
        <v>37</v>
      </c>
    </row>
    <row r="483" spans="1:26" ht="30" customHeight="1" thickBot="1" x14ac:dyDescent="0.25">
      <c r="A483" s="17">
        <f t="shared" si="15"/>
        <v>482</v>
      </c>
      <c r="B483" s="18" t="s">
        <v>25</v>
      </c>
      <c r="C483" s="19">
        <v>3410123458481</v>
      </c>
      <c r="D483" s="19">
        <v>1334</v>
      </c>
      <c r="E483" s="20">
        <v>43822</v>
      </c>
      <c r="F483" s="20">
        <v>47475</v>
      </c>
      <c r="G483" s="21">
        <v>26651</v>
      </c>
      <c r="H483" s="22">
        <f t="shared" ca="1" si="14"/>
        <v>53</v>
      </c>
      <c r="I483" s="19" t="s">
        <v>26</v>
      </c>
      <c r="J483" s="18" t="s">
        <v>27</v>
      </c>
      <c r="K483" s="18"/>
      <c r="L483" s="23" t="s">
        <v>2002</v>
      </c>
      <c r="M483" s="23" t="s">
        <v>1133</v>
      </c>
      <c r="N483" s="23" t="s">
        <v>1499</v>
      </c>
      <c r="O483" s="18">
        <v>1</v>
      </c>
      <c r="P483" s="24"/>
      <c r="Q483" s="25">
        <v>45748</v>
      </c>
      <c r="R483" s="13">
        <v>0</v>
      </c>
      <c r="S483" s="26" t="str">
        <f>VLOOKUP(C483,'[1]Bazaar Salary'!$B$6:$J$1193,9,0)</f>
        <v>07300010079539970011</v>
      </c>
      <c r="T483" s="25" t="s">
        <v>32</v>
      </c>
      <c r="U483" s="25" t="s">
        <v>303</v>
      </c>
      <c r="V483" s="25" t="s">
        <v>1535</v>
      </c>
      <c r="W483" s="27" t="s">
        <v>2003</v>
      </c>
      <c r="X483" s="28" t="s">
        <v>2004</v>
      </c>
      <c r="Y483" s="28"/>
      <c r="Z483" s="29" t="s">
        <v>37</v>
      </c>
    </row>
    <row r="484" spans="1:26" ht="30" customHeight="1" thickBot="1" x14ac:dyDescent="0.25">
      <c r="A484" s="17">
        <f t="shared" si="15"/>
        <v>483</v>
      </c>
      <c r="B484" s="18" t="s">
        <v>25</v>
      </c>
      <c r="C484" s="19">
        <v>3320299947511</v>
      </c>
      <c r="D484" s="19"/>
      <c r="E484" s="20">
        <v>44307</v>
      </c>
      <c r="F484" s="20">
        <v>47959</v>
      </c>
      <c r="G484" s="21">
        <v>30288</v>
      </c>
      <c r="H484" s="22">
        <f t="shared" ca="1" si="14"/>
        <v>43</v>
      </c>
      <c r="I484" s="19" t="s">
        <v>26</v>
      </c>
      <c r="J484" s="18" t="s">
        <v>27</v>
      </c>
      <c r="K484" s="18"/>
      <c r="L484" s="23" t="s">
        <v>1640</v>
      </c>
      <c r="M484" s="23" t="s">
        <v>894</v>
      </c>
      <c r="N484" s="23" t="s">
        <v>1499</v>
      </c>
      <c r="O484" s="18">
        <v>1</v>
      </c>
      <c r="P484" s="24"/>
      <c r="Q484" s="25">
        <v>44317</v>
      </c>
      <c r="R484" s="13">
        <v>0</v>
      </c>
      <c r="S484" s="26" t="str">
        <f>VLOOKUP(C484,'[1]Bazaar Salary'!$B$6:$J$1193,9,0)</f>
        <v>05400010074238760014</v>
      </c>
      <c r="T484" s="25" t="s">
        <v>32</v>
      </c>
      <c r="U484" s="25" t="s">
        <v>303</v>
      </c>
      <c r="V484" s="25" t="s">
        <v>1701</v>
      </c>
      <c r="W484" s="27" t="s">
        <v>2005</v>
      </c>
      <c r="X484" s="28" t="s">
        <v>2006</v>
      </c>
      <c r="Y484" s="28"/>
      <c r="Z484" s="29" t="s">
        <v>37</v>
      </c>
    </row>
    <row r="485" spans="1:26" ht="30" customHeight="1" thickBot="1" x14ac:dyDescent="0.25">
      <c r="A485" s="17">
        <f t="shared" si="15"/>
        <v>484</v>
      </c>
      <c r="B485" s="18" t="s">
        <v>25</v>
      </c>
      <c r="C485" s="19">
        <v>3410125937021</v>
      </c>
      <c r="D485" s="19">
        <v>424</v>
      </c>
      <c r="E485" s="20">
        <v>44081</v>
      </c>
      <c r="F485" s="20">
        <v>47733</v>
      </c>
      <c r="G485" s="21">
        <v>25583</v>
      </c>
      <c r="H485" s="22">
        <f t="shared" ca="1" si="14"/>
        <v>56</v>
      </c>
      <c r="I485" s="19" t="s">
        <v>26</v>
      </c>
      <c r="J485" s="18" t="s">
        <v>27</v>
      </c>
      <c r="K485" s="18"/>
      <c r="L485" s="23" t="s">
        <v>2007</v>
      </c>
      <c r="M485" s="23" t="s">
        <v>1709</v>
      </c>
      <c r="N485" s="23" t="s">
        <v>1499</v>
      </c>
      <c r="O485" s="18">
        <v>1</v>
      </c>
      <c r="P485" s="24"/>
      <c r="Q485" s="25">
        <v>43115</v>
      </c>
      <c r="R485" s="13">
        <v>0</v>
      </c>
      <c r="S485" s="26" t="str">
        <f>VLOOKUP(C485,'[1]Bazaar Salary'!$B$6:$J$1193,9,0)</f>
        <v>07300010049470700018</v>
      </c>
      <c r="T485" s="25" t="s">
        <v>32</v>
      </c>
      <c r="U485" s="25" t="s">
        <v>303</v>
      </c>
      <c r="V485" s="25" t="s">
        <v>1535</v>
      </c>
      <c r="W485" s="27" t="s">
        <v>2008</v>
      </c>
      <c r="X485" s="28" t="s">
        <v>2009</v>
      </c>
      <c r="Y485" s="28"/>
      <c r="Z485" s="29" t="s">
        <v>37</v>
      </c>
    </row>
    <row r="486" spans="1:26" ht="30" customHeight="1" thickBot="1" x14ac:dyDescent="0.25">
      <c r="A486" s="17">
        <f t="shared" si="15"/>
        <v>485</v>
      </c>
      <c r="B486" s="18" t="s">
        <v>25</v>
      </c>
      <c r="C486" s="19">
        <v>3410304865923</v>
      </c>
      <c r="D486" s="19">
        <v>432</v>
      </c>
      <c r="E486" s="20">
        <v>42541</v>
      </c>
      <c r="F486" s="20">
        <v>46193</v>
      </c>
      <c r="G486" s="21">
        <v>29952</v>
      </c>
      <c r="H486" s="22">
        <f t="shared" ca="1" si="14"/>
        <v>44</v>
      </c>
      <c r="I486" s="19" t="s">
        <v>26</v>
      </c>
      <c r="J486" s="18" t="s">
        <v>27</v>
      </c>
      <c r="K486" s="18"/>
      <c r="L486" s="23" t="s">
        <v>2010</v>
      </c>
      <c r="M486" s="23" t="s">
        <v>1242</v>
      </c>
      <c r="N486" s="23" t="s">
        <v>1499</v>
      </c>
      <c r="O486" s="18">
        <v>1</v>
      </c>
      <c r="P486" s="24"/>
      <c r="Q486" s="25">
        <v>42963</v>
      </c>
      <c r="R486" s="13">
        <v>0</v>
      </c>
      <c r="S486" s="26" t="str">
        <f>VLOOKUP(C486,'[1]Bazaar Salary'!$B$6:$J$1193,9,0)</f>
        <v>07300010046567330017</v>
      </c>
      <c r="T486" s="25" t="s">
        <v>32</v>
      </c>
      <c r="U486" s="25" t="s">
        <v>303</v>
      </c>
      <c r="V486" s="25" t="s">
        <v>1535</v>
      </c>
      <c r="W486" s="27" t="s">
        <v>2011</v>
      </c>
      <c r="X486" s="28" t="s">
        <v>2012</v>
      </c>
      <c r="Y486" s="28"/>
      <c r="Z486" s="29" t="s">
        <v>37</v>
      </c>
    </row>
    <row r="487" spans="1:26" ht="30" customHeight="1" thickBot="1" x14ac:dyDescent="0.25">
      <c r="A487" s="17">
        <f t="shared" si="15"/>
        <v>486</v>
      </c>
      <c r="B487" s="18" t="s">
        <v>25</v>
      </c>
      <c r="C487" s="19">
        <v>3410333256103</v>
      </c>
      <c r="D487" s="19">
        <v>1124</v>
      </c>
      <c r="E487" s="20">
        <v>42849</v>
      </c>
      <c r="F487" s="20">
        <v>46501</v>
      </c>
      <c r="G487" s="21">
        <v>24489</v>
      </c>
      <c r="H487" s="22">
        <f t="shared" ca="1" si="14"/>
        <v>59</v>
      </c>
      <c r="I487" s="19" t="s">
        <v>26</v>
      </c>
      <c r="J487" s="18" t="s">
        <v>27</v>
      </c>
      <c r="K487" s="18"/>
      <c r="L487" s="23" t="s">
        <v>511</v>
      </c>
      <c r="M487" s="23" t="s">
        <v>2013</v>
      </c>
      <c r="N487" s="23" t="s">
        <v>1499</v>
      </c>
      <c r="O487" s="18">
        <v>1</v>
      </c>
      <c r="P487" s="24"/>
      <c r="Q487" s="25">
        <v>43678</v>
      </c>
      <c r="R487" s="13">
        <v>0</v>
      </c>
      <c r="S487" s="26" t="str">
        <f>VLOOKUP(C487,'[1]Bazaar Salary'!$B$6:$J$1193,9,0)</f>
        <v>07300010060704590013</v>
      </c>
      <c r="T487" s="25" t="s">
        <v>32</v>
      </c>
      <c r="U487" s="25" t="s">
        <v>303</v>
      </c>
      <c r="V487" s="25" t="s">
        <v>1093</v>
      </c>
      <c r="W487" s="27" t="s">
        <v>2014</v>
      </c>
      <c r="X487" s="28" t="s">
        <v>2015</v>
      </c>
      <c r="Y487" s="28"/>
      <c r="Z487" s="29" t="s">
        <v>37</v>
      </c>
    </row>
    <row r="488" spans="1:26" ht="30" customHeight="1" thickBot="1" x14ac:dyDescent="0.25">
      <c r="A488" s="17">
        <f t="shared" si="15"/>
        <v>487</v>
      </c>
      <c r="B488" s="18" t="s">
        <v>25</v>
      </c>
      <c r="C488" s="19">
        <v>3410133202253</v>
      </c>
      <c r="D488" s="19">
        <v>429</v>
      </c>
      <c r="E488" s="20">
        <v>43297</v>
      </c>
      <c r="F488" s="20">
        <v>46950</v>
      </c>
      <c r="G488" s="21">
        <v>36330</v>
      </c>
      <c r="H488" s="22">
        <f t="shared" ca="1" si="14"/>
        <v>27</v>
      </c>
      <c r="I488" s="19" t="s">
        <v>26</v>
      </c>
      <c r="J488" s="18" t="s">
        <v>27</v>
      </c>
      <c r="K488" s="18"/>
      <c r="L488" s="23" t="s">
        <v>2016</v>
      </c>
      <c r="M488" s="23" t="s">
        <v>2017</v>
      </c>
      <c r="N488" s="23" t="s">
        <v>1499</v>
      </c>
      <c r="O488" s="18">
        <v>1</v>
      </c>
      <c r="P488" s="24"/>
      <c r="Q488" s="25">
        <v>43123</v>
      </c>
      <c r="R488" s="13">
        <v>0</v>
      </c>
      <c r="S488" s="26" t="str">
        <f>VLOOKUP(C488,'[1]Bazaar Salary'!$B$6:$J$1193,9,0)</f>
        <v>07300010049784790016</v>
      </c>
      <c r="T488" s="25" t="s">
        <v>32</v>
      </c>
      <c r="U488" s="25" t="s">
        <v>303</v>
      </c>
      <c r="V488" s="25" t="s">
        <v>1356</v>
      </c>
      <c r="W488" s="27" t="s">
        <v>2018</v>
      </c>
      <c r="X488" s="28" t="s">
        <v>2019</v>
      </c>
      <c r="Y488" s="28"/>
      <c r="Z488" s="29" t="s">
        <v>37</v>
      </c>
    </row>
    <row r="489" spans="1:26" ht="30" customHeight="1" thickBot="1" x14ac:dyDescent="0.25">
      <c r="A489" s="17">
        <f t="shared" si="15"/>
        <v>488</v>
      </c>
      <c r="B489" s="18" t="s">
        <v>25</v>
      </c>
      <c r="C489" s="19">
        <v>3410305357901</v>
      </c>
      <c r="D489" s="19">
        <v>1800</v>
      </c>
      <c r="E489" s="20">
        <v>45274</v>
      </c>
      <c r="F489" s="20">
        <v>48927</v>
      </c>
      <c r="G489" s="21">
        <v>29768</v>
      </c>
      <c r="H489" s="22">
        <f t="shared" ca="1" si="14"/>
        <v>44</v>
      </c>
      <c r="I489" s="19" t="s">
        <v>26</v>
      </c>
      <c r="J489" s="18" t="s">
        <v>27</v>
      </c>
      <c r="K489" s="18"/>
      <c r="L489" s="23" t="s">
        <v>2020</v>
      </c>
      <c r="M489" s="23" t="s">
        <v>2021</v>
      </c>
      <c r="N489" s="23" t="s">
        <v>1499</v>
      </c>
      <c r="O489" s="18">
        <v>1</v>
      </c>
      <c r="P489" s="24"/>
      <c r="Q489" s="25">
        <v>45748</v>
      </c>
      <c r="R489" s="13">
        <v>0</v>
      </c>
      <c r="S489" s="26" t="str">
        <f>VLOOKUP(C489,'[1]Bazaar Salary'!$B$6:$J$1193,9,0)</f>
        <v>06520010013331470023</v>
      </c>
      <c r="T489" s="25" t="s">
        <v>32</v>
      </c>
      <c r="U489" s="25" t="s">
        <v>303</v>
      </c>
      <c r="V489" s="25" t="s">
        <v>1093</v>
      </c>
      <c r="W489" s="27" t="s">
        <v>2022</v>
      </c>
      <c r="X489" s="28" t="s">
        <v>2023</v>
      </c>
      <c r="Y489" s="28"/>
      <c r="Z489" s="29" t="s">
        <v>37</v>
      </c>
    </row>
    <row r="490" spans="1:26" ht="30" customHeight="1" thickBot="1" x14ac:dyDescent="0.25">
      <c r="A490" s="17">
        <f t="shared" si="15"/>
        <v>489</v>
      </c>
      <c r="B490" s="18" t="s">
        <v>25</v>
      </c>
      <c r="C490" s="19">
        <v>3410176923096</v>
      </c>
      <c r="D490" s="19">
        <v>1839</v>
      </c>
      <c r="E490" s="20">
        <v>45434</v>
      </c>
      <c r="F490" s="20">
        <v>49086</v>
      </c>
      <c r="G490" s="21">
        <v>30317</v>
      </c>
      <c r="H490" s="22">
        <f t="shared" ca="1" si="14"/>
        <v>43</v>
      </c>
      <c r="I490" s="19" t="s">
        <v>26</v>
      </c>
      <c r="J490" s="18" t="s">
        <v>66</v>
      </c>
      <c r="K490" s="18"/>
      <c r="L490" s="23" t="s">
        <v>2024</v>
      </c>
      <c r="M490" s="23" t="s">
        <v>2025</v>
      </c>
      <c r="N490" s="23" t="s">
        <v>1499</v>
      </c>
      <c r="O490" s="18">
        <v>1</v>
      </c>
      <c r="P490" s="24"/>
      <c r="Q490" s="25">
        <v>45748</v>
      </c>
      <c r="R490" s="13">
        <v>0</v>
      </c>
      <c r="S490" s="26" t="str">
        <f>VLOOKUP(C490,'[1]Bazaar Salary'!$B$6:$J$1193,9,0)</f>
        <v>07300010139419620017</v>
      </c>
      <c r="T490" s="25" t="s">
        <v>32</v>
      </c>
      <c r="U490" s="25" t="s">
        <v>303</v>
      </c>
      <c r="V490" s="25" t="s">
        <v>1093</v>
      </c>
      <c r="W490" s="27" t="s">
        <v>2026</v>
      </c>
      <c r="X490" s="28"/>
      <c r="Y490" s="28"/>
      <c r="Z490" s="29" t="s">
        <v>37</v>
      </c>
    </row>
    <row r="491" spans="1:26" ht="30" customHeight="1" thickBot="1" x14ac:dyDescent="0.25">
      <c r="A491" s="17">
        <f t="shared" si="15"/>
        <v>490</v>
      </c>
      <c r="B491" s="18" t="s">
        <v>25</v>
      </c>
      <c r="C491" s="19">
        <v>3420103415639</v>
      </c>
      <c r="D491" s="19">
        <v>1624</v>
      </c>
      <c r="E491" s="20">
        <v>45187</v>
      </c>
      <c r="F491" s="20">
        <v>48840</v>
      </c>
      <c r="G491" s="21">
        <v>38589</v>
      </c>
      <c r="H491" s="22">
        <f t="shared" ca="1" si="14"/>
        <v>20</v>
      </c>
      <c r="I491" s="18" t="s">
        <v>912</v>
      </c>
      <c r="J491" s="18" t="s">
        <v>27</v>
      </c>
      <c r="K491" s="18"/>
      <c r="L491" s="23" t="s">
        <v>2027</v>
      </c>
      <c r="M491" s="23" t="s">
        <v>2028</v>
      </c>
      <c r="N491" s="23" t="s">
        <v>1488</v>
      </c>
      <c r="O491" s="18">
        <v>1</v>
      </c>
      <c r="P491" s="24"/>
      <c r="Q491" s="25">
        <v>45748</v>
      </c>
      <c r="R491" s="13">
        <v>0</v>
      </c>
      <c r="S491" s="26" t="str">
        <f>VLOOKUP(C491,'[1]Bazaar Salary'!$B$6:$J$1193,9,0)</f>
        <v>51040020132688320016</v>
      </c>
      <c r="T491" s="25" t="s">
        <v>32</v>
      </c>
      <c r="U491" s="25" t="s">
        <v>159</v>
      </c>
      <c r="V491" s="25" t="s">
        <v>1093</v>
      </c>
      <c r="W491" s="27" t="s">
        <v>2029</v>
      </c>
      <c r="X491" s="28" t="s">
        <v>2030</v>
      </c>
      <c r="Y491" s="28"/>
      <c r="Z491" s="29" t="s">
        <v>37</v>
      </c>
    </row>
    <row r="492" spans="1:26" ht="30" customHeight="1" thickBot="1" x14ac:dyDescent="0.25">
      <c r="A492" s="17">
        <f t="shared" si="15"/>
        <v>491</v>
      </c>
      <c r="B492" s="18" t="s">
        <v>25</v>
      </c>
      <c r="C492" s="19">
        <v>3420107742431</v>
      </c>
      <c r="D492" s="19">
        <v>1622</v>
      </c>
      <c r="E492" s="20">
        <v>43487</v>
      </c>
      <c r="F492" s="20">
        <v>47140</v>
      </c>
      <c r="G492" s="21">
        <v>33433</v>
      </c>
      <c r="H492" s="22">
        <f t="shared" ca="1" si="14"/>
        <v>34</v>
      </c>
      <c r="I492" s="19" t="s">
        <v>26</v>
      </c>
      <c r="J492" s="18" t="s">
        <v>27</v>
      </c>
      <c r="K492" s="18"/>
      <c r="L492" s="23" t="s">
        <v>2031</v>
      </c>
      <c r="M492" s="23" t="s">
        <v>2032</v>
      </c>
      <c r="N492" s="23" t="s">
        <v>1488</v>
      </c>
      <c r="O492" s="18">
        <v>1</v>
      </c>
      <c r="P492" s="24"/>
      <c r="Q492" s="25">
        <v>45748</v>
      </c>
      <c r="R492" s="13">
        <v>0</v>
      </c>
      <c r="S492" s="26" t="str">
        <f>VLOOKUP(C492,'[1]Bazaar Salary'!$B$6:$J$1193,9,0)</f>
        <v>00940010130692880018</v>
      </c>
      <c r="T492" s="25" t="s">
        <v>32</v>
      </c>
      <c r="U492" s="25" t="s">
        <v>159</v>
      </c>
      <c r="V492" s="25" t="s">
        <v>1093</v>
      </c>
      <c r="W492" s="27" t="s">
        <v>2033</v>
      </c>
      <c r="X492" s="28" t="s">
        <v>2034</v>
      </c>
      <c r="Y492" s="28"/>
      <c r="Z492" s="29" t="s">
        <v>37</v>
      </c>
    </row>
    <row r="493" spans="1:26" ht="30" customHeight="1" thickBot="1" x14ac:dyDescent="0.25">
      <c r="A493" s="17">
        <f t="shared" si="15"/>
        <v>492</v>
      </c>
      <c r="B493" s="18" t="s">
        <v>25</v>
      </c>
      <c r="C493" s="19">
        <v>3420273938481</v>
      </c>
      <c r="D493" s="19">
        <v>568</v>
      </c>
      <c r="E493" s="20">
        <v>41923</v>
      </c>
      <c r="F493" s="20" t="s">
        <v>1734</v>
      </c>
      <c r="G493" s="21">
        <v>27938</v>
      </c>
      <c r="H493" s="22">
        <f t="shared" ca="1" si="14"/>
        <v>49</v>
      </c>
      <c r="I493" s="18" t="s">
        <v>912</v>
      </c>
      <c r="J493" s="18" t="s">
        <v>27</v>
      </c>
      <c r="K493" s="18"/>
      <c r="L493" s="23" t="s">
        <v>2035</v>
      </c>
      <c r="M493" s="23" t="s">
        <v>2036</v>
      </c>
      <c r="N493" s="23" t="s">
        <v>1488</v>
      </c>
      <c r="O493" s="18">
        <v>1</v>
      </c>
      <c r="P493" s="24"/>
      <c r="Q493" s="25">
        <v>42616</v>
      </c>
      <c r="R493" s="13">
        <v>0</v>
      </c>
      <c r="S493" s="26" t="str">
        <f>VLOOKUP(C493,'[1]Bazaar Salary'!$B$6:$J$1193,9,0)</f>
        <v>51040020045733520017</v>
      </c>
      <c r="T493" s="25" t="s">
        <v>32</v>
      </c>
      <c r="U493" s="25" t="s">
        <v>159</v>
      </c>
      <c r="V493" s="25" t="s">
        <v>1356</v>
      </c>
      <c r="W493" s="27" t="s">
        <v>2037</v>
      </c>
      <c r="X493" s="28" t="s">
        <v>2038</v>
      </c>
      <c r="Y493" s="28"/>
      <c r="Z493" s="29" t="s">
        <v>37</v>
      </c>
    </row>
    <row r="494" spans="1:26" ht="30" customHeight="1" thickBot="1" x14ac:dyDescent="0.25">
      <c r="A494" s="17">
        <f t="shared" si="15"/>
        <v>493</v>
      </c>
      <c r="B494" s="18" t="s">
        <v>25</v>
      </c>
      <c r="C494" s="19">
        <v>3310434781091</v>
      </c>
      <c r="D494" s="19">
        <v>1623</v>
      </c>
      <c r="E494" s="20">
        <v>44907</v>
      </c>
      <c r="F494" s="20">
        <v>48560</v>
      </c>
      <c r="G494" s="21">
        <v>36661</v>
      </c>
      <c r="H494" s="22">
        <f t="shared" ca="1" si="14"/>
        <v>26</v>
      </c>
      <c r="I494" s="18" t="s">
        <v>912</v>
      </c>
      <c r="J494" s="18" t="s">
        <v>27</v>
      </c>
      <c r="K494" s="18"/>
      <c r="L494" s="23" t="s">
        <v>2039</v>
      </c>
      <c r="M494" s="23" t="s">
        <v>2040</v>
      </c>
      <c r="N494" s="23" t="s">
        <v>1488</v>
      </c>
      <c r="O494" s="18">
        <v>1</v>
      </c>
      <c r="P494" s="24"/>
      <c r="Q494" s="25">
        <v>45748</v>
      </c>
      <c r="R494" s="13">
        <v>0</v>
      </c>
      <c r="S494" s="26" t="str">
        <f>VLOOKUP(C494,'[1]Bazaar Salary'!$B$6:$J$1193,9,0)</f>
        <v>04970010112018580018</v>
      </c>
      <c r="T494" s="25" t="s">
        <v>32</v>
      </c>
      <c r="U494" s="25" t="s">
        <v>159</v>
      </c>
      <c r="V494" s="25" t="s">
        <v>1093</v>
      </c>
      <c r="W494" s="27" t="s">
        <v>2041</v>
      </c>
      <c r="X494" s="28" t="s">
        <v>2042</v>
      </c>
      <c r="Y494" s="28"/>
      <c r="Z494" s="29" t="s">
        <v>37</v>
      </c>
    </row>
    <row r="495" spans="1:26" ht="30" customHeight="1" thickBot="1" x14ac:dyDescent="0.25">
      <c r="A495" s="17">
        <f t="shared" si="15"/>
        <v>494</v>
      </c>
      <c r="B495" s="18" t="s">
        <v>25</v>
      </c>
      <c r="C495" s="19">
        <v>3420143080563</v>
      </c>
      <c r="D495" s="19">
        <v>1572</v>
      </c>
      <c r="E495" s="20">
        <v>42762</v>
      </c>
      <c r="F495" s="20">
        <v>46414</v>
      </c>
      <c r="G495" s="21">
        <v>35096</v>
      </c>
      <c r="H495" s="22">
        <f t="shared" ca="1" si="14"/>
        <v>30</v>
      </c>
      <c r="I495" s="18" t="s">
        <v>912</v>
      </c>
      <c r="J495" s="18" t="s">
        <v>27</v>
      </c>
      <c r="K495" s="18"/>
      <c r="L495" s="23" t="s">
        <v>2043</v>
      </c>
      <c r="M495" s="23" t="s">
        <v>2044</v>
      </c>
      <c r="N495" s="23" t="s">
        <v>1488</v>
      </c>
      <c r="O495" s="18">
        <v>1</v>
      </c>
      <c r="P495" s="24"/>
      <c r="Q495" s="25">
        <v>45748</v>
      </c>
      <c r="R495" s="13">
        <v>0</v>
      </c>
      <c r="S495" s="26" t="str">
        <f>VLOOKUP(C495,'[1]Bazaar Salary'!$B$6:$J$1193,9,0)</f>
        <v>51040020123618630014</v>
      </c>
      <c r="T495" s="25" t="s">
        <v>32</v>
      </c>
      <c r="U495" s="25" t="s">
        <v>159</v>
      </c>
      <c r="V495" s="25" t="s">
        <v>1093</v>
      </c>
      <c r="W495" s="27" t="s">
        <v>2045</v>
      </c>
      <c r="X495" s="28" t="s">
        <v>2046</v>
      </c>
      <c r="Y495" s="28"/>
      <c r="Z495" s="29" t="s">
        <v>37</v>
      </c>
    </row>
    <row r="496" spans="1:26" ht="30" customHeight="1" thickBot="1" x14ac:dyDescent="0.25">
      <c r="A496" s="17">
        <f t="shared" si="15"/>
        <v>495</v>
      </c>
      <c r="B496" s="18" t="s">
        <v>25</v>
      </c>
      <c r="C496" s="19">
        <v>3610402076279</v>
      </c>
      <c r="D496" s="19">
        <v>1677</v>
      </c>
      <c r="E496" s="21">
        <v>43391</v>
      </c>
      <c r="F496" s="21">
        <v>47044</v>
      </c>
      <c r="G496" s="21">
        <v>36804</v>
      </c>
      <c r="H496" s="22">
        <f t="shared" ca="1" si="14"/>
        <v>25</v>
      </c>
      <c r="I496" s="18" t="s">
        <v>26</v>
      </c>
      <c r="J496" s="18" t="s">
        <v>27</v>
      </c>
      <c r="K496" s="23"/>
      <c r="L496" s="24" t="s">
        <v>2047</v>
      </c>
      <c r="M496" s="33" t="s">
        <v>1032</v>
      </c>
      <c r="N496" s="23" t="s">
        <v>1499</v>
      </c>
      <c r="O496" s="18">
        <v>1</v>
      </c>
      <c r="P496" s="24"/>
      <c r="Q496" s="25">
        <v>45748</v>
      </c>
      <c r="R496" s="13">
        <v>0</v>
      </c>
      <c r="S496" s="26" t="str">
        <f>VLOOKUP(C496,'[1]Bazaar Salary'!$B$6:$J$1193,9,0)</f>
        <v>02660010077054530010</v>
      </c>
      <c r="T496" s="25" t="s">
        <v>32</v>
      </c>
      <c r="U496" s="25" t="s">
        <v>159</v>
      </c>
      <c r="V496" s="25" t="s">
        <v>1093</v>
      </c>
      <c r="W496" s="33" t="s">
        <v>2048</v>
      </c>
      <c r="X496" s="28" t="s">
        <v>2049</v>
      </c>
      <c r="Y496" s="28"/>
      <c r="Z496" s="29" t="s">
        <v>37</v>
      </c>
    </row>
    <row r="497" spans="1:26" ht="30" customHeight="1" thickBot="1" x14ac:dyDescent="0.25">
      <c r="A497" s="17">
        <f t="shared" si="15"/>
        <v>496</v>
      </c>
      <c r="B497" s="18" t="s">
        <v>25</v>
      </c>
      <c r="C497" s="19">
        <v>3450156496227</v>
      </c>
      <c r="D497" s="19">
        <v>1652</v>
      </c>
      <c r="E497" s="21">
        <v>44322</v>
      </c>
      <c r="F497" s="21">
        <v>47974</v>
      </c>
      <c r="G497" s="21">
        <v>37734</v>
      </c>
      <c r="H497" s="22">
        <f t="shared" ca="1" si="14"/>
        <v>23</v>
      </c>
      <c r="I497" s="18" t="s">
        <v>26</v>
      </c>
      <c r="J497" s="18" t="s">
        <v>27</v>
      </c>
      <c r="K497" s="23"/>
      <c r="L497" s="24" t="s">
        <v>994</v>
      </c>
      <c r="M497" s="33" t="s">
        <v>526</v>
      </c>
      <c r="N497" s="23" t="s">
        <v>1499</v>
      </c>
      <c r="O497" s="18">
        <v>1</v>
      </c>
      <c r="P497" s="24"/>
      <c r="Q497" s="25">
        <v>45748</v>
      </c>
      <c r="R497" s="13">
        <v>0</v>
      </c>
      <c r="S497" s="26" t="str">
        <f>VLOOKUP(C497,'[1]Bazaar Salary'!$B$6:$J$1193,9,0)</f>
        <v>00940010133865270012</v>
      </c>
      <c r="T497" s="25" t="s">
        <v>32</v>
      </c>
      <c r="U497" s="25" t="s">
        <v>159</v>
      </c>
      <c r="V497" s="25" t="s">
        <v>1093</v>
      </c>
      <c r="W497" s="33" t="s">
        <v>2050</v>
      </c>
      <c r="X497" s="28" t="s">
        <v>2051</v>
      </c>
      <c r="Y497" s="28"/>
      <c r="Z497" s="29" t="s">
        <v>37</v>
      </c>
    </row>
    <row r="498" spans="1:26" ht="30" customHeight="1" thickBot="1" x14ac:dyDescent="0.25">
      <c r="A498" s="17">
        <f t="shared" si="15"/>
        <v>497</v>
      </c>
      <c r="B498" s="18" t="s">
        <v>25</v>
      </c>
      <c r="C498" s="19">
        <v>3420165374439</v>
      </c>
      <c r="D498" s="19">
        <v>1283</v>
      </c>
      <c r="E498" s="20">
        <v>44462</v>
      </c>
      <c r="F498" s="20">
        <v>48114</v>
      </c>
      <c r="G498" s="21">
        <v>34536</v>
      </c>
      <c r="H498" s="22">
        <f t="shared" ca="1" si="14"/>
        <v>31</v>
      </c>
      <c r="I498" s="19" t="s">
        <v>26</v>
      </c>
      <c r="J498" s="18" t="s">
        <v>27</v>
      </c>
      <c r="K498" s="18"/>
      <c r="L498" s="23" t="s">
        <v>1624</v>
      </c>
      <c r="M498" s="23" t="s">
        <v>711</v>
      </c>
      <c r="N498" s="23" t="s">
        <v>1499</v>
      </c>
      <c r="O498" s="18">
        <v>1</v>
      </c>
      <c r="P498" s="24"/>
      <c r="Q498" s="25">
        <v>45748</v>
      </c>
      <c r="R498" s="13">
        <v>0</v>
      </c>
      <c r="S498" s="26" t="str">
        <f>VLOOKUP(C498,'[1]Bazaar Salary'!$B$6:$J$1193,9,0)</f>
        <v>51870020080010140018</v>
      </c>
      <c r="T498" s="25" t="s">
        <v>32</v>
      </c>
      <c r="U498" s="25" t="s">
        <v>159</v>
      </c>
      <c r="V498" s="25" t="s">
        <v>884</v>
      </c>
      <c r="W498" s="27" t="s">
        <v>2052</v>
      </c>
      <c r="X498" s="28" t="s">
        <v>2053</v>
      </c>
      <c r="Y498" s="28"/>
      <c r="Z498" s="29" t="s">
        <v>37</v>
      </c>
    </row>
    <row r="499" spans="1:26" ht="30" customHeight="1" thickBot="1" x14ac:dyDescent="0.25">
      <c r="A499" s="17">
        <f t="shared" si="15"/>
        <v>498</v>
      </c>
      <c r="B499" s="18" t="s">
        <v>25</v>
      </c>
      <c r="C499" s="19">
        <v>3460274285529</v>
      </c>
      <c r="D499" s="19">
        <v>428</v>
      </c>
      <c r="E499" s="20">
        <v>42792</v>
      </c>
      <c r="F499" s="20">
        <v>46444</v>
      </c>
      <c r="G499" s="21">
        <v>36177</v>
      </c>
      <c r="H499" s="22">
        <f t="shared" ca="1" si="14"/>
        <v>27</v>
      </c>
      <c r="I499" s="19" t="s">
        <v>26</v>
      </c>
      <c r="J499" s="18" t="s">
        <v>27</v>
      </c>
      <c r="K499" s="18"/>
      <c r="L499" s="23" t="s">
        <v>2054</v>
      </c>
      <c r="M499" s="23" t="s">
        <v>2055</v>
      </c>
      <c r="N499" s="23" t="s">
        <v>1499</v>
      </c>
      <c r="O499" s="18">
        <v>1</v>
      </c>
      <c r="P499" s="24"/>
      <c r="Q499" s="25">
        <v>43123</v>
      </c>
      <c r="R499" s="13">
        <v>0</v>
      </c>
      <c r="S499" s="26" t="str">
        <f>VLOOKUP(C499,'[1]Bazaar Salary'!$B$6:$J$1193,9,0)</f>
        <v>07300010049786090016</v>
      </c>
      <c r="T499" s="25" t="s">
        <v>32</v>
      </c>
      <c r="U499" s="25" t="s">
        <v>159</v>
      </c>
      <c r="V499" s="25" t="s">
        <v>1356</v>
      </c>
      <c r="W499" s="27" t="s">
        <v>2056</v>
      </c>
      <c r="X499" s="28" t="s">
        <v>2057</v>
      </c>
      <c r="Y499" s="28"/>
      <c r="Z499" s="29" t="s">
        <v>37</v>
      </c>
    </row>
    <row r="500" spans="1:26" ht="30" customHeight="1" thickBot="1" x14ac:dyDescent="0.25">
      <c r="A500" s="17">
        <f t="shared" si="15"/>
        <v>499</v>
      </c>
      <c r="B500" s="18" t="s">
        <v>25</v>
      </c>
      <c r="C500" s="19">
        <v>3520240236943</v>
      </c>
      <c r="D500" s="19">
        <v>1644</v>
      </c>
      <c r="E500" s="21">
        <v>44726</v>
      </c>
      <c r="F500" s="21">
        <v>48379</v>
      </c>
      <c r="G500" s="21">
        <v>34056</v>
      </c>
      <c r="H500" s="22">
        <f t="shared" ca="1" si="14"/>
        <v>33</v>
      </c>
      <c r="I500" s="18" t="s">
        <v>26</v>
      </c>
      <c r="J500" s="18" t="s">
        <v>27</v>
      </c>
      <c r="K500" s="23"/>
      <c r="L500" s="24" t="s">
        <v>263</v>
      </c>
      <c r="M500" s="33" t="s">
        <v>491</v>
      </c>
      <c r="N500" s="23" t="s">
        <v>1499</v>
      </c>
      <c r="O500" s="18">
        <v>1</v>
      </c>
      <c r="P500" s="24"/>
      <c r="Q500" s="25">
        <v>45748</v>
      </c>
      <c r="R500" s="13">
        <v>0</v>
      </c>
      <c r="S500" s="26" t="str">
        <f>VLOOKUP(C500,'[1]Bazaar Salary'!$B$6:$J$1193,9,0)</f>
        <v>09410010134268680010</v>
      </c>
      <c r="T500" s="25" t="s">
        <v>32</v>
      </c>
      <c r="U500" s="25" t="s">
        <v>583</v>
      </c>
      <c r="V500" s="25" t="s">
        <v>1093</v>
      </c>
      <c r="W500" s="33" t="s">
        <v>2058</v>
      </c>
      <c r="X500" s="28" t="s">
        <v>2059</v>
      </c>
      <c r="Y500" s="28"/>
      <c r="Z500" s="29" t="s">
        <v>37</v>
      </c>
    </row>
    <row r="501" spans="1:26" ht="30" customHeight="1" thickBot="1" x14ac:dyDescent="0.25">
      <c r="A501" s="17">
        <f t="shared" si="15"/>
        <v>500</v>
      </c>
      <c r="B501" s="18" t="s">
        <v>25</v>
      </c>
      <c r="C501" s="19">
        <v>1310105696741</v>
      </c>
      <c r="D501" s="19">
        <v>1695</v>
      </c>
      <c r="E501" s="20">
        <v>45558</v>
      </c>
      <c r="F501" s="20">
        <v>49210</v>
      </c>
      <c r="G501" s="21">
        <v>37125</v>
      </c>
      <c r="H501" s="22">
        <f t="shared" ca="1" si="14"/>
        <v>24</v>
      </c>
      <c r="I501" s="19" t="s">
        <v>26</v>
      </c>
      <c r="J501" s="18" t="s">
        <v>27</v>
      </c>
      <c r="K501" s="18"/>
      <c r="L501" s="23" t="s">
        <v>2060</v>
      </c>
      <c r="M501" s="23" t="s">
        <v>2061</v>
      </c>
      <c r="N501" s="23" t="s">
        <v>1499</v>
      </c>
      <c r="O501" s="18">
        <v>1</v>
      </c>
      <c r="P501" s="24"/>
      <c r="Q501" s="25">
        <v>45748</v>
      </c>
      <c r="R501" s="13">
        <v>0</v>
      </c>
      <c r="S501" s="26" t="str">
        <f>VLOOKUP(C501,'[1]Bazaar Salary'!$B$6:$J$1193,9,0)</f>
        <v>02200010136385210015</v>
      </c>
      <c r="T501" s="25" t="s">
        <v>32</v>
      </c>
      <c r="U501" s="25" t="s">
        <v>583</v>
      </c>
      <c r="V501" s="25" t="s">
        <v>1093</v>
      </c>
      <c r="W501" s="27" t="s">
        <v>2062</v>
      </c>
      <c r="X501" s="28" t="s">
        <v>2063</v>
      </c>
      <c r="Y501" s="28"/>
      <c r="Z501" s="29" t="s">
        <v>37</v>
      </c>
    </row>
    <row r="502" spans="1:26" ht="30" customHeight="1" thickBot="1" x14ac:dyDescent="0.25">
      <c r="A502" s="17">
        <f t="shared" si="15"/>
        <v>501</v>
      </c>
      <c r="B502" s="18" t="s">
        <v>25</v>
      </c>
      <c r="C502" s="19">
        <v>4220192278855</v>
      </c>
      <c r="D502" s="19">
        <v>563</v>
      </c>
      <c r="E502" s="20">
        <v>42231</v>
      </c>
      <c r="F502" s="20">
        <v>45884</v>
      </c>
      <c r="G502" s="21">
        <v>28856</v>
      </c>
      <c r="H502" s="22">
        <f t="shared" ca="1" si="14"/>
        <v>47</v>
      </c>
      <c r="I502" s="18" t="s">
        <v>912</v>
      </c>
      <c r="J502" s="18" t="s">
        <v>27</v>
      </c>
      <c r="K502" s="18"/>
      <c r="L502" s="23" t="s">
        <v>1903</v>
      </c>
      <c r="M502" s="23" t="s">
        <v>2064</v>
      </c>
      <c r="N502" s="23" t="s">
        <v>1488</v>
      </c>
      <c r="O502" s="18">
        <v>1</v>
      </c>
      <c r="P502" s="24"/>
      <c r="Q502" s="25">
        <v>42614</v>
      </c>
      <c r="R502" s="13">
        <v>0</v>
      </c>
      <c r="S502" s="26" t="str">
        <f>VLOOKUP(C502,'[1]Bazaar Salary'!$B$6:$J$1193,9,0)</f>
        <v>07940010046062240010</v>
      </c>
      <c r="T502" s="25" t="s">
        <v>32</v>
      </c>
      <c r="U502" s="25" t="s">
        <v>588</v>
      </c>
      <c r="V502" s="25" t="s">
        <v>1356</v>
      </c>
      <c r="W502" s="27" t="s">
        <v>2065</v>
      </c>
      <c r="X502" s="28" t="s">
        <v>2066</v>
      </c>
      <c r="Y502" s="28"/>
      <c r="Z502" s="29" t="s">
        <v>37</v>
      </c>
    </row>
    <row r="503" spans="1:26" ht="30" customHeight="1" thickBot="1" x14ac:dyDescent="0.25">
      <c r="A503" s="17">
        <f t="shared" si="15"/>
        <v>502</v>
      </c>
      <c r="B503" s="18" t="s">
        <v>25</v>
      </c>
      <c r="C503" s="19">
        <v>3430158335325</v>
      </c>
      <c r="D503" s="19">
        <v>1172</v>
      </c>
      <c r="E503" s="20">
        <v>44353</v>
      </c>
      <c r="F503" s="20">
        <v>48005</v>
      </c>
      <c r="G503" s="21">
        <v>33761</v>
      </c>
      <c r="H503" s="22">
        <f t="shared" ca="1" si="14"/>
        <v>34</v>
      </c>
      <c r="I503" s="19" t="s">
        <v>26</v>
      </c>
      <c r="J503" s="18" t="s">
        <v>27</v>
      </c>
      <c r="K503" s="18"/>
      <c r="L503" s="23" t="s">
        <v>2067</v>
      </c>
      <c r="M503" s="23" t="s">
        <v>1910</v>
      </c>
      <c r="N503" s="23" t="s">
        <v>1488</v>
      </c>
      <c r="O503" s="18">
        <v>1</v>
      </c>
      <c r="P503" s="24"/>
      <c r="Q503" s="25">
        <v>44317</v>
      </c>
      <c r="R503" s="13">
        <v>0</v>
      </c>
      <c r="S503" s="26" t="str">
        <f>VLOOKUP(C503,'[1]Bazaar Salary'!$B$6:$J$1193,9,0)</f>
        <v>07940010065380450010</v>
      </c>
      <c r="T503" s="25" t="s">
        <v>32</v>
      </c>
      <c r="U503" s="25" t="s">
        <v>588</v>
      </c>
      <c r="V503" s="25" t="s">
        <v>1535</v>
      </c>
      <c r="W503" s="27" t="s">
        <v>2068</v>
      </c>
      <c r="X503" s="28" t="s">
        <v>2069</v>
      </c>
      <c r="Y503" s="28"/>
      <c r="Z503" s="29" t="s">
        <v>37</v>
      </c>
    </row>
    <row r="504" spans="1:26" ht="30" customHeight="1" thickBot="1" x14ac:dyDescent="0.25">
      <c r="A504" s="17">
        <f t="shared" si="15"/>
        <v>503</v>
      </c>
      <c r="B504" s="18" t="s">
        <v>25</v>
      </c>
      <c r="C504" s="19">
        <v>3430188808941</v>
      </c>
      <c r="D504" s="19">
        <v>562</v>
      </c>
      <c r="E504" s="20">
        <v>42894</v>
      </c>
      <c r="F504" s="20">
        <v>46546</v>
      </c>
      <c r="G504" s="21">
        <v>29792</v>
      </c>
      <c r="H504" s="22">
        <f t="shared" ca="1" si="14"/>
        <v>44</v>
      </c>
      <c r="I504" s="18" t="s">
        <v>912</v>
      </c>
      <c r="J504" s="18" t="s">
        <v>27</v>
      </c>
      <c r="K504" s="18"/>
      <c r="L504" s="23" t="s">
        <v>2070</v>
      </c>
      <c r="M504" s="23" t="s">
        <v>2071</v>
      </c>
      <c r="N504" s="23" t="s">
        <v>1488</v>
      </c>
      <c r="O504" s="18">
        <v>1</v>
      </c>
      <c r="P504" s="24"/>
      <c r="Q504" s="25">
        <v>42614</v>
      </c>
      <c r="R504" s="13">
        <v>0</v>
      </c>
      <c r="S504" s="26" t="str">
        <f>VLOOKUP(C504,'[1]Bazaar Salary'!$B$6:$J$1193,9,0)</f>
        <v>07940010046061800016</v>
      </c>
      <c r="T504" s="25" t="s">
        <v>32</v>
      </c>
      <c r="U504" s="25" t="s">
        <v>588</v>
      </c>
      <c r="V504" s="25" t="s">
        <v>1356</v>
      </c>
      <c r="W504" s="27" t="s">
        <v>2072</v>
      </c>
      <c r="X504" s="28" t="s">
        <v>2073</v>
      </c>
      <c r="Y504" s="28"/>
      <c r="Z504" s="29" t="s">
        <v>37</v>
      </c>
    </row>
    <row r="505" spans="1:26" ht="30" customHeight="1" thickBot="1" x14ac:dyDescent="0.25">
      <c r="A505" s="17">
        <f t="shared" si="15"/>
        <v>504</v>
      </c>
      <c r="B505" s="18" t="s">
        <v>25</v>
      </c>
      <c r="C505" s="19">
        <v>3430160773453</v>
      </c>
      <c r="D505" s="19">
        <v>1566</v>
      </c>
      <c r="E505" s="20">
        <v>43753</v>
      </c>
      <c r="F505" s="20">
        <v>47406</v>
      </c>
      <c r="G505" s="21">
        <v>35713</v>
      </c>
      <c r="H505" s="22">
        <f t="shared" ca="1" si="14"/>
        <v>28</v>
      </c>
      <c r="I505" s="18" t="s">
        <v>912</v>
      </c>
      <c r="J505" s="18" t="s">
        <v>27</v>
      </c>
      <c r="K505" s="18"/>
      <c r="L505" s="23" t="s">
        <v>2074</v>
      </c>
      <c r="M505" s="23" t="s">
        <v>2075</v>
      </c>
      <c r="N505" s="23" t="s">
        <v>1488</v>
      </c>
      <c r="O505" s="18">
        <v>1</v>
      </c>
      <c r="P505" s="24"/>
      <c r="Q505" s="25">
        <v>45748</v>
      </c>
      <c r="R505" s="13">
        <v>0</v>
      </c>
      <c r="S505" s="26" t="str">
        <f>VLOOKUP(C505,'[1]Bazaar Salary'!$B$6:$J$1193,9,0)</f>
        <v>07940010123277700014</v>
      </c>
      <c r="T505" s="25" t="s">
        <v>32</v>
      </c>
      <c r="U505" s="25" t="s">
        <v>588</v>
      </c>
      <c r="V505" s="25" t="s">
        <v>1093</v>
      </c>
      <c r="W505" s="27" t="s">
        <v>2076</v>
      </c>
      <c r="X505" s="28" t="s">
        <v>2077</v>
      </c>
      <c r="Y505" s="28"/>
      <c r="Z505" s="29" t="s">
        <v>37</v>
      </c>
    </row>
    <row r="506" spans="1:26" ht="30" customHeight="1" thickBot="1" x14ac:dyDescent="0.25">
      <c r="A506" s="17">
        <f t="shared" si="15"/>
        <v>505</v>
      </c>
      <c r="B506" s="18" t="s">
        <v>25</v>
      </c>
      <c r="C506" s="19">
        <v>3430190971743</v>
      </c>
      <c r="D506" s="19">
        <v>1637</v>
      </c>
      <c r="E506" s="20">
        <v>43129</v>
      </c>
      <c r="F506" s="21">
        <v>46781</v>
      </c>
      <c r="G506" s="21">
        <v>32898</v>
      </c>
      <c r="H506" s="22">
        <f t="shared" ca="1" si="14"/>
        <v>36</v>
      </c>
      <c r="I506" s="25" t="s">
        <v>26</v>
      </c>
      <c r="J506" s="18" t="s">
        <v>27</v>
      </c>
      <c r="K506" s="23"/>
      <c r="L506" s="23" t="s">
        <v>2078</v>
      </c>
      <c r="M506" s="24" t="s">
        <v>2079</v>
      </c>
      <c r="N506" s="23" t="s">
        <v>1488</v>
      </c>
      <c r="O506" s="18">
        <v>1</v>
      </c>
      <c r="P506" s="24"/>
      <c r="Q506" s="25">
        <v>45748</v>
      </c>
      <c r="R506" s="13">
        <v>0</v>
      </c>
      <c r="S506" s="26" t="str">
        <f>VLOOKUP(C506,'[1]Bazaar Salary'!$B$6:$J$1193,9,0)</f>
        <v>51040020057157410029</v>
      </c>
      <c r="T506" s="25" t="s">
        <v>32</v>
      </c>
      <c r="U506" s="25" t="s">
        <v>588</v>
      </c>
      <c r="V506" s="25" t="s">
        <v>1093</v>
      </c>
      <c r="W506" s="25" t="s">
        <v>2080</v>
      </c>
      <c r="X506" s="28" t="s">
        <v>2081</v>
      </c>
      <c r="Y506" s="28"/>
      <c r="Z506" s="29" t="s">
        <v>37</v>
      </c>
    </row>
    <row r="507" spans="1:26" ht="30" customHeight="1" thickBot="1" x14ac:dyDescent="0.25">
      <c r="A507" s="17">
        <f t="shared" si="15"/>
        <v>506</v>
      </c>
      <c r="B507" s="18" t="s">
        <v>25</v>
      </c>
      <c r="C507" s="19">
        <v>3430187544043</v>
      </c>
      <c r="D507" s="19">
        <v>1171</v>
      </c>
      <c r="E507" s="20">
        <v>43809</v>
      </c>
      <c r="F507" s="20">
        <v>47462</v>
      </c>
      <c r="G507" s="21">
        <v>28856</v>
      </c>
      <c r="H507" s="22">
        <f t="shared" ca="1" si="14"/>
        <v>47</v>
      </c>
      <c r="I507" s="19" t="s">
        <v>26</v>
      </c>
      <c r="J507" s="18" t="s">
        <v>27</v>
      </c>
      <c r="K507" s="18"/>
      <c r="L507" s="23" t="s">
        <v>2082</v>
      </c>
      <c r="M507" s="23" t="s">
        <v>2083</v>
      </c>
      <c r="N507" s="23" t="s">
        <v>1499</v>
      </c>
      <c r="O507" s="18">
        <v>1</v>
      </c>
      <c r="P507" s="24"/>
      <c r="Q507" s="25">
        <v>44317</v>
      </c>
      <c r="R507" s="13">
        <v>0</v>
      </c>
      <c r="S507" s="26" t="str">
        <f>VLOOKUP(C507,'[1]Bazaar Salary'!$B$6:$J$1193,9,0)</f>
        <v>07940010067136200012</v>
      </c>
      <c r="T507" s="25" t="s">
        <v>32</v>
      </c>
      <c r="U507" s="25" t="s">
        <v>588</v>
      </c>
      <c r="V507" s="25" t="s">
        <v>1093</v>
      </c>
      <c r="W507" s="27" t="s">
        <v>2084</v>
      </c>
      <c r="X507" s="28" t="s">
        <v>2085</v>
      </c>
      <c r="Y507" s="28"/>
      <c r="Z507" s="29" t="s">
        <v>37</v>
      </c>
    </row>
    <row r="508" spans="1:26" ht="30" customHeight="1" thickBot="1" x14ac:dyDescent="0.25">
      <c r="A508" s="17">
        <f t="shared" si="15"/>
        <v>507</v>
      </c>
      <c r="B508" s="18" t="s">
        <v>25</v>
      </c>
      <c r="C508" s="19">
        <v>3840704764431</v>
      </c>
      <c r="D508" s="19">
        <v>1767</v>
      </c>
      <c r="E508" s="20">
        <v>44438</v>
      </c>
      <c r="F508" s="20">
        <v>48090</v>
      </c>
      <c r="G508" s="21">
        <v>37622</v>
      </c>
      <c r="H508" s="22">
        <f t="shared" ca="1" si="14"/>
        <v>23</v>
      </c>
      <c r="I508" s="19" t="s">
        <v>26</v>
      </c>
      <c r="J508" s="18" t="s">
        <v>27</v>
      </c>
      <c r="K508" s="18"/>
      <c r="L508" s="23" t="s">
        <v>1308</v>
      </c>
      <c r="M508" s="23" t="s">
        <v>631</v>
      </c>
      <c r="N508" s="23" t="s">
        <v>1499</v>
      </c>
      <c r="O508" s="18">
        <v>1</v>
      </c>
      <c r="P508" s="24"/>
      <c r="Q508" s="25">
        <v>45748</v>
      </c>
      <c r="R508" s="13">
        <v>0</v>
      </c>
      <c r="S508" s="26" t="str">
        <f>VLOOKUP(C508,'[1]Bazaar Salary'!$B$6:$J$1193,9,0)</f>
        <v>06150010138033160015</v>
      </c>
      <c r="T508" s="25" t="s">
        <v>32</v>
      </c>
      <c r="U508" s="25" t="s">
        <v>588</v>
      </c>
      <c r="V508" s="25" t="s">
        <v>1093</v>
      </c>
      <c r="W508" s="27" t="s">
        <v>2086</v>
      </c>
      <c r="X508" s="28" t="s">
        <v>2087</v>
      </c>
      <c r="Y508" s="28"/>
      <c r="Z508" s="29" t="s">
        <v>37</v>
      </c>
    </row>
    <row r="509" spans="1:26" ht="30" customHeight="1" thickBot="1" x14ac:dyDescent="0.25">
      <c r="A509" s="17">
        <f t="shared" si="15"/>
        <v>508</v>
      </c>
      <c r="B509" s="18" t="s">
        <v>25</v>
      </c>
      <c r="C509" s="19">
        <v>3430116983419</v>
      </c>
      <c r="D509" s="19">
        <v>451</v>
      </c>
      <c r="E509" s="20">
        <v>44264</v>
      </c>
      <c r="F509" s="20">
        <v>47916</v>
      </c>
      <c r="G509" s="21">
        <v>26665</v>
      </c>
      <c r="H509" s="22">
        <f t="shared" ca="1" si="14"/>
        <v>53</v>
      </c>
      <c r="I509" s="19" t="s">
        <v>26</v>
      </c>
      <c r="J509" s="18" t="s">
        <v>27</v>
      </c>
      <c r="K509" s="18"/>
      <c r="L509" s="23" t="s">
        <v>931</v>
      </c>
      <c r="M509" s="23" t="s">
        <v>1648</v>
      </c>
      <c r="N509" s="23" t="s">
        <v>1499</v>
      </c>
      <c r="O509" s="18">
        <v>1</v>
      </c>
      <c r="P509" s="24"/>
      <c r="Q509" s="25">
        <v>42614</v>
      </c>
      <c r="R509" s="13">
        <v>0</v>
      </c>
      <c r="S509" s="26" t="str">
        <f>VLOOKUP(C509,'[1]Bazaar Salary'!$B$6:$J$1193,9,0)</f>
        <v>07940010045995620018</v>
      </c>
      <c r="T509" s="25" t="s">
        <v>32</v>
      </c>
      <c r="U509" s="25" t="s">
        <v>588</v>
      </c>
      <c r="V509" s="25" t="s">
        <v>1356</v>
      </c>
      <c r="W509" s="27" t="s">
        <v>2088</v>
      </c>
      <c r="X509" s="28" t="s">
        <v>2089</v>
      </c>
      <c r="Y509" s="28"/>
      <c r="Z509" s="29" t="s">
        <v>37</v>
      </c>
    </row>
    <row r="510" spans="1:26" ht="30" customHeight="1" thickBot="1" x14ac:dyDescent="0.25">
      <c r="A510" s="17">
        <f t="shared" si="15"/>
        <v>509</v>
      </c>
      <c r="B510" s="18" t="s">
        <v>25</v>
      </c>
      <c r="C510" s="19">
        <v>3430173334537</v>
      </c>
      <c r="D510" s="19">
        <v>449</v>
      </c>
      <c r="E510" s="20">
        <v>44419</v>
      </c>
      <c r="F510" s="20">
        <v>48071</v>
      </c>
      <c r="G510" s="21">
        <v>27576</v>
      </c>
      <c r="H510" s="22">
        <f t="shared" ca="1" si="14"/>
        <v>50</v>
      </c>
      <c r="I510" s="19" t="s">
        <v>26</v>
      </c>
      <c r="J510" s="18" t="s">
        <v>27</v>
      </c>
      <c r="K510" s="18"/>
      <c r="L510" s="23" t="s">
        <v>2090</v>
      </c>
      <c r="M510" s="23" t="s">
        <v>2091</v>
      </c>
      <c r="N510" s="23" t="s">
        <v>1499</v>
      </c>
      <c r="O510" s="18">
        <v>1</v>
      </c>
      <c r="P510" s="24"/>
      <c r="Q510" s="25">
        <v>42614</v>
      </c>
      <c r="R510" s="13">
        <v>0</v>
      </c>
      <c r="S510" s="26" t="str">
        <f>VLOOKUP(C510,'[1]Bazaar Salary'!$B$6:$J$1193,9,0)</f>
        <v>07940010045943240015</v>
      </c>
      <c r="T510" s="25" t="s">
        <v>32</v>
      </c>
      <c r="U510" s="25" t="s">
        <v>588</v>
      </c>
      <c r="V510" s="25" t="s">
        <v>1535</v>
      </c>
      <c r="W510" s="27" t="s">
        <v>2092</v>
      </c>
      <c r="X510" s="28" t="s">
        <v>2093</v>
      </c>
      <c r="Y510" s="28"/>
      <c r="Z510" s="29" t="s">
        <v>37</v>
      </c>
    </row>
    <row r="511" spans="1:26" ht="30" customHeight="1" thickBot="1" x14ac:dyDescent="0.25">
      <c r="A511" s="17">
        <f t="shared" si="15"/>
        <v>510</v>
      </c>
      <c r="B511" s="18" t="s">
        <v>25</v>
      </c>
      <c r="C511" s="19">
        <v>3430144342123</v>
      </c>
      <c r="D511" s="19">
        <v>450</v>
      </c>
      <c r="E511" s="20">
        <v>42613</v>
      </c>
      <c r="F511" s="20">
        <v>46265</v>
      </c>
      <c r="G511" s="21">
        <v>27821</v>
      </c>
      <c r="H511" s="22">
        <f t="shared" ca="1" si="14"/>
        <v>50</v>
      </c>
      <c r="I511" s="19" t="s">
        <v>26</v>
      </c>
      <c r="J511" s="18" t="s">
        <v>27</v>
      </c>
      <c r="K511" s="18"/>
      <c r="L511" s="23" t="s">
        <v>2094</v>
      </c>
      <c r="M511" s="23" t="s">
        <v>1664</v>
      </c>
      <c r="N511" s="23" t="s">
        <v>1499</v>
      </c>
      <c r="O511" s="18">
        <v>1</v>
      </c>
      <c r="P511" s="24"/>
      <c r="Q511" s="25">
        <v>42614</v>
      </c>
      <c r="R511" s="13">
        <v>0</v>
      </c>
      <c r="S511" s="26" t="str">
        <f>VLOOKUP(C511,'[1]Bazaar Salary'!$B$6:$J$1193,9,0)</f>
        <v>07940010045930040018</v>
      </c>
      <c r="T511" s="25" t="s">
        <v>32</v>
      </c>
      <c r="U511" s="25" t="s">
        <v>588</v>
      </c>
      <c r="V511" s="25" t="s">
        <v>1356</v>
      </c>
      <c r="W511" s="27" t="s">
        <v>2092</v>
      </c>
      <c r="X511" s="28" t="s">
        <v>2095</v>
      </c>
      <c r="Y511" s="28"/>
      <c r="Z511" s="29" t="s">
        <v>37</v>
      </c>
    </row>
    <row r="512" spans="1:26" ht="30" customHeight="1" thickBot="1" x14ac:dyDescent="0.25">
      <c r="A512" s="17">
        <f t="shared" si="15"/>
        <v>511</v>
      </c>
      <c r="B512" s="18" t="s">
        <v>25</v>
      </c>
      <c r="C512" s="19">
        <v>3430177583001</v>
      </c>
      <c r="D512" s="19">
        <v>808</v>
      </c>
      <c r="E512" s="20">
        <v>42028</v>
      </c>
      <c r="F512" s="20">
        <v>45681</v>
      </c>
      <c r="G512" s="21">
        <v>35411</v>
      </c>
      <c r="H512" s="22">
        <f t="shared" ca="1" si="14"/>
        <v>29</v>
      </c>
      <c r="I512" s="19" t="s">
        <v>26</v>
      </c>
      <c r="J512" s="18" t="s">
        <v>27</v>
      </c>
      <c r="K512" s="18" t="s">
        <v>197</v>
      </c>
      <c r="L512" s="23" t="s">
        <v>2096</v>
      </c>
      <c r="M512" s="23" t="s">
        <v>1783</v>
      </c>
      <c r="N512" s="23" t="s">
        <v>1499</v>
      </c>
      <c r="O512" s="18">
        <v>1</v>
      </c>
      <c r="P512" s="24"/>
      <c r="Q512" s="25">
        <v>43617</v>
      </c>
      <c r="R512" s="13">
        <v>0</v>
      </c>
      <c r="S512" s="26" t="str">
        <f>VLOOKUP(C512,'[1]Bazaar Salary'!$B$6:$J$1193,9,0)</f>
        <v>07940010058351050014</v>
      </c>
      <c r="T512" s="25" t="s">
        <v>32</v>
      </c>
      <c r="U512" s="25" t="s">
        <v>588</v>
      </c>
      <c r="V512" s="25" t="s">
        <v>1093</v>
      </c>
      <c r="W512" s="27" t="s">
        <v>2084</v>
      </c>
      <c r="X512" s="28" t="s">
        <v>2097</v>
      </c>
      <c r="Y512" s="28"/>
      <c r="Z512" s="29" t="s">
        <v>37</v>
      </c>
    </row>
    <row r="513" spans="1:26" ht="30" customHeight="1" thickBot="1" x14ac:dyDescent="0.25">
      <c r="A513" s="17">
        <f t="shared" si="15"/>
        <v>512</v>
      </c>
      <c r="B513" s="18" t="s">
        <v>25</v>
      </c>
      <c r="C513" s="19">
        <v>3530255412751</v>
      </c>
      <c r="D513" s="19">
        <v>365</v>
      </c>
      <c r="E513" s="20">
        <v>45543</v>
      </c>
      <c r="F513" s="20">
        <v>49195</v>
      </c>
      <c r="G513" s="21">
        <v>26665</v>
      </c>
      <c r="H513" s="22">
        <f t="shared" ca="1" si="14"/>
        <v>53</v>
      </c>
      <c r="I513" s="19" t="s">
        <v>26</v>
      </c>
      <c r="J513" s="18" t="s">
        <v>27</v>
      </c>
      <c r="K513" s="18"/>
      <c r="L513" s="23" t="s">
        <v>2098</v>
      </c>
      <c r="M513" s="23" t="s">
        <v>1142</v>
      </c>
      <c r="N513" s="23" t="s">
        <v>1551</v>
      </c>
      <c r="O513" s="18">
        <v>1</v>
      </c>
      <c r="P513" s="24"/>
      <c r="Q513" s="25">
        <v>41777</v>
      </c>
      <c r="R513" s="13">
        <v>0</v>
      </c>
      <c r="S513" s="26" t="str">
        <f>VLOOKUP(C513,'[1]Bazaar Salary'!$B$6:$J$1193,9,0)</f>
        <v>01260010045855420010</v>
      </c>
      <c r="T513" s="25" t="s">
        <v>32</v>
      </c>
      <c r="U513" s="25" t="s">
        <v>309</v>
      </c>
      <c r="V513" s="25" t="s">
        <v>1093</v>
      </c>
      <c r="W513" s="27" t="s">
        <v>2099</v>
      </c>
      <c r="X513" s="28" t="s">
        <v>2100</v>
      </c>
      <c r="Y513" s="28"/>
      <c r="Z513" s="29" t="s">
        <v>37</v>
      </c>
    </row>
    <row r="514" spans="1:26" ht="30" customHeight="1" thickBot="1" x14ac:dyDescent="0.25">
      <c r="A514" s="17">
        <f t="shared" si="15"/>
        <v>513</v>
      </c>
      <c r="B514" s="18" t="s">
        <v>25</v>
      </c>
      <c r="C514" s="19">
        <v>3520125343245</v>
      </c>
      <c r="D514" s="19">
        <v>1471</v>
      </c>
      <c r="E514" s="20">
        <v>44909</v>
      </c>
      <c r="F514" s="20">
        <v>48562</v>
      </c>
      <c r="G514" s="21">
        <v>33499</v>
      </c>
      <c r="H514" s="22">
        <f t="shared" ref="H514:H577" ca="1" si="16">INT((TODAY()-G514)/365)</f>
        <v>34</v>
      </c>
      <c r="I514" s="18" t="s">
        <v>912</v>
      </c>
      <c r="J514" s="18" t="s">
        <v>27</v>
      </c>
      <c r="K514" s="18"/>
      <c r="L514" s="23" t="s">
        <v>2101</v>
      </c>
      <c r="M514" s="23" t="s">
        <v>1902</v>
      </c>
      <c r="N514" s="23" t="s">
        <v>1488</v>
      </c>
      <c r="O514" s="18">
        <v>1</v>
      </c>
      <c r="P514" s="24"/>
      <c r="Q514" s="25">
        <v>45748</v>
      </c>
      <c r="R514" s="13">
        <v>0</v>
      </c>
      <c r="S514" s="26" t="str">
        <f>VLOOKUP(C514,'[1]Bazaar Salary'!$B$6:$J$1193,9,0)</f>
        <v>01260010102535590014</v>
      </c>
      <c r="T514" s="25" t="s">
        <v>32</v>
      </c>
      <c r="U514" s="25" t="s">
        <v>309</v>
      </c>
      <c r="V514" s="25" t="s">
        <v>1093</v>
      </c>
      <c r="W514" s="27" t="s">
        <v>2102</v>
      </c>
      <c r="X514" s="28" t="s">
        <v>2103</v>
      </c>
      <c r="Y514" s="28"/>
      <c r="Z514" s="29" t="s">
        <v>37</v>
      </c>
    </row>
    <row r="515" spans="1:26" ht="30" customHeight="1" thickBot="1" x14ac:dyDescent="0.25">
      <c r="A515" s="17">
        <f t="shared" si="15"/>
        <v>514</v>
      </c>
      <c r="B515" s="18" t="s">
        <v>25</v>
      </c>
      <c r="C515" s="19">
        <v>3520182873411</v>
      </c>
      <c r="D515" s="19">
        <v>535</v>
      </c>
      <c r="E515" s="20">
        <v>43073</v>
      </c>
      <c r="F515" s="20">
        <v>46725</v>
      </c>
      <c r="G515" s="21">
        <v>31832</v>
      </c>
      <c r="H515" s="22">
        <f t="shared" ca="1" si="16"/>
        <v>39</v>
      </c>
      <c r="I515" s="18" t="s">
        <v>912</v>
      </c>
      <c r="J515" s="18" t="s">
        <v>27</v>
      </c>
      <c r="K515" s="18"/>
      <c r="L515" s="23" t="s">
        <v>2028</v>
      </c>
      <c r="M515" s="23" t="s">
        <v>982</v>
      </c>
      <c r="N515" s="23" t="s">
        <v>1488</v>
      </c>
      <c r="O515" s="18">
        <v>1</v>
      </c>
      <c r="P515" s="24"/>
      <c r="Q515" s="25">
        <v>41773</v>
      </c>
      <c r="R515" s="13">
        <v>0</v>
      </c>
      <c r="S515" s="26" t="str">
        <f>VLOOKUP(C515,'[1]Bazaar Salary'!$B$6:$J$1193,9,0)</f>
        <v>01260010045822330018</v>
      </c>
      <c r="T515" s="25" t="s">
        <v>32</v>
      </c>
      <c r="U515" s="25" t="s">
        <v>309</v>
      </c>
      <c r="V515" s="25" t="s">
        <v>1356</v>
      </c>
      <c r="W515" s="27" t="s">
        <v>2104</v>
      </c>
      <c r="X515" s="28" t="s">
        <v>2105</v>
      </c>
      <c r="Y515" s="28"/>
      <c r="Z515" s="29" t="s">
        <v>37</v>
      </c>
    </row>
    <row r="516" spans="1:26" ht="30" customHeight="1" thickBot="1" x14ac:dyDescent="0.25">
      <c r="A516" s="17">
        <f t="shared" ref="A516:A579" si="17">A515+1</f>
        <v>515</v>
      </c>
      <c r="B516" s="18" t="s">
        <v>25</v>
      </c>
      <c r="C516" s="19">
        <v>3520168367451</v>
      </c>
      <c r="D516" s="19">
        <v>1462</v>
      </c>
      <c r="E516" s="20">
        <v>44622</v>
      </c>
      <c r="F516" s="20">
        <v>48275</v>
      </c>
      <c r="G516" s="21">
        <v>33095</v>
      </c>
      <c r="H516" s="22">
        <f t="shared" ca="1" si="16"/>
        <v>35</v>
      </c>
      <c r="I516" s="19" t="s">
        <v>26</v>
      </c>
      <c r="J516" s="18" t="s">
        <v>27</v>
      </c>
      <c r="K516" s="18"/>
      <c r="L516" s="23" t="s">
        <v>2106</v>
      </c>
      <c r="M516" s="23" t="s">
        <v>2107</v>
      </c>
      <c r="N516" s="23" t="s">
        <v>1488</v>
      </c>
      <c r="O516" s="18">
        <v>1</v>
      </c>
      <c r="P516" s="24"/>
      <c r="Q516" s="25">
        <v>45748</v>
      </c>
      <c r="R516" s="13">
        <v>0</v>
      </c>
      <c r="S516" s="26" t="str">
        <f>VLOOKUP(C516,'[1]Bazaar Salary'!$B$6:$J$1193,9,0)</f>
        <v>10080010102719960010</v>
      </c>
      <c r="T516" s="25" t="s">
        <v>32</v>
      </c>
      <c r="U516" s="25" t="s">
        <v>309</v>
      </c>
      <c r="V516" s="25" t="s">
        <v>1093</v>
      </c>
      <c r="W516" s="27" t="s">
        <v>2108</v>
      </c>
      <c r="X516" s="28" t="s">
        <v>2109</v>
      </c>
      <c r="Y516" s="28"/>
      <c r="Z516" s="29" t="s">
        <v>37</v>
      </c>
    </row>
    <row r="517" spans="1:26" ht="30" customHeight="1" thickBot="1" x14ac:dyDescent="0.25">
      <c r="A517" s="17">
        <f t="shared" si="17"/>
        <v>516</v>
      </c>
      <c r="B517" s="18" t="s">
        <v>25</v>
      </c>
      <c r="C517" s="19">
        <v>3520198610251</v>
      </c>
      <c r="D517" s="19">
        <v>532</v>
      </c>
      <c r="E517" s="20">
        <v>44298</v>
      </c>
      <c r="F517" s="20">
        <v>47950</v>
      </c>
      <c r="G517" s="21">
        <v>33067</v>
      </c>
      <c r="H517" s="22">
        <f t="shared" ca="1" si="16"/>
        <v>35</v>
      </c>
      <c r="I517" s="18" t="s">
        <v>912</v>
      </c>
      <c r="J517" s="18" t="s">
        <v>27</v>
      </c>
      <c r="K517" s="18" t="s">
        <v>197</v>
      </c>
      <c r="L517" s="23" t="s">
        <v>2110</v>
      </c>
      <c r="M517" s="23" t="s">
        <v>2111</v>
      </c>
      <c r="N517" s="23" t="s">
        <v>1488</v>
      </c>
      <c r="O517" s="18">
        <v>1</v>
      </c>
      <c r="P517" s="24"/>
      <c r="Q517" s="25">
        <v>42288</v>
      </c>
      <c r="R517" s="13">
        <v>0</v>
      </c>
      <c r="S517" s="26" t="str">
        <f>VLOOKUP(C517,'[1]Bazaar Salary'!$B$6:$J$1193,9,0)</f>
        <v>00260010424265000013</v>
      </c>
      <c r="T517" s="25" t="s">
        <v>32</v>
      </c>
      <c r="U517" s="25" t="s">
        <v>309</v>
      </c>
      <c r="V517" s="25" t="s">
        <v>1093</v>
      </c>
      <c r="W517" s="27" t="s">
        <v>2112</v>
      </c>
      <c r="X517" s="28" t="s">
        <v>2113</v>
      </c>
      <c r="Y517" s="28"/>
      <c r="Z517" s="29" t="s">
        <v>37</v>
      </c>
    </row>
    <row r="518" spans="1:26" ht="30" customHeight="1" thickBot="1" x14ac:dyDescent="0.25">
      <c r="A518" s="17">
        <f t="shared" si="17"/>
        <v>517</v>
      </c>
      <c r="B518" s="18" t="s">
        <v>25</v>
      </c>
      <c r="C518" s="19">
        <v>3520116463091</v>
      </c>
      <c r="D518" s="19">
        <v>533</v>
      </c>
      <c r="E518" s="20">
        <v>44734</v>
      </c>
      <c r="F518" s="20">
        <v>48387</v>
      </c>
      <c r="G518" s="21">
        <v>29709</v>
      </c>
      <c r="H518" s="22">
        <f t="shared" ca="1" si="16"/>
        <v>45</v>
      </c>
      <c r="I518" s="18" t="s">
        <v>912</v>
      </c>
      <c r="J518" s="18" t="s">
        <v>27</v>
      </c>
      <c r="K518" s="18"/>
      <c r="L518" s="23" t="s">
        <v>2114</v>
      </c>
      <c r="M518" s="23" t="s">
        <v>2115</v>
      </c>
      <c r="N518" s="23" t="s">
        <v>1488</v>
      </c>
      <c r="O518" s="18">
        <v>1</v>
      </c>
      <c r="P518" s="24"/>
      <c r="Q518" s="25">
        <v>41741</v>
      </c>
      <c r="R518" s="13">
        <v>0</v>
      </c>
      <c r="S518" s="26" t="str">
        <f>VLOOKUP(C518,'[1]Bazaar Salary'!$B$6:$J$1193,9,0)</f>
        <v>01260010045872620018</v>
      </c>
      <c r="T518" s="25" t="s">
        <v>32</v>
      </c>
      <c r="U518" s="25" t="s">
        <v>309</v>
      </c>
      <c r="V518" s="25" t="s">
        <v>1356</v>
      </c>
      <c r="W518" s="27" t="s">
        <v>2116</v>
      </c>
      <c r="X518" s="28" t="s">
        <v>2117</v>
      </c>
      <c r="Y518" s="28"/>
      <c r="Z518" s="29" t="s">
        <v>37</v>
      </c>
    </row>
    <row r="519" spans="1:26" ht="30" customHeight="1" thickBot="1" x14ac:dyDescent="0.25">
      <c r="A519" s="17">
        <f t="shared" si="17"/>
        <v>518</v>
      </c>
      <c r="B519" s="18" t="s">
        <v>25</v>
      </c>
      <c r="C519" s="19">
        <v>3520169602402</v>
      </c>
      <c r="D519" s="19">
        <v>534</v>
      </c>
      <c r="E519" s="20">
        <v>43420</v>
      </c>
      <c r="F519" s="20">
        <v>47073</v>
      </c>
      <c r="G519" s="21">
        <v>28491</v>
      </c>
      <c r="H519" s="22">
        <f t="shared" ca="1" si="16"/>
        <v>48</v>
      </c>
      <c r="I519" s="18" t="s">
        <v>912</v>
      </c>
      <c r="J519" s="18" t="s">
        <v>66</v>
      </c>
      <c r="K519" s="18"/>
      <c r="L519" s="23" t="s">
        <v>2118</v>
      </c>
      <c r="M519" s="23" t="s">
        <v>2119</v>
      </c>
      <c r="N519" s="23" t="s">
        <v>1488</v>
      </c>
      <c r="O519" s="18">
        <v>1</v>
      </c>
      <c r="P519" s="24"/>
      <c r="Q519" s="25">
        <v>41776</v>
      </c>
      <c r="R519" s="13">
        <v>0</v>
      </c>
      <c r="S519" s="26" t="str">
        <f>VLOOKUP(C519,'[1]Bazaar Salary'!$B$6:$J$1193,9,0)</f>
        <v>01260010045877420015</v>
      </c>
      <c r="T519" s="25" t="s">
        <v>32</v>
      </c>
      <c r="U519" s="25" t="s">
        <v>309</v>
      </c>
      <c r="V519" s="25" t="s">
        <v>1093</v>
      </c>
      <c r="W519" s="27" t="s">
        <v>2120</v>
      </c>
      <c r="X519" s="28" t="s">
        <v>2121</v>
      </c>
      <c r="Y519" s="28"/>
      <c r="Z519" s="29" t="s">
        <v>37</v>
      </c>
    </row>
    <row r="520" spans="1:26" ht="30" customHeight="1" thickBot="1" x14ac:dyDescent="0.25">
      <c r="A520" s="17">
        <f t="shared" si="17"/>
        <v>519</v>
      </c>
      <c r="B520" s="18" t="s">
        <v>25</v>
      </c>
      <c r="C520" s="19">
        <v>1310159450447</v>
      </c>
      <c r="D520" s="19">
        <v>1797</v>
      </c>
      <c r="E520" s="20">
        <v>42088</v>
      </c>
      <c r="F520" s="20">
        <v>45741</v>
      </c>
      <c r="G520" s="21">
        <v>27760</v>
      </c>
      <c r="H520" s="22">
        <f t="shared" ca="1" si="16"/>
        <v>50</v>
      </c>
      <c r="I520" s="19" t="s">
        <v>26</v>
      </c>
      <c r="J520" s="18" t="s">
        <v>27</v>
      </c>
      <c r="K520" s="18"/>
      <c r="L520" s="23" t="s">
        <v>2122</v>
      </c>
      <c r="M520" s="23" t="s">
        <v>2123</v>
      </c>
      <c r="N520" s="23" t="s">
        <v>1499</v>
      </c>
      <c r="O520" s="18">
        <v>1</v>
      </c>
      <c r="P520" s="24"/>
      <c r="Q520" s="25">
        <v>45748</v>
      </c>
      <c r="R520" s="13">
        <v>0</v>
      </c>
      <c r="S520" s="26" t="str">
        <f>VLOOKUP(C520,'[1]Bazaar Salary'!$B$6:$J$1193,9,0)</f>
        <v>01260010139926410017</v>
      </c>
      <c r="T520" s="25" t="s">
        <v>32</v>
      </c>
      <c r="U520" s="25" t="s">
        <v>309</v>
      </c>
      <c r="V520" s="25" t="s">
        <v>1093</v>
      </c>
      <c r="W520" s="27" t="s">
        <v>2124</v>
      </c>
      <c r="X520" s="28" t="s">
        <v>2125</v>
      </c>
      <c r="Y520" s="28"/>
      <c r="Z520" s="29" t="s">
        <v>37</v>
      </c>
    </row>
    <row r="521" spans="1:26" ht="30" customHeight="1" thickBot="1" x14ac:dyDescent="0.25">
      <c r="A521" s="17">
        <f t="shared" si="17"/>
        <v>520</v>
      </c>
      <c r="B521" s="18" t="s">
        <v>25</v>
      </c>
      <c r="C521" s="19">
        <v>3520127779829</v>
      </c>
      <c r="D521" s="19">
        <v>1717</v>
      </c>
      <c r="E521" s="20">
        <v>42892</v>
      </c>
      <c r="F521" s="20">
        <v>46544</v>
      </c>
      <c r="G521" s="21">
        <v>31588</v>
      </c>
      <c r="H521" s="22">
        <f t="shared" ca="1" si="16"/>
        <v>39</v>
      </c>
      <c r="I521" s="19" t="s">
        <v>26</v>
      </c>
      <c r="J521" s="18" t="s">
        <v>27</v>
      </c>
      <c r="K521" s="18"/>
      <c r="L521" s="23" t="s">
        <v>2126</v>
      </c>
      <c r="M521" s="23" t="s">
        <v>950</v>
      </c>
      <c r="N521" s="23" t="s">
        <v>1499</v>
      </c>
      <c r="O521" s="18">
        <v>1</v>
      </c>
      <c r="P521" s="24"/>
      <c r="Q521" s="25">
        <v>45748</v>
      </c>
      <c r="R521" s="13">
        <v>0</v>
      </c>
      <c r="S521" s="26" t="str">
        <f>VLOOKUP(C521,'[1]Bazaar Salary'!$B$6:$J$1193,9,0)</f>
        <v>08770010138866100019</v>
      </c>
      <c r="T521" s="25" t="s">
        <v>32</v>
      </c>
      <c r="U521" s="25" t="s">
        <v>309</v>
      </c>
      <c r="V521" s="25" t="s">
        <v>1093</v>
      </c>
      <c r="W521" s="27" t="s">
        <v>2127</v>
      </c>
      <c r="X521" s="28" t="s">
        <v>2128</v>
      </c>
      <c r="Y521" s="28"/>
      <c r="Z521" s="29" t="s">
        <v>37</v>
      </c>
    </row>
    <row r="522" spans="1:26" ht="30" customHeight="1" thickBot="1" x14ac:dyDescent="0.25">
      <c r="A522" s="17">
        <f t="shared" si="17"/>
        <v>521</v>
      </c>
      <c r="B522" s="18" t="s">
        <v>25</v>
      </c>
      <c r="C522" s="19">
        <v>3410312157957</v>
      </c>
      <c r="D522" s="19">
        <v>364</v>
      </c>
      <c r="E522" s="20">
        <v>43118</v>
      </c>
      <c r="F522" s="20">
        <v>46770</v>
      </c>
      <c r="G522" s="21">
        <v>32082</v>
      </c>
      <c r="H522" s="22">
        <f t="shared" ca="1" si="16"/>
        <v>38</v>
      </c>
      <c r="I522" s="19" t="s">
        <v>26</v>
      </c>
      <c r="J522" s="18" t="s">
        <v>27</v>
      </c>
      <c r="K522" s="18"/>
      <c r="L522" s="23" t="s">
        <v>1255</v>
      </c>
      <c r="M522" s="23" t="s">
        <v>2129</v>
      </c>
      <c r="N522" s="23" t="s">
        <v>1499</v>
      </c>
      <c r="O522" s="18">
        <v>1</v>
      </c>
      <c r="P522" s="24"/>
      <c r="Q522" s="25">
        <v>42116</v>
      </c>
      <c r="R522" s="13">
        <v>0</v>
      </c>
      <c r="S522" s="26" t="str">
        <f>VLOOKUP(C522,'[1]Bazaar Salary'!$B$6:$J$1193,9,0)</f>
        <v>08770010015946490013</v>
      </c>
      <c r="T522" s="25" t="s">
        <v>32</v>
      </c>
      <c r="U522" s="25" t="s">
        <v>309</v>
      </c>
      <c r="V522" s="25" t="s">
        <v>1356</v>
      </c>
      <c r="W522" s="27" t="s">
        <v>2130</v>
      </c>
      <c r="X522" s="28" t="s">
        <v>2131</v>
      </c>
      <c r="Y522" s="28"/>
      <c r="Z522" s="29" t="s">
        <v>37</v>
      </c>
    </row>
    <row r="523" spans="1:26" ht="30" customHeight="1" thickBot="1" x14ac:dyDescent="0.25">
      <c r="A523" s="17">
        <f t="shared" si="17"/>
        <v>522</v>
      </c>
      <c r="B523" s="18" t="s">
        <v>25</v>
      </c>
      <c r="C523" s="19">
        <v>3520150152439</v>
      </c>
      <c r="D523" s="19">
        <v>361</v>
      </c>
      <c r="E523" s="20">
        <v>45359</v>
      </c>
      <c r="F523" s="20">
        <v>49011</v>
      </c>
      <c r="G523" s="21">
        <v>31518</v>
      </c>
      <c r="H523" s="22">
        <f t="shared" ca="1" si="16"/>
        <v>40</v>
      </c>
      <c r="I523" s="19" t="s">
        <v>26</v>
      </c>
      <c r="J523" s="18" t="s">
        <v>27</v>
      </c>
      <c r="K523" s="18"/>
      <c r="L523" s="23" t="s">
        <v>748</v>
      </c>
      <c r="M523" s="23" t="s">
        <v>2132</v>
      </c>
      <c r="N523" s="23" t="s">
        <v>1499</v>
      </c>
      <c r="O523" s="18">
        <v>1</v>
      </c>
      <c r="P523" s="24"/>
      <c r="Q523" s="25">
        <v>41751</v>
      </c>
      <c r="R523" s="13">
        <v>0</v>
      </c>
      <c r="S523" s="26" t="str">
        <f>VLOOKUP(C523,'[1]Bazaar Salary'!$B$6:$J$1193,9,0)</f>
        <v>01260010045896460013</v>
      </c>
      <c r="T523" s="25" t="s">
        <v>32</v>
      </c>
      <c r="U523" s="25" t="s">
        <v>309</v>
      </c>
      <c r="V523" s="25" t="s">
        <v>1093</v>
      </c>
      <c r="W523" s="27" t="s">
        <v>2133</v>
      </c>
      <c r="X523" s="28" t="s">
        <v>2134</v>
      </c>
      <c r="Y523" s="28"/>
      <c r="Z523" s="29" t="s">
        <v>37</v>
      </c>
    </row>
    <row r="524" spans="1:26" ht="30" customHeight="1" thickBot="1" x14ac:dyDescent="0.25">
      <c r="A524" s="17">
        <f t="shared" si="17"/>
        <v>523</v>
      </c>
      <c r="B524" s="18" t="s">
        <v>25</v>
      </c>
      <c r="C524" s="19">
        <v>3520134048787</v>
      </c>
      <c r="D524" s="19">
        <v>1425</v>
      </c>
      <c r="E524" s="20">
        <v>42466</v>
      </c>
      <c r="F524" s="20">
        <v>46118</v>
      </c>
      <c r="G524" s="21">
        <v>31262</v>
      </c>
      <c r="H524" s="22">
        <f t="shared" ca="1" si="16"/>
        <v>40</v>
      </c>
      <c r="I524" s="19" t="s">
        <v>26</v>
      </c>
      <c r="J524" s="18" t="s">
        <v>27</v>
      </c>
      <c r="K524" s="18"/>
      <c r="L524" s="23" t="s">
        <v>2135</v>
      </c>
      <c r="M524" s="23" t="s">
        <v>2136</v>
      </c>
      <c r="N524" s="23" t="s">
        <v>1499</v>
      </c>
      <c r="O524" s="18">
        <v>1</v>
      </c>
      <c r="P524" s="24"/>
      <c r="Q524" s="25">
        <v>45748</v>
      </c>
      <c r="R524" s="13">
        <v>0</v>
      </c>
      <c r="S524" s="26" t="str">
        <f>VLOOKUP(C524,'[1]Bazaar Salary'!$B$6:$J$1193,9,0)</f>
        <v>01260010100458680010</v>
      </c>
      <c r="T524" s="25" t="s">
        <v>32</v>
      </c>
      <c r="U524" s="25" t="s">
        <v>309</v>
      </c>
      <c r="V524" s="25" t="s">
        <v>884</v>
      </c>
      <c r="W524" s="27" t="s">
        <v>2137</v>
      </c>
      <c r="X524" s="28" t="s">
        <v>2138</v>
      </c>
      <c r="Y524" s="28"/>
      <c r="Z524" s="29" t="s">
        <v>37</v>
      </c>
    </row>
    <row r="525" spans="1:26" ht="30" customHeight="1" thickBot="1" x14ac:dyDescent="0.25">
      <c r="A525" s="17">
        <f t="shared" si="17"/>
        <v>524</v>
      </c>
      <c r="B525" s="18" t="s">
        <v>25</v>
      </c>
      <c r="C525" s="19">
        <v>3640207617156</v>
      </c>
      <c r="D525" s="19">
        <v>1392</v>
      </c>
      <c r="E525" s="20">
        <v>44533</v>
      </c>
      <c r="F525" s="20">
        <v>48185</v>
      </c>
      <c r="G525" s="21">
        <v>30794</v>
      </c>
      <c r="H525" s="22">
        <f t="shared" ca="1" si="16"/>
        <v>42</v>
      </c>
      <c r="I525" s="19" t="s">
        <v>26</v>
      </c>
      <c r="J525" s="18" t="s">
        <v>66</v>
      </c>
      <c r="K525" s="18"/>
      <c r="L525" s="23" t="s">
        <v>2139</v>
      </c>
      <c r="M525" s="23" t="s">
        <v>2140</v>
      </c>
      <c r="N525" s="23" t="s">
        <v>1499</v>
      </c>
      <c r="O525" s="18">
        <v>1</v>
      </c>
      <c r="P525" s="24"/>
      <c r="Q525" s="25">
        <v>45748</v>
      </c>
      <c r="R525" s="13">
        <v>0</v>
      </c>
      <c r="S525" s="26" t="str">
        <f>VLOOKUP(C525,'[1]Bazaar Salary'!$B$6:$J$1193,9,0)</f>
        <v>02980010100934980014</v>
      </c>
      <c r="T525" s="25" t="s">
        <v>32</v>
      </c>
      <c r="U525" s="25" t="s">
        <v>309</v>
      </c>
      <c r="V525" s="25" t="s">
        <v>1093</v>
      </c>
      <c r="W525" s="27" t="s">
        <v>2141</v>
      </c>
      <c r="X525" s="28" t="s">
        <v>2142</v>
      </c>
      <c r="Y525" s="28"/>
      <c r="Z525" s="29" t="s">
        <v>37</v>
      </c>
    </row>
    <row r="526" spans="1:26" ht="30" customHeight="1" thickBot="1" x14ac:dyDescent="0.25">
      <c r="A526" s="17">
        <f t="shared" si="17"/>
        <v>525</v>
      </c>
      <c r="B526" s="18" t="s">
        <v>25</v>
      </c>
      <c r="C526" s="19">
        <v>3640283391419</v>
      </c>
      <c r="D526" s="19"/>
      <c r="E526" s="20">
        <v>45469</v>
      </c>
      <c r="F526" s="20">
        <v>49121</v>
      </c>
      <c r="G526" s="21">
        <v>29403</v>
      </c>
      <c r="H526" s="22">
        <f t="shared" ca="1" si="16"/>
        <v>45</v>
      </c>
      <c r="I526" s="19" t="s">
        <v>26</v>
      </c>
      <c r="J526" s="18" t="s">
        <v>27</v>
      </c>
      <c r="K526" s="18"/>
      <c r="L526" s="23" t="s">
        <v>2143</v>
      </c>
      <c r="M526" s="23" t="s">
        <v>2144</v>
      </c>
      <c r="N526" s="23" t="s">
        <v>1551</v>
      </c>
      <c r="O526" s="18">
        <v>1</v>
      </c>
      <c r="P526" s="24" t="s">
        <v>102</v>
      </c>
      <c r="Q526" s="25">
        <v>45809</v>
      </c>
      <c r="R526" s="13">
        <v>0</v>
      </c>
      <c r="S526" s="26" t="str">
        <f>VLOOKUP(C526,'[1]Head Office '!$B$7:$I$98,8,0)</f>
        <v>02880010148226260019</v>
      </c>
      <c r="T526" s="25" t="s">
        <v>32</v>
      </c>
      <c r="U526" s="25" t="s">
        <v>33</v>
      </c>
      <c r="V526" s="25" t="s">
        <v>1093</v>
      </c>
      <c r="W526" s="27" t="s">
        <v>2145</v>
      </c>
      <c r="X526" s="28" t="s">
        <v>2146</v>
      </c>
      <c r="Y526" s="28"/>
      <c r="Z526" s="29" t="s">
        <v>37</v>
      </c>
    </row>
    <row r="527" spans="1:26" ht="30" customHeight="1" thickBot="1" x14ac:dyDescent="0.25">
      <c r="A527" s="17">
        <f t="shared" si="17"/>
        <v>526</v>
      </c>
      <c r="B527" s="18" t="s">
        <v>25</v>
      </c>
      <c r="C527" s="19">
        <v>3520261732831</v>
      </c>
      <c r="D527" s="19">
        <v>343</v>
      </c>
      <c r="E527" s="20">
        <v>42711</v>
      </c>
      <c r="F527" s="20">
        <v>46363</v>
      </c>
      <c r="G527" s="21">
        <v>24108</v>
      </c>
      <c r="H527" s="22">
        <f t="shared" ca="1" si="16"/>
        <v>60</v>
      </c>
      <c r="I527" s="19" t="s">
        <v>26</v>
      </c>
      <c r="J527" s="18" t="s">
        <v>27</v>
      </c>
      <c r="K527" s="18"/>
      <c r="L527" s="23" t="s">
        <v>703</v>
      </c>
      <c r="M527" s="23" t="s">
        <v>761</v>
      </c>
      <c r="N527" s="23" t="s">
        <v>1551</v>
      </c>
      <c r="O527" s="18">
        <v>1</v>
      </c>
      <c r="P527" s="24" t="s">
        <v>102</v>
      </c>
      <c r="Q527" s="25">
        <v>42156</v>
      </c>
      <c r="R527" s="13">
        <v>0</v>
      </c>
      <c r="S527" s="26" t="str">
        <f>VLOOKUP(C527,'[1]Bazaar Salary'!$B$6:$J$1193,9,0)</f>
        <v>02880010045875320013</v>
      </c>
      <c r="T527" s="25" t="s">
        <v>32</v>
      </c>
      <c r="U527" s="25" t="s">
        <v>33</v>
      </c>
      <c r="V527" s="25" t="s">
        <v>1535</v>
      </c>
      <c r="W527" s="27" t="s">
        <v>2147</v>
      </c>
      <c r="X527" s="28" t="s">
        <v>2148</v>
      </c>
      <c r="Y527" s="28"/>
      <c r="Z527" s="29" t="s">
        <v>37</v>
      </c>
    </row>
    <row r="528" spans="1:26" ht="30" customHeight="1" thickBot="1" x14ac:dyDescent="0.25">
      <c r="A528" s="17">
        <f t="shared" si="17"/>
        <v>527</v>
      </c>
      <c r="B528" s="18" t="s">
        <v>25</v>
      </c>
      <c r="C528" s="19">
        <v>3320273119377</v>
      </c>
      <c r="D528" s="19">
        <v>1689</v>
      </c>
      <c r="E528" s="20">
        <v>43094</v>
      </c>
      <c r="F528" s="20">
        <v>46746</v>
      </c>
      <c r="G528" s="21">
        <v>32123</v>
      </c>
      <c r="H528" s="22">
        <f t="shared" ca="1" si="16"/>
        <v>38</v>
      </c>
      <c r="I528" s="19" t="s">
        <v>26</v>
      </c>
      <c r="J528" s="18" t="s">
        <v>27</v>
      </c>
      <c r="K528" s="18"/>
      <c r="L528" s="23" t="s">
        <v>2149</v>
      </c>
      <c r="M528" s="23" t="s">
        <v>2150</v>
      </c>
      <c r="N528" s="23" t="s">
        <v>1551</v>
      </c>
      <c r="O528" s="18">
        <v>1</v>
      </c>
      <c r="P528" s="24" t="s">
        <v>102</v>
      </c>
      <c r="Q528" s="25">
        <v>45748</v>
      </c>
      <c r="R528" s="13">
        <v>0</v>
      </c>
      <c r="S528" s="26" t="str">
        <f>VLOOKUP(C528,'[1]Head Office '!$B$7:$I$98,8,0)</f>
        <v>02880010136913170010</v>
      </c>
      <c r="T528" s="25" t="s">
        <v>32</v>
      </c>
      <c r="U528" s="25" t="s">
        <v>33</v>
      </c>
      <c r="V528" s="25" t="s">
        <v>1093</v>
      </c>
      <c r="W528" s="27" t="s">
        <v>2151</v>
      </c>
      <c r="X528" s="28" t="s">
        <v>2152</v>
      </c>
      <c r="Y528" s="28"/>
      <c r="Z528" s="29" t="s">
        <v>37</v>
      </c>
    </row>
    <row r="529" spans="1:26" ht="30" customHeight="1" thickBot="1" x14ac:dyDescent="0.25">
      <c r="A529" s="17">
        <f t="shared" si="17"/>
        <v>528</v>
      </c>
      <c r="B529" s="18" t="s">
        <v>25</v>
      </c>
      <c r="C529" s="19">
        <v>3520212523967</v>
      </c>
      <c r="D529" s="19">
        <v>77</v>
      </c>
      <c r="E529" s="20">
        <v>44666</v>
      </c>
      <c r="F529" s="20">
        <v>48319</v>
      </c>
      <c r="G529" s="21">
        <v>33681</v>
      </c>
      <c r="H529" s="22">
        <f t="shared" ca="1" si="16"/>
        <v>34</v>
      </c>
      <c r="I529" s="19" t="s">
        <v>26</v>
      </c>
      <c r="J529" s="18" t="s">
        <v>27</v>
      </c>
      <c r="K529" s="18"/>
      <c r="L529" s="23" t="s">
        <v>1773</v>
      </c>
      <c r="M529" s="23" t="s">
        <v>68</v>
      </c>
      <c r="N529" s="23" t="s">
        <v>1471</v>
      </c>
      <c r="O529" s="18">
        <v>1</v>
      </c>
      <c r="P529" s="24" t="s">
        <v>102</v>
      </c>
      <c r="Q529" s="25">
        <v>41364</v>
      </c>
      <c r="R529" s="13">
        <v>0</v>
      </c>
      <c r="S529" s="26" t="str">
        <f>VLOOKUP(C529,'[1]Head Office '!$B$7:$I$98,8,0)</f>
        <v>02880010045863600022</v>
      </c>
      <c r="T529" s="25" t="s">
        <v>32</v>
      </c>
      <c r="U529" s="25" t="s">
        <v>33</v>
      </c>
      <c r="V529" s="25" t="s">
        <v>1093</v>
      </c>
      <c r="W529" s="27" t="s">
        <v>2153</v>
      </c>
      <c r="X529" s="28" t="s">
        <v>2154</v>
      </c>
      <c r="Y529" s="28"/>
      <c r="Z529" s="29" t="s">
        <v>37</v>
      </c>
    </row>
    <row r="530" spans="1:26" ht="30" customHeight="1" thickBot="1" x14ac:dyDescent="0.25">
      <c r="A530" s="17">
        <f t="shared" si="17"/>
        <v>529</v>
      </c>
      <c r="B530" s="18" t="s">
        <v>25</v>
      </c>
      <c r="C530" s="19">
        <v>3520235410883</v>
      </c>
      <c r="D530" s="19">
        <v>399</v>
      </c>
      <c r="E530" s="20">
        <v>45052</v>
      </c>
      <c r="F530" s="20">
        <v>48705</v>
      </c>
      <c r="G530" s="21">
        <v>33968</v>
      </c>
      <c r="H530" s="22">
        <f t="shared" ca="1" si="16"/>
        <v>33</v>
      </c>
      <c r="I530" s="19" t="s">
        <v>26</v>
      </c>
      <c r="J530" s="18" t="s">
        <v>27</v>
      </c>
      <c r="K530" s="18"/>
      <c r="L530" s="23" t="s">
        <v>2155</v>
      </c>
      <c r="M530" s="23" t="s">
        <v>1928</v>
      </c>
      <c r="N530" s="23" t="s">
        <v>1471</v>
      </c>
      <c r="O530" s="18">
        <v>1</v>
      </c>
      <c r="P530" s="24" t="s">
        <v>102</v>
      </c>
      <c r="Q530" s="25">
        <v>42010</v>
      </c>
      <c r="R530" s="13">
        <v>0</v>
      </c>
      <c r="S530" s="26" t="str">
        <f>VLOOKUP(C530,'[1]Bazaar Salary'!$B$6:$J$1193,9,0)</f>
        <v>02880010045931680021</v>
      </c>
      <c r="T530" s="25" t="s">
        <v>32</v>
      </c>
      <c r="U530" s="25" t="s">
        <v>33</v>
      </c>
      <c r="V530" s="25" t="s">
        <v>1093</v>
      </c>
      <c r="W530" s="27" t="s">
        <v>2156</v>
      </c>
      <c r="X530" s="28" t="s">
        <v>2157</v>
      </c>
      <c r="Y530" s="28"/>
      <c r="Z530" s="29" t="s">
        <v>37</v>
      </c>
    </row>
    <row r="531" spans="1:26" ht="30" customHeight="1" thickBot="1" x14ac:dyDescent="0.25">
      <c r="A531" s="17">
        <f t="shared" si="17"/>
        <v>530</v>
      </c>
      <c r="B531" s="18" t="s">
        <v>25</v>
      </c>
      <c r="C531" s="19">
        <v>3520294525917</v>
      </c>
      <c r="D531" s="19">
        <v>355</v>
      </c>
      <c r="E531" s="20">
        <v>45324</v>
      </c>
      <c r="F531" s="20">
        <v>48977</v>
      </c>
      <c r="G531" s="21">
        <v>32119</v>
      </c>
      <c r="H531" s="22">
        <f t="shared" ca="1" si="16"/>
        <v>38</v>
      </c>
      <c r="I531" s="19" t="s">
        <v>26</v>
      </c>
      <c r="J531" s="18" t="s">
        <v>27</v>
      </c>
      <c r="K531" s="18"/>
      <c r="L531" s="23" t="s">
        <v>890</v>
      </c>
      <c r="M531" s="23" t="s">
        <v>2158</v>
      </c>
      <c r="N531" s="23" t="s">
        <v>1471</v>
      </c>
      <c r="O531" s="18">
        <v>1</v>
      </c>
      <c r="P531" s="24" t="s">
        <v>102</v>
      </c>
      <c r="Q531" s="25">
        <v>42252</v>
      </c>
      <c r="R531" s="13">
        <v>0</v>
      </c>
      <c r="S531" s="26" t="str">
        <f>VLOOKUP(C531,'[1]Bazaar Salary'!$B$6:$J$1193,9,0)</f>
        <v>07040010045931490019</v>
      </c>
      <c r="T531" s="25" t="s">
        <v>32</v>
      </c>
      <c r="U531" s="25" t="s">
        <v>33</v>
      </c>
      <c r="V531" s="25" t="s">
        <v>1535</v>
      </c>
      <c r="W531" s="27" t="s">
        <v>2159</v>
      </c>
      <c r="X531" s="28" t="s">
        <v>2160</v>
      </c>
      <c r="Y531" s="28"/>
      <c r="Z531" s="29" t="s">
        <v>37</v>
      </c>
    </row>
    <row r="532" spans="1:26" ht="30" customHeight="1" thickBot="1" x14ac:dyDescent="0.25">
      <c r="A532" s="17">
        <f t="shared" si="17"/>
        <v>531</v>
      </c>
      <c r="B532" s="18" t="s">
        <v>25</v>
      </c>
      <c r="C532" s="19">
        <v>3520265902165</v>
      </c>
      <c r="D532" s="19">
        <v>1550</v>
      </c>
      <c r="E532" s="20">
        <v>42810</v>
      </c>
      <c r="F532" s="20">
        <v>46462</v>
      </c>
      <c r="G532" s="21">
        <v>33063</v>
      </c>
      <c r="H532" s="22">
        <f t="shared" ca="1" si="16"/>
        <v>35</v>
      </c>
      <c r="I532" s="19" t="s">
        <v>26</v>
      </c>
      <c r="J532" s="18" t="s">
        <v>27</v>
      </c>
      <c r="K532" s="18"/>
      <c r="L532" s="23" t="s">
        <v>1057</v>
      </c>
      <c r="M532" s="23" t="s">
        <v>1853</v>
      </c>
      <c r="N532" s="23" t="s">
        <v>1471</v>
      </c>
      <c r="O532" s="18">
        <v>1</v>
      </c>
      <c r="P532" s="24" t="s">
        <v>102</v>
      </c>
      <c r="Q532" s="25">
        <v>45748</v>
      </c>
      <c r="R532" s="13">
        <v>0</v>
      </c>
      <c r="S532" s="26" t="str">
        <f>VLOOKUP(C532,'[1]Bazaar Salary'!$B$6:$J$1193,9,0)</f>
        <v>02880010119362300019</v>
      </c>
      <c r="T532" s="25" t="s">
        <v>32</v>
      </c>
      <c r="U532" s="25" t="s">
        <v>33</v>
      </c>
      <c r="V532" s="25" t="s">
        <v>1356</v>
      </c>
      <c r="W532" s="27" t="s">
        <v>2161</v>
      </c>
      <c r="X532" s="28" t="s">
        <v>2162</v>
      </c>
      <c r="Y532" s="28"/>
      <c r="Z532" s="29" t="s">
        <v>37</v>
      </c>
    </row>
    <row r="533" spans="1:26" ht="30" customHeight="1" thickBot="1" x14ac:dyDescent="0.25">
      <c r="A533" s="17">
        <f t="shared" si="17"/>
        <v>532</v>
      </c>
      <c r="B533" s="18" t="s">
        <v>25</v>
      </c>
      <c r="C533" s="19">
        <v>3520207760339</v>
      </c>
      <c r="D533" s="19">
        <v>338</v>
      </c>
      <c r="E533" s="20">
        <v>43134</v>
      </c>
      <c r="F533" s="20">
        <v>46786</v>
      </c>
      <c r="G533" s="21">
        <v>31778</v>
      </c>
      <c r="H533" s="22">
        <f t="shared" ca="1" si="16"/>
        <v>39</v>
      </c>
      <c r="I533" s="19" t="s">
        <v>26</v>
      </c>
      <c r="J533" s="18" t="s">
        <v>27</v>
      </c>
      <c r="K533" s="18"/>
      <c r="L533" s="23" t="s">
        <v>2163</v>
      </c>
      <c r="M533" s="23" t="s">
        <v>204</v>
      </c>
      <c r="N533" s="23" t="s">
        <v>1471</v>
      </c>
      <c r="O533" s="18">
        <v>1</v>
      </c>
      <c r="P533" s="24" t="s">
        <v>102</v>
      </c>
      <c r="Q533" s="25">
        <v>42243</v>
      </c>
      <c r="R533" s="13">
        <v>0</v>
      </c>
      <c r="S533" s="26" t="str">
        <f>VLOOKUP(C533,'[1]Bazaar Salary'!$B$6:$J$1193,9,0)</f>
        <v>02880010045874720049</v>
      </c>
      <c r="T533" s="25" t="s">
        <v>32</v>
      </c>
      <c r="U533" s="25" t="s">
        <v>33</v>
      </c>
      <c r="V533" s="25" t="s">
        <v>1535</v>
      </c>
      <c r="W533" s="27" t="s">
        <v>2164</v>
      </c>
      <c r="X533" s="28" t="s">
        <v>2165</v>
      </c>
      <c r="Y533" s="28"/>
      <c r="Z533" s="29" t="s">
        <v>37</v>
      </c>
    </row>
    <row r="534" spans="1:26" ht="30" customHeight="1" thickBot="1" x14ac:dyDescent="0.25">
      <c r="A534" s="17">
        <f t="shared" si="17"/>
        <v>533</v>
      </c>
      <c r="B534" s="18" t="s">
        <v>25</v>
      </c>
      <c r="C534" s="19">
        <v>3510210228225</v>
      </c>
      <c r="D534" s="19">
        <v>1841</v>
      </c>
      <c r="E534" s="20">
        <v>44265</v>
      </c>
      <c r="F534" s="20">
        <v>47917</v>
      </c>
      <c r="G534" s="21">
        <v>30682</v>
      </c>
      <c r="H534" s="22">
        <f t="shared" ca="1" si="16"/>
        <v>42</v>
      </c>
      <c r="I534" s="19" t="s">
        <v>912</v>
      </c>
      <c r="J534" s="18" t="s">
        <v>27</v>
      </c>
      <c r="K534" s="18"/>
      <c r="L534" s="23" t="s">
        <v>2166</v>
      </c>
      <c r="M534" s="23" t="s">
        <v>2167</v>
      </c>
      <c r="N534" s="23" t="s">
        <v>1488</v>
      </c>
      <c r="O534" s="18">
        <v>1</v>
      </c>
      <c r="P534" s="24" t="s">
        <v>102</v>
      </c>
      <c r="Q534" s="25">
        <v>45748</v>
      </c>
      <c r="R534" s="13">
        <v>0</v>
      </c>
      <c r="S534" s="26" t="str">
        <f>VLOOKUP(C534,'[1]Bazaar Salary'!$B$6:$J$1193,9,0)</f>
        <v>02880010142894040011</v>
      </c>
      <c r="T534" s="25" t="s">
        <v>32</v>
      </c>
      <c r="U534" s="25" t="s">
        <v>33</v>
      </c>
      <c r="V534" s="25" t="s">
        <v>1093</v>
      </c>
      <c r="W534" s="27" t="s">
        <v>2168</v>
      </c>
      <c r="X534" s="28" t="s">
        <v>2169</v>
      </c>
      <c r="Y534" s="28"/>
      <c r="Z534" s="29" t="s">
        <v>37</v>
      </c>
    </row>
    <row r="535" spans="1:26" ht="30" customHeight="1" thickBot="1" x14ac:dyDescent="0.25">
      <c r="A535" s="17">
        <f t="shared" si="17"/>
        <v>534</v>
      </c>
      <c r="B535" s="18" t="s">
        <v>25</v>
      </c>
      <c r="C535" s="19">
        <v>3520253869215</v>
      </c>
      <c r="D535" s="19">
        <v>510</v>
      </c>
      <c r="E535" s="20">
        <v>44627</v>
      </c>
      <c r="F535" s="20">
        <v>48280</v>
      </c>
      <c r="G535" s="21">
        <v>30234</v>
      </c>
      <c r="H535" s="22">
        <f t="shared" ca="1" si="16"/>
        <v>43</v>
      </c>
      <c r="I535" s="18" t="s">
        <v>912</v>
      </c>
      <c r="J535" s="18" t="s">
        <v>27</v>
      </c>
      <c r="K535" s="18"/>
      <c r="L535" s="23" t="s">
        <v>2170</v>
      </c>
      <c r="M535" s="23" t="s">
        <v>2171</v>
      </c>
      <c r="N535" s="23" t="s">
        <v>1488</v>
      </c>
      <c r="O535" s="18">
        <v>1</v>
      </c>
      <c r="P535" s="24" t="s">
        <v>102</v>
      </c>
      <c r="Q535" s="25">
        <v>42237</v>
      </c>
      <c r="R535" s="13">
        <v>0</v>
      </c>
      <c r="S535" s="26" t="str">
        <f>VLOOKUP(C535,'[1]Bazaar Salary'!$B$6:$J$1193,9,0)</f>
        <v>13860010045918550027</v>
      </c>
      <c r="T535" s="25" t="s">
        <v>32</v>
      </c>
      <c r="U535" s="25" t="s">
        <v>33</v>
      </c>
      <c r="V535" s="25" t="s">
        <v>1093</v>
      </c>
      <c r="W535" s="27" t="s">
        <v>2172</v>
      </c>
      <c r="X535" s="28" t="s">
        <v>2173</v>
      </c>
      <c r="Y535" s="28"/>
      <c r="Z535" s="29" t="s">
        <v>37</v>
      </c>
    </row>
    <row r="536" spans="1:26" ht="30" customHeight="1" thickBot="1" x14ac:dyDescent="0.25">
      <c r="A536" s="17">
        <f t="shared" si="17"/>
        <v>535</v>
      </c>
      <c r="B536" s="18" t="s">
        <v>25</v>
      </c>
      <c r="C536" s="19">
        <v>3520274497446</v>
      </c>
      <c r="D536" s="19">
        <v>1806</v>
      </c>
      <c r="E536" s="20">
        <v>42720</v>
      </c>
      <c r="F536" s="20">
        <v>46372</v>
      </c>
      <c r="G536" s="21">
        <v>25204</v>
      </c>
      <c r="H536" s="22">
        <f t="shared" ca="1" si="16"/>
        <v>57</v>
      </c>
      <c r="I536" s="19" t="s">
        <v>26</v>
      </c>
      <c r="J536" s="18" t="s">
        <v>66</v>
      </c>
      <c r="K536" s="18"/>
      <c r="L536" s="23" t="s">
        <v>2174</v>
      </c>
      <c r="M536" s="23" t="s">
        <v>2175</v>
      </c>
      <c r="N536" s="23" t="s">
        <v>1488</v>
      </c>
      <c r="O536" s="18">
        <v>1</v>
      </c>
      <c r="P536" s="24" t="s">
        <v>102</v>
      </c>
      <c r="Q536" s="25">
        <v>45748</v>
      </c>
      <c r="R536" s="13">
        <v>0</v>
      </c>
      <c r="S536" s="26" t="str">
        <f>VLOOKUP(C536,'[1]Head Office '!$B$7:$I$98,8,0)</f>
        <v>51010020137834470013</v>
      </c>
      <c r="T536" s="25" t="s">
        <v>32</v>
      </c>
      <c r="U536" s="25" t="s">
        <v>33</v>
      </c>
      <c r="V536" s="25" t="s">
        <v>1093</v>
      </c>
      <c r="W536" s="27" t="s">
        <v>2176</v>
      </c>
      <c r="X536" s="28" t="s">
        <v>2177</v>
      </c>
      <c r="Y536" s="28"/>
      <c r="Z536" s="29" t="s">
        <v>37</v>
      </c>
    </row>
    <row r="537" spans="1:26" ht="30" customHeight="1" thickBot="1" x14ac:dyDescent="0.25">
      <c r="A537" s="17">
        <f t="shared" si="17"/>
        <v>536</v>
      </c>
      <c r="B537" s="18" t="s">
        <v>25</v>
      </c>
      <c r="C537" s="19">
        <v>3520167304703</v>
      </c>
      <c r="D537" s="19">
        <v>1769</v>
      </c>
      <c r="E537" s="20">
        <v>44476</v>
      </c>
      <c r="F537" s="20">
        <v>48128</v>
      </c>
      <c r="G537" s="21">
        <v>32509</v>
      </c>
      <c r="H537" s="22">
        <f t="shared" ca="1" si="16"/>
        <v>37</v>
      </c>
      <c r="I537" s="19" t="s">
        <v>912</v>
      </c>
      <c r="J537" s="18" t="s">
        <v>27</v>
      </c>
      <c r="K537" s="18"/>
      <c r="L537" s="23" t="s">
        <v>2178</v>
      </c>
      <c r="M537" s="23" t="s">
        <v>2179</v>
      </c>
      <c r="N537" s="23" t="s">
        <v>1488</v>
      </c>
      <c r="O537" s="18">
        <v>1</v>
      </c>
      <c r="P537" s="24" t="s">
        <v>102</v>
      </c>
      <c r="Q537" s="25">
        <v>45748</v>
      </c>
      <c r="R537" s="13">
        <v>0</v>
      </c>
      <c r="S537" s="26" t="str">
        <f>VLOOKUP(C537,'[1]Bazaar Salary'!$B$6:$J$1193,9,0)</f>
        <v>02880010139961700016</v>
      </c>
      <c r="T537" s="25" t="s">
        <v>32</v>
      </c>
      <c r="U537" s="25" t="s">
        <v>33</v>
      </c>
      <c r="V537" s="25" t="s">
        <v>1093</v>
      </c>
      <c r="W537" s="27" t="s">
        <v>2180</v>
      </c>
      <c r="X537" s="28" t="s">
        <v>2181</v>
      </c>
      <c r="Y537" s="28"/>
      <c r="Z537" s="29" t="s">
        <v>37</v>
      </c>
    </row>
    <row r="538" spans="1:26" ht="30" customHeight="1" thickBot="1" x14ac:dyDescent="0.25">
      <c r="A538" s="17">
        <f t="shared" si="17"/>
        <v>537</v>
      </c>
      <c r="B538" s="18" t="s">
        <v>25</v>
      </c>
      <c r="C538" s="19">
        <v>3520210450507</v>
      </c>
      <c r="D538" s="19">
        <v>505</v>
      </c>
      <c r="E538" s="20">
        <v>42955</v>
      </c>
      <c r="F538" s="20">
        <v>46607</v>
      </c>
      <c r="G538" s="21">
        <v>32835</v>
      </c>
      <c r="H538" s="22">
        <f t="shared" ca="1" si="16"/>
        <v>36</v>
      </c>
      <c r="I538" s="18" t="s">
        <v>912</v>
      </c>
      <c r="J538" s="18" t="s">
        <v>27</v>
      </c>
      <c r="K538" s="18"/>
      <c r="L538" s="23" t="s">
        <v>2182</v>
      </c>
      <c r="M538" s="23" t="s">
        <v>1496</v>
      </c>
      <c r="N538" s="23" t="s">
        <v>1488</v>
      </c>
      <c r="O538" s="18">
        <v>1</v>
      </c>
      <c r="P538" s="24" t="s">
        <v>102</v>
      </c>
      <c r="Q538" s="25">
        <v>41453</v>
      </c>
      <c r="R538" s="13">
        <v>0</v>
      </c>
      <c r="S538" s="26" t="str">
        <f>VLOOKUP(C538,'[1]Bazaar Salary'!$B$6:$J$1193,9,0)</f>
        <v>01530010045912390014</v>
      </c>
      <c r="T538" s="25" t="s">
        <v>32</v>
      </c>
      <c r="U538" s="25" t="s">
        <v>33</v>
      </c>
      <c r="V538" s="25" t="s">
        <v>1093</v>
      </c>
      <c r="W538" s="27" t="s">
        <v>2183</v>
      </c>
      <c r="X538" s="28" t="s">
        <v>2184</v>
      </c>
      <c r="Y538" s="28"/>
      <c r="Z538" s="29" t="s">
        <v>37</v>
      </c>
    </row>
    <row r="539" spans="1:26" ht="30" customHeight="1" thickBot="1" x14ac:dyDescent="0.25">
      <c r="A539" s="17">
        <f t="shared" si="17"/>
        <v>538</v>
      </c>
      <c r="B539" s="18" t="s">
        <v>25</v>
      </c>
      <c r="C539" s="19">
        <v>3520273927759</v>
      </c>
      <c r="D539" s="19">
        <v>1770</v>
      </c>
      <c r="E539" s="20">
        <v>44378</v>
      </c>
      <c r="F539" s="20">
        <v>48030</v>
      </c>
      <c r="G539" s="21">
        <v>33110</v>
      </c>
      <c r="H539" s="22">
        <f t="shared" ca="1" si="16"/>
        <v>35</v>
      </c>
      <c r="I539" s="19" t="s">
        <v>912</v>
      </c>
      <c r="J539" s="18" t="s">
        <v>27</v>
      </c>
      <c r="K539" s="18"/>
      <c r="L539" s="23" t="s">
        <v>2185</v>
      </c>
      <c r="M539" s="23" t="s">
        <v>1570</v>
      </c>
      <c r="N539" s="23" t="s">
        <v>1488</v>
      </c>
      <c r="O539" s="18">
        <v>1</v>
      </c>
      <c r="P539" s="24" t="s">
        <v>102</v>
      </c>
      <c r="Q539" s="25">
        <v>45748</v>
      </c>
      <c r="R539" s="13">
        <v>0</v>
      </c>
      <c r="S539" s="26" t="str">
        <f>VLOOKUP(C539,'[1]Bazaar Salary'!$B$6:$J$1193,9,0)</f>
        <v>02880010139961920010</v>
      </c>
      <c r="T539" s="25" t="s">
        <v>32</v>
      </c>
      <c r="U539" s="25" t="s">
        <v>33</v>
      </c>
      <c r="V539" s="25" t="s">
        <v>1093</v>
      </c>
      <c r="W539" s="27" t="s">
        <v>2186</v>
      </c>
      <c r="X539" s="28" t="s">
        <v>2187</v>
      </c>
      <c r="Y539" s="28"/>
      <c r="Z539" s="29" t="s">
        <v>37</v>
      </c>
    </row>
    <row r="540" spans="1:26" ht="30" customHeight="1" thickBot="1" x14ac:dyDescent="0.25">
      <c r="A540" s="17">
        <f t="shared" si="17"/>
        <v>539</v>
      </c>
      <c r="B540" s="18" t="s">
        <v>25</v>
      </c>
      <c r="C540" s="19">
        <v>3520137603171</v>
      </c>
      <c r="D540" s="19">
        <v>1782</v>
      </c>
      <c r="E540" s="20">
        <v>45325</v>
      </c>
      <c r="F540" s="20">
        <v>48978</v>
      </c>
      <c r="G540" s="21">
        <v>38169</v>
      </c>
      <c r="H540" s="22">
        <f t="shared" ca="1" si="16"/>
        <v>21</v>
      </c>
      <c r="I540" s="19" t="s">
        <v>912</v>
      </c>
      <c r="J540" s="18" t="s">
        <v>27</v>
      </c>
      <c r="K540" s="18"/>
      <c r="L540" s="23" t="s">
        <v>2188</v>
      </c>
      <c r="M540" s="23" t="s">
        <v>2189</v>
      </c>
      <c r="N540" s="23" t="s">
        <v>1488</v>
      </c>
      <c r="O540" s="18">
        <v>1</v>
      </c>
      <c r="P540" s="24" t="s">
        <v>102</v>
      </c>
      <c r="Q540" s="25">
        <v>45748</v>
      </c>
      <c r="R540" s="13">
        <v>0</v>
      </c>
      <c r="S540" s="26" t="str">
        <f>VLOOKUP(C540,'[1]Bazaar Salary'!$B$6:$J$1193,9,0)</f>
        <v>02880010141091430016</v>
      </c>
      <c r="T540" s="25" t="s">
        <v>32</v>
      </c>
      <c r="U540" s="25" t="s">
        <v>33</v>
      </c>
      <c r="V540" s="25" t="s">
        <v>1093</v>
      </c>
      <c r="W540" s="27" t="s">
        <v>2190</v>
      </c>
      <c r="X540" s="28" t="s">
        <v>2191</v>
      </c>
      <c r="Y540" s="28"/>
      <c r="Z540" s="29" t="s">
        <v>37</v>
      </c>
    </row>
    <row r="541" spans="1:26" ht="30" customHeight="1" thickBot="1" x14ac:dyDescent="0.25">
      <c r="A541" s="17">
        <f t="shared" si="17"/>
        <v>540</v>
      </c>
      <c r="B541" s="18" t="s">
        <v>25</v>
      </c>
      <c r="C541" s="19">
        <v>3520252920559</v>
      </c>
      <c r="D541" s="19">
        <v>1178</v>
      </c>
      <c r="E541" s="20">
        <v>45498</v>
      </c>
      <c r="F541" s="20">
        <v>49150</v>
      </c>
      <c r="G541" s="21">
        <v>35221</v>
      </c>
      <c r="H541" s="22">
        <f t="shared" ca="1" si="16"/>
        <v>30</v>
      </c>
      <c r="I541" s="19" t="s">
        <v>26</v>
      </c>
      <c r="J541" s="18" t="s">
        <v>27</v>
      </c>
      <c r="K541" s="18"/>
      <c r="L541" s="23" t="s">
        <v>2192</v>
      </c>
      <c r="M541" s="23" t="s">
        <v>319</v>
      </c>
      <c r="N541" s="23" t="s">
        <v>1499</v>
      </c>
      <c r="O541" s="18">
        <v>1</v>
      </c>
      <c r="P541" s="24" t="s">
        <v>102</v>
      </c>
      <c r="Q541" s="25">
        <v>45748</v>
      </c>
      <c r="R541" s="13">
        <v>0</v>
      </c>
      <c r="S541" s="26" t="str">
        <f>VLOOKUP(C541,'[1]Bazaar Salary'!$B$6:$J$1193,9,0)</f>
        <v>09410010067099350013</v>
      </c>
      <c r="T541" s="25" t="s">
        <v>32</v>
      </c>
      <c r="U541" s="25" t="s">
        <v>33</v>
      </c>
      <c r="V541" s="25" t="s">
        <v>1093</v>
      </c>
      <c r="W541" s="27" t="s">
        <v>2193</v>
      </c>
      <c r="X541" s="28" t="s">
        <v>2194</v>
      </c>
      <c r="Y541" s="28"/>
      <c r="Z541" s="29" t="s">
        <v>37</v>
      </c>
    </row>
    <row r="542" spans="1:26" ht="30" customHeight="1" thickBot="1" x14ac:dyDescent="0.25">
      <c r="A542" s="17">
        <f t="shared" si="17"/>
        <v>541</v>
      </c>
      <c r="B542" s="18" t="s">
        <v>25</v>
      </c>
      <c r="C542" s="19">
        <v>3520103617577</v>
      </c>
      <c r="D542" s="19">
        <v>387</v>
      </c>
      <c r="E542" s="20">
        <v>43384</v>
      </c>
      <c r="F542" s="20">
        <v>47037</v>
      </c>
      <c r="G542" s="21">
        <v>31107</v>
      </c>
      <c r="H542" s="22">
        <f t="shared" ca="1" si="16"/>
        <v>41</v>
      </c>
      <c r="I542" s="19" t="s">
        <v>26</v>
      </c>
      <c r="J542" s="18" t="s">
        <v>27</v>
      </c>
      <c r="K542" s="18"/>
      <c r="L542" s="23" t="s">
        <v>2195</v>
      </c>
      <c r="M542" s="23" t="s">
        <v>2196</v>
      </c>
      <c r="N542" s="23" t="s">
        <v>1499</v>
      </c>
      <c r="O542" s="18">
        <v>1</v>
      </c>
      <c r="P542" s="24" t="s">
        <v>102</v>
      </c>
      <c r="Q542" s="25">
        <v>42212</v>
      </c>
      <c r="R542" s="13">
        <v>0</v>
      </c>
      <c r="S542" s="26" t="str">
        <f>VLOOKUP(C542,'[1]Bazaar Salary'!$B$6:$J$1193,9,0)</f>
        <v>02880010045812190019</v>
      </c>
      <c r="T542" s="25" t="s">
        <v>32</v>
      </c>
      <c r="U542" s="25" t="s">
        <v>33</v>
      </c>
      <c r="V542" s="25" t="s">
        <v>1356</v>
      </c>
      <c r="W542" s="27" t="s">
        <v>2197</v>
      </c>
      <c r="X542" s="28" t="s">
        <v>2198</v>
      </c>
      <c r="Y542" s="28"/>
      <c r="Z542" s="29" t="s">
        <v>37</v>
      </c>
    </row>
    <row r="543" spans="1:26" ht="30" customHeight="1" thickBot="1" x14ac:dyDescent="0.25">
      <c r="A543" s="17">
        <f t="shared" si="17"/>
        <v>542</v>
      </c>
      <c r="B543" s="18" t="s">
        <v>25</v>
      </c>
      <c r="C543" s="19">
        <v>3520403646565</v>
      </c>
      <c r="D543" s="19">
        <v>1716</v>
      </c>
      <c r="E543" s="20">
        <v>43117</v>
      </c>
      <c r="F543" s="20">
        <v>46769</v>
      </c>
      <c r="G543" s="21">
        <v>36458</v>
      </c>
      <c r="H543" s="22">
        <f t="shared" ca="1" si="16"/>
        <v>26</v>
      </c>
      <c r="I543" s="19" t="s">
        <v>26</v>
      </c>
      <c r="J543" s="18" t="s">
        <v>27</v>
      </c>
      <c r="K543" s="18"/>
      <c r="L543" s="23" t="s">
        <v>1065</v>
      </c>
      <c r="M543" s="23" t="s">
        <v>2199</v>
      </c>
      <c r="N543" s="23" t="s">
        <v>1499</v>
      </c>
      <c r="O543" s="18">
        <v>1</v>
      </c>
      <c r="P543" s="24" t="s">
        <v>102</v>
      </c>
      <c r="Q543" s="25">
        <v>45748</v>
      </c>
      <c r="R543" s="13">
        <v>0</v>
      </c>
      <c r="S543" s="26" t="str">
        <f>VLOOKUP(C543,'[1]Bazaar Salary'!$B$6:$J$1193,9,0)</f>
        <v>09650010137493420012</v>
      </c>
      <c r="T543" s="25" t="s">
        <v>32</v>
      </c>
      <c r="U543" s="25" t="s">
        <v>33</v>
      </c>
      <c r="V543" s="25" t="s">
        <v>1093</v>
      </c>
      <c r="W543" s="27" t="s">
        <v>2200</v>
      </c>
      <c r="X543" s="28" t="s">
        <v>2201</v>
      </c>
      <c r="Y543" s="28"/>
      <c r="Z543" s="29" t="s">
        <v>37</v>
      </c>
    </row>
    <row r="544" spans="1:26" ht="30" customHeight="1" thickBot="1" x14ac:dyDescent="0.25">
      <c r="A544" s="17">
        <f t="shared" si="17"/>
        <v>543</v>
      </c>
      <c r="B544" s="18" t="s">
        <v>25</v>
      </c>
      <c r="C544" s="19">
        <v>3410472280985</v>
      </c>
      <c r="D544" s="19">
        <v>1561</v>
      </c>
      <c r="E544" s="20">
        <v>45130</v>
      </c>
      <c r="F544" s="20">
        <v>48783</v>
      </c>
      <c r="G544" s="21">
        <v>34880</v>
      </c>
      <c r="H544" s="22">
        <f t="shared" ca="1" si="16"/>
        <v>30</v>
      </c>
      <c r="I544" s="19" t="s">
        <v>26</v>
      </c>
      <c r="J544" s="18" t="s">
        <v>27</v>
      </c>
      <c r="K544" s="18"/>
      <c r="L544" s="23" t="s">
        <v>2202</v>
      </c>
      <c r="M544" s="23" t="s">
        <v>2203</v>
      </c>
      <c r="N544" s="23" t="s">
        <v>1499</v>
      </c>
      <c r="O544" s="18">
        <v>1</v>
      </c>
      <c r="P544" s="24" t="s">
        <v>102</v>
      </c>
      <c r="Q544" s="25">
        <v>45748</v>
      </c>
      <c r="R544" s="13">
        <v>0</v>
      </c>
      <c r="S544" s="26" t="str">
        <f>VLOOKUP(C544,'[1]Bazaar Salary'!$B$6:$J$1193,9,0)</f>
        <v>07300010120658780014</v>
      </c>
      <c r="T544" s="25" t="s">
        <v>32</v>
      </c>
      <c r="U544" s="25" t="s">
        <v>33</v>
      </c>
      <c r="V544" s="25" t="s">
        <v>1093</v>
      </c>
      <c r="W544" s="27" t="s">
        <v>2204</v>
      </c>
      <c r="X544" s="28" t="s">
        <v>2205</v>
      </c>
      <c r="Y544" s="28"/>
      <c r="Z544" s="29" t="s">
        <v>37</v>
      </c>
    </row>
    <row r="545" spans="1:26" ht="30" customHeight="1" thickBot="1" x14ac:dyDescent="0.25">
      <c r="A545" s="17">
        <f t="shared" si="17"/>
        <v>544</v>
      </c>
      <c r="B545" s="18" t="s">
        <v>25</v>
      </c>
      <c r="C545" s="19">
        <v>3520288113505</v>
      </c>
      <c r="D545" s="19">
        <v>1616</v>
      </c>
      <c r="E545" s="20">
        <v>44547</v>
      </c>
      <c r="F545" s="20">
        <v>48199</v>
      </c>
      <c r="G545" s="21">
        <v>33338</v>
      </c>
      <c r="H545" s="22">
        <f t="shared" ca="1" si="16"/>
        <v>35</v>
      </c>
      <c r="I545" s="19" t="s">
        <v>26</v>
      </c>
      <c r="J545" s="18" t="s">
        <v>27</v>
      </c>
      <c r="K545" s="18"/>
      <c r="L545" s="23" t="s">
        <v>2206</v>
      </c>
      <c r="M545" s="23" t="s">
        <v>2207</v>
      </c>
      <c r="N545" s="23" t="s">
        <v>1499</v>
      </c>
      <c r="O545" s="18">
        <v>1</v>
      </c>
      <c r="P545" s="24" t="s">
        <v>102</v>
      </c>
      <c r="Q545" s="25">
        <v>45748</v>
      </c>
      <c r="R545" s="13">
        <v>0</v>
      </c>
      <c r="S545" s="26" t="str">
        <f>VLOOKUP(C545,'[1]Bazaar Salary'!$B$6:$J$1193,9,0)</f>
        <v>09880010132077820017</v>
      </c>
      <c r="T545" s="25" t="s">
        <v>32</v>
      </c>
      <c r="U545" s="25" t="s">
        <v>33</v>
      </c>
      <c r="V545" s="25" t="s">
        <v>1093</v>
      </c>
      <c r="W545" s="27" t="s">
        <v>2208</v>
      </c>
      <c r="X545" s="28" t="s">
        <v>2209</v>
      </c>
      <c r="Y545" s="28"/>
      <c r="Z545" s="29" t="s">
        <v>37</v>
      </c>
    </row>
    <row r="546" spans="1:26" ht="30" customHeight="1" thickBot="1" x14ac:dyDescent="0.25">
      <c r="A546" s="17">
        <f t="shared" si="17"/>
        <v>545</v>
      </c>
      <c r="B546" s="18" t="s">
        <v>25</v>
      </c>
      <c r="C546" s="19">
        <v>3520102060687</v>
      </c>
      <c r="D546" s="19">
        <v>134</v>
      </c>
      <c r="E546" s="20">
        <v>45263</v>
      </c>
      <c r="F546" s="20">
        <v>48916</v>
      </c>
      <c r="G546" s="21">
        <v>31477</v>
      </c>
      <c r="H546" s="22">
        <f t="shared" ca="1" si="16"/>
        <v>40</v>
      </c>
      <c r="I546" s="19" t="s">
        <v>26</v>
      </c>
      <c r="J546" s="18" t="s">
        <v>27</v>
      </c>
      <c r="K546" s="18"/>
      <c r="L546" s="23" t="s">
        <v>2210</v>
      </c>
      <c r="M546" s="23" t="s">
        <v>2211</v>
      </c>
      <c r="N546" s="23" t="s">
        <v>1499</v>
      </c>
      <c r="O546" s="18">
        <v>1</v>
      </c>
      <c r="P546" s="24" t="s">
        <v>48</v>
      </c>
      <c r="Q546" s="25">
        <v>42370</v>
      </c>
      <c r="R546" s="13">
        <v>0</v>
      </c>
      <c r="S546" s="26" t="str">
        <f>VLOOKUP(C546,'[1]Bazaar Salary'!$B$6:$J$1193,9,0)</f>
        <v>01260010045934980023</v>
      </c>
      <c r="T546" s="25" t="s">
        <v>32</v>
      </c>
      <c r="U546" s="25" t="s">
        <v>33</v>
      </c>
      <c r="V546" s="25" t="s">
        <v>1356</v>
      </c>
      <c r="W546" s="27" t="s">
        <v>2212</v>
      </c>
      <c r="X546" s="28" t="s">
        <v>2213</v>
      </c>
      <c r="Y546" s="28"/>
      <c r="Z546" s="29" t="s">
        <v>37</v>
      </c>
    </row>
    <row r="547" spans="1:26" ht="30" customHeight="1" thickBot="1" x14ac:dyDescent="0.25">
      <c r="A547" s="17">
        <f t="shared" si="17"/>
        <v>546</v>
      </c>
      <c r="B547" s="18" t="s">
        <v>25</v>
      </c>
      <c r="C547" s="19">
        <v>3520246314963</v>
      </c>
      <c r="D547" s="19">
        <v>304</v>
      </c>
      <c r="E547" s="20">
        <v>43899</v>
      </c>
      <c r="F547" s="20">
        <v>47551</v>
      </c>
      <c r="G547" s="21">
        <v>26299</v>
      </c>
      <c r="H547" s="22">
        <f t="shared" ca="1" si="16"/>
        <v>54</v>
      </c>
      <c r="I547" s="19" t="s">
        <v>26</v>
      </c>
      <c r="J547" s="18" t="s">
        <v>27</v>
      </c>
      <c r="K547" s="18"/>
      <c r="L547" s="23" t="s">
        <v>68</v>
      </c>
      <c r="M547" s="23" t="s">
        <v>2214</v>
      </c>
      <c r="N547" s="23" t="s">
        <v>1499</v>
      </c>
      <c r="O547" s="18">
        <v>1</v>
      </c>
      <c r="P547" s="24" t="s">
        <v>102</v>
      </c>
      <c r="Q547" s="25">
        <v>40751</v>
      </c>
      <c r="R547" s="13">
        <v>0</v>
      </c>
      <c r="S547" s="26" t="str">
        <f>VLOOKUP(C547,'[1]Bazaar Salary'!$B$6:$J$1193,9,0)</f>
        <v>01530010045891990011</v>
      </c>
      <c r="T547" s="25" t="s">
        <v>32</v>
      </c>
      <c r="U547" s="25" t="s">
        <v>33</v>
      </c>
      <c r="V547" s="25" t="s">
        <v>1093</v>
      </c>
      <c r="W547" s="27" t="s">
        <v>2215</v>
      </c>
      <c r="X547" s="28" t="s">
        <v>1525</v>
      </c>
      <c r="Y547" s="28"/>
      <c r="Z547" s="29" t="s">
        <v>37</v>
      </c>
    </row>
    <row r="548" spans="1:26" ht="30" customHeight="1" thickBot="1" x14ac:dyDescent="0.25">
      <c r="A548" s="17">
        <f t="shared" si="17"/>
        <v>547</v>
      </c>
      <c r="B548" s="18" t="s">
        <v>25</v>
      </c>
      <c r="C548" s="19">
        <v>3520103150553</v>
      </c>
      <c r="D548" s="19">
        <v>812</v>
      </c>
      <c r="E548" s="20">
        <v>43221</v>
      </c>
      <c r="F548" s="20">
        <v>46874</v>
      </c>
      <c r="G548" s="21">
        <v>29221</v>
      </c>
      <c r="H548" s="22">
        <f t="shared" ca="1" si="16"/>
        <v>46</v>
      </c>
      <c r="I548" s="19" t="s">
        <v>26</v>
      </c>
      <c r="J548" s="18" t="s">
        <v>27</v>
      </c>
      <c r="K548" s="18"/>
      <c r="L548" s="23" t="s">
        <v>1122</v>
      </c>
      <c r="M548" s="23" t="s">
        <v>890</v>
      </c>
      <c r="N548" s="23" t="s">
        <v>1499</v>
      </c>
      <c r="O548" s="18">
        <v>1</v>
      </c>
      <c r="P548" s="24" t="s">
        <v>102</v>
      </c>
      <c r="Q548" s="25">
        <v>44317</v>
      </c>
      <c r="R548" s="13">
        <v>0</v>
      </c>
      <c r="S548" s="26" t="str">
        <f>VLOOKUP(C548,'[1]Bazaar Salary'!$B$6:$J$1193,9,0)</f>
        <v>01260010065368820013</v>
      </c>
      <c r="T548" s="25" t="s">
        <v>32</v>
      </c>
      <c r="U548" s="25" t="s">
        <v>33</v>
      </c>
      <c r="V548" s="25" t="s">
        <v>1093</v>
      </c>
      <c r="W548" s="27" t="s">
        <v>2216</v>
      </c>
      <c r="X548" s="28" t="s">
        <v>2217</v>
      </c>
      <c r="Y548" s="28"/>
      <c r="Z548" s="29" t="s">
        <v>37</v>
      </c>
    </row>
    <row r="549" spans="1:26" ht="30" customHeight="1" thickBot="1" x14ac:dyDescent="0.25">
      <c r="A549" s="17">
        <f t="shared" si="17"/>
        <v>548</v>
      </c>
      <c r="B549" s="18" t="s">
        <v>25</v>
      </c>
      <c r="C549" s="19">
        <v>3520205534059</v>
      </c>
      <c r="D549" s="19" t="s">
        <v>542</v>
      </c>
      <c r="E549" s="20">
        <v>44916</v>
      </c>
      <c r="F549" s="20">
        <v>48569</v>
      </c>
      <c r="G549" s="21">
        <v>30517</v>
      </c>
      <c r="H549" s="22">
        <f t="shared" ca="1" si="16"/>
        <v>42</v>
      </c>
      <c r="I549" s="19" t="s">
        <v>26</v>
      </c>
      <c r="J549" s="18" t="s">
        <v>27</v>
      </c>
      <c r="K549" s="18"/>
      <c r="L549" s="30" t="s">
        <v>890</v>
      </c>
      <c r="M549" s="30" t="s">
        <v>2218</v>
      </c>
      <c r="N549" s="23" t="s">
        <v>1499</v>
      </c>
      <c r="O549" s="18">
        <v>1</v>
      </c>
      <c r="P549" s="24"/>
      <c r="Q549" s="25">
        <v>45748</v>
      </c>
      <c r="R549" s="13">
        <v>0</v>
      </c>
      <c r="S549" s="26" t="str">
        <f>VLOOKUP(C549,'[1]Bazaar Salary'!$B$6:$J$1193,9,0)</f>
        <v>02880010119236190019</v>
      </c>
      <c r="T549" s="25" t="s">
        <v>32</v>
      </c>
      <c r="U549" s="25" t="s">
        <v>33</v>
      </c>
      <c r="V549" s="25" t="s">
        <v>1093</v>
      </c>
      <c r="W549" s="24" t="s">
        <v>2219</v>
      </c>
      <c r="X549" s="28" t="s">
        <v>2220</v>
      </c>
      <c r="Y549" s="28"/>
      <c r="Z549" s="29" t="s">
        <v>37</v>
      </c>
    </row>
    <row r="550" spans="1:26" ht="30" customHeight="1" thickBot="1" x14ac:dyDescent="0.25">
      <c r="A550" s="17">
        <f t="shared" si="17"/>
        <v>549</v>
      </c>
      <c r="B550" s="18" t="s">
        <v>25</v>
      </c>
      <c r="C550" s="19">
        <v>3540194358245</v>
      </c>
      <c r="D550" s="19">
        <v>811</v>
      </c>
      <c r="E550" s="20">
        <v>41991</v>
      </c>
      <c r="F550" s="20" t="s">
        <v>196</v>
      </c>
      <c r="G550" s="21">
        <v>21186</v>
      </c>
      <c r="H550" s="22">
        <f t="shared" ca="1" si="16"/>
        <v>68</v>
      </c>
      <c r="I550" s="19" t="s">
        <v>26</v>
      </c>
      <c r="J550" s="18" t="s">
        <v>27</v>
      </c>
      <c r="K550" s="18"/>
      <c r="L550" s="23" t="s">
        <v>926</v>
      </c>
      <c r="M550" s="23" t="s">
        <v>2221</v>
      </c>
      <c r="N550" s="23" t="s">
        <v>1499</v>
      </c>
      <c r="O550" s="18">
        <v>1</v>
      </c>
      <c r="P550" s="24" t="s">
        <v>102</v>
      </c>
      <c r="Q550" s="25">
        <v>43678</v>
      </c>
      <c r="R550" s="13">
        <v>0</v>
      </c>
      <c r="S550" s="26" t="str">
        <f>VLOOKUP(C550,'[1]Bazaar Salary'!$B$6:$J$1193,9,0)</f>
        <v>51560020061252150011</v>
      </c>
      <c r="T550" s="25" t="s">
        <v>32</v>
      </c>
      <c r="U550" s="25" t="s">
        <v>33</v>
      </c>
      <c r="V550" s="25" t="s">
        <v>1093</v>
      </c>
      <c r="W550" s="27" t="s">
        <v>2222</v>
      </c>
      <c r="X550" s="28" t="s">
        <v>2223</v>
      </c>
      <c r="Y550" s="28"/>
      <c r="Z550" s="29" t="s">
        <v>37</v>
      </c>
    </row>
    <row r="551" spans="1:26" ht="30" customHeight="1" thickBot="1" x14ac:dyDescent="0.25">
      <c r="A551" s="17">
        <f t="shared" si="17"/>
        <v>550</v>
      </c>
      <c r="B551" s="18" t="s">
        <v>25</v>
      </c>
      <c r="C551" s="19">
        <v>3530140790617</v>
      </c>
      <c r="D551" s="19">
        <v>81</v>
      </c>
      <c r="E551" s="20">
        <v>45418</v>
      </c>
      <c r="F551" s="20">
        <v>49070</v>
      </c>
      <c r="G551" s="21">
        <v>34700</v>
      </c>
      <c r="H551" s="22">
        <f t="shared" ca="1" si="16"/>
        <v>31</v>
      </c>
      <c r="I551" s="19" t="s">
        <v>26</v>
      </c>
      <c r="J551" s="18" t="s">
        <v>27</v>
      </c>
      <c r="K551" s="18"/>
      <c r="L551" s="23" t="s">
        <v>2224</v>
      </c>
      <c r="M551" s="23" t="s">
        <v>703</v>
      </c>
      <c r="N551" s="23" t="s">
        <v>1499</v>
      </c>
      <c r="O551" s="18">
        <v>1</v>
      </c>
      <c r="P551" s="24" t="s">
        <v>102</v>
      </c>
      <c r="Q551" s="25">
        <v>44317</v>
      </c>
      <c r="R551" s="13">
        <v>0</v>
      </c>
      <c r="S551" s="26" t="str">
        <f>VLOOKUP(C551,'[1]Head Office '!$B$7:$I$98,8,0)</f>
        <v>02880010064840940024</v>
      </c>
      <c r="T551" s="25" t="s">
        <v>32</v>
      </c>
      <c r="U551" s="25" t="s">
        <v>33</v>
      </c>
      <c r="V551" s="25" t="s">
        <v>1093</v>
      </c>
      <c r="W551" s="27" t="s">
        <v>2225</v>
      </c>
      <c r="X551" s="28" t="s">
        <v>2226</v>
      </c>
      <c r="Y551" s="28"/>
      <c r="Z551" s="29" t="s">
        <v>37</v>
      </c>
    </row>
    <row r="552" spans="1:26" ht="30" customHeight="1" thickBot="1" x14ac:dyDescent="0.25">
      <c r="A552" s="17">
        <f t="shared" si="17"/>
        <v>551</v>
      </c>
      <c r="B552" s="18" t="s">
        <v>25</v>
      </c>
      <c r="C552" s="19">
        <v>3520182115345</v>
      </c>
      <c r="D552" s="19">
        <v>360</v>
      </c>
      <c r="E552" s="20">
        <v>44173</v>
      </c>
      <c r="F552" s="20">
        <v>47825</v>
      </c>
      <c r="G552" s="21">
        <v>32486</v>
      </c>
      <c r="H552" s="22">
        <f t="shared" ca="1" si="16"/>
        <v>37</v>
      </c>
      <c r="I552" s="19" t="s">
        <v>26</v>
      </c>
      <c r="J552" s="18" t="s">
        <v>27</v>
      </c>
      <c r="K552" s="18"/>
      <c r="L552" s="23" t="s">
        <v>1367</v>
      </c>
      <c r="M552" s="23" t="s">
        <v>2227</v>
      </c>
      <c r="N552" s="23" t="s">
        <v>1499</v>
      </c>
      <c r="O552" s="18">
        <v>1</v>
      </c>
      <c r="P552" s="24" t="s">
        <v>102</v>
      </c>
      <c r="Q552" s="25">
        <v>42287</v>
      </c>
      <c r="R552" s="13">
        <v>0</v>
      </c>
      <c r="S552" s="26" t="str">
        <f>VLOOKUP(C552,'[1]Bazaar Salary'!$B$6:$J$1193,9,0)</f>
        <v>01260010045824960010</v>
      </c>
      <c r="T552" s="25" t="s">
        <v>32</v>
      </c>
      <c r="U552" s="25" t="s">
        <v>33</v>
      </c>
      <c r="V552" s="25" t="s">
        <v>1356</v>
      </c>
      <c r="W552" s="27" t="s">
        <v>2228</v>
      </c>
      <c r="X552" s="28" t="s">
        <v>2229</v>
      </c>
      <c r="Y552" s="28"/>
      <c r="Z552" s="29" t="s">
        <v>37</v>
      </c>
    </row>
    <row r="553" spans="1:26" ht="30" customHeight="1" thickBot="1" x14ac:dyDescent="0.25">
      <c r="A553" s="17">
        <f t="shared" si="17"/>
        <v>552</v>
      </c>
      <c r="B553" s="18" t="s">
        <v>25</v>
      </c>
      <c r="C553" s="19">
        <v>7180203391649</v>
      </c>
      <c r="D553" s="19">
        <v>1718</v>
      </c>
      <c r="E553" s="20">
        <v>44032</v>
      </c>
      <c r="F553" s="20">
        <v>47684</v>
      </c>
      <c r="G553" s="21">
        <v>35916</v>
      </c>
      <c r="H553" s="22">
        <f t="shared" ca="1" si="16"/>
        <v>28</v>
      </c>
      <c r="I553" s="19" t="s">
        <v>26</v>
      </c>
      <c r="J553" s="18" t="s">
        <v>27</v>
      </c>
      <c r="K553" s="18"/>
      <c r="L553" s="23" t="s">
        <v>2230</v>
      </c>
      <c r="M553" s="23" t="s">
        <v>2231</v>
      </c>
      <c r="N553" s="23" t="s">
        <v>1499</v>
      </c>
      <c r="O553" s="18">
        <v>1</v>
      </c>
      <c r="P553" s="24" t="s">
        <v>102</v>
      </c>
      <c r="Q553" s="25">
        <v>45748</v>
      </c>
      <c r="R553" s="13">
        <v>0</v>
      </c>
      <c r="S553" s="26" t="str">
        <f>VLOOKUP(C553,'[1]Head Office '!$B$7:$I$98,8,0)</f>
        <v>02880010139186160013</v>
      </c>
      <c r="T553" s="25" t="s">
        <v>32</v>
      </c>
      <c r="U553" s="25" t="s">
        <v>33</v>
      </c>
      <c r="V553" s="25" t="s">
        <v>1093</v>
      </c>
      <c r="W553" s="27" t="s">
        <v>2232</v>
      </c>
      <c r="X553" s="28" t="s">
        <v>2233</v>
      </c>
      <c r="Y553" s="28"/>
      <c r="Z553" s="29" t="s">
        <v>37</v>
      </c>
    </row>
    <row r="554" spans="1:26" ht="30" customHeight="1" thickBot="1" x14ac:dyDescent="0.25">
      <c r="A554" s="17">
        <f t="shared" si="17"/>
        <v>553</v>
      </c>
      <c r="B554" s="18" t="s">
        <v>25</v>
      </c>
      <c r="C554" s="19">
        <v>3240284975091</v>
      </c>
      <c r="D554" s="19">
        <v>1404</v>
      </c>
      <c r="E554" s="20">
        <v>42804</v>
      </c>
      <c r="F554" s="20">
        <v>46456</v>
      </c>
      <c r="G554" s="21">
        <v>35864</v>
      </c>
      <c r="H554" s="22">
        <f t="shared" ca="1" si="16"/>
        <v>28</v>
      </c>
      <c r="I554" s="19" t="s">
        <v>26</v>
      </c>
      <c r="J554" s="18" t="s">
        <v>27</v>
      </c>
      <c r="K554" s="18"/>
      <c r="L554" s="23" t="s">
        <v>2234</v>
      </c>
      <c r="M554" s="23" t="s">
        <v>307</v>
      </c>
      <c r="N554" s="23" t="s">
        <v>1488</v>
      </c>
      <c r="O554" s="18">
        <v>1</v>
      </c>
      <c r="P554" s="24"/>
      <c r="Q554" s="25">
        <v>45748</v>
      </c>
      <c r="R554" s="13">
        <v>0</v>
      </c>
      <c r="S554" s="26" t="str">
        <f>VLOOKUP(C554,'[1]Bazaar Salary'!$B$6:$J$1193,9,0)</f>
        <v>08210010095268650011</v>
      </c>
      <c r="T554" s="25" t="s">
        <v>32</v>
      </c>
      <c r="U554" s="25" t="s">
        <v>370</v>
      </c>
      <c r="V554" s="25" t="s">
        <v>1093</v>
      </c>
      <c r="W554" s="27" t="s">
        <v>2235</v>
      </c>
      <c r="X554" s="28" t="s">
        <v>2236</v>
      </c>
      <c r="Y554" s="28"/>
      <c r="Z554" s="29" t="s">
        <v>37</v>
      </c>
    </row>
    <row r="555" spans="1:26" ht="30" customHeight="1" thickBot="1" x14ac:dyDescent="0.25">
      <c r="A555" s="17">
        <f t="shared" si="17"/>
        <v>554</v>
      </c>
      <c r="B555" s="18" t="s">
        <v>25</v>
      </c>
      <c r="C555" s="19">
        <v>3240287129267</v>
      </c>
      <c r="D555" s="19">
        <v>567</v>
      </c>
      <c r="E555" s="20">
        <v>43489</v>
      </c>
      <c r="F555" s="20">
        <v>47142</v>
      </c>
      <c r="G555" s="21">
        <v>32457</v>
      </c>
      <c r="H555" s="22">
        <f t="shared" ca="1" si="16"/>
        <v>37</v>
      </c>
      <c r="I555" s="19" t="s">
        <v>26</v>
      </c>
      <c r="J555" s="18" t="s">
        <v>27</v>
      </c>
      <c r="K555" s="18"/>
      <c r="L555" s="23" t="s">
        <v>2237</v>
      </c>
      <c r="M555" s="23" t="s">
        <v>307</v>
      </c>
      <c r="N555" s="23" t="s">
        <v>1488</v>
      </c>
      <c r="O555" s="18">
        <v>1</v>
      </c>
      <c r="P555" s="24"/>
      <c r="Q555" s="25">
        <v>42145</v>
      </c>
      <c r="R555" s="13">
        <v>0</v>
      </c>
      <c r="S555" s="26" t="str">
        <f>VLOOKUP(C555,'[1]Bazaar Salary'!$B$6:$J$1193,9,0)</f>
        <v>08210010045746800019</v>
      </c>
      <c r="T555" s="25" t="s">
        <v>32</v>
      </c>
      <c r="U555" s="25" t="s">
        <v>370</v>
      </c>
      <c r="V555" s="25" t="s">
        <v>1356</v>
      </c>
      <c r="W555" s="27" t="s">
        <v>2238</v>
      </c>
      <c r="X555" s="28" t="s">
        <v>2239</v>
      </c>
      <c r="Y555" s="28"/>
      <c r="Z555" s="29" t="s">
        <v>37</v>
      </c>
    </row>
    <row r="556" spans="1:26" ht="30" customHeight="1" thickBot="1" x14ac:dyDescent="0.25">
      <c r="A556" s="17">
        <f t="shared" si="17"/>
        <v>555</v>
      </c>
      <c r="B556" s="18" t="s">
        <v>25</v>
      </c>
      <c r="C556" s="19">
        <v>3240253710491</v>
      </c>
      <c r="D556" s="19">
        <v>1571</v>
      </c>
      <c r="E556" s="20">
        <v>45280</v>
      </c>
      <c r="F556" s="20">
        <v>48933</v>
      </c>
      <c r="G556" s="21">
        <v>33970</v>
      </c>
      <c r="H556" s="22">
        <f t="shared" ca="1" si="16"/>
        <v>33</v>
      </c>
      <c r="I556" s="19" t="s">
        <v>26</v>
      </c>
      <c r="J556" s="18" t="s">
        <v>27</v>
      </c>
      <c r="K556" s="18"/>
      <c r="L556" s="23" t="s">
        <v>2240</v>
      </c>
      <c r="M556" s="23" t="s">
        <v>1856</v>
      </c>
      <c r="N556" s="23" t="s">
        <v>1488</v>
      </c>
      <c r="O556" s="18">
        <v>1</v>
      </c>
      <c r="P556" s="24"/>
      <c r="Q556" s="25">
        <v>45748</v>
      </c>
      <c r="R556" s="13">
        <v>0</v>
      </c>
      <c r="S556" s="26" t="str">
        <f>VLOOKUP(C556,'[1]Bazaar Salary'!$B$6:$J$1193,9,0)</f>
        <v>08210010122839290015</v>
      </c>
      <c r="T556" s="25" t="s">
        <v>32</v>
      </c>
      <c r="U556" s="25" t="s">
        <v>370</v>
      </c>
      <c r="V556" s="25" t="s">
        <v>1093</v>
      </c>
      <c r="W556" s="27" t="s">
        <v>2241</v>
      </c>
      <c r="X556" s="28" t="s">
        <v>2242</v>
      </c>
      <c r="Y556" s="28"/>
      <c r="Z556" s="29" t="s">
        <v>37</v>
      </c>
    </row>
    <row r="557" spans="1:26" ht="30" customHeight="1" thickBot="1" x14ac:dyDescent="0.25">
      <c r="A557" s="17">
        <f t="shared" si="17"/>
        <v>556</v>
      </c>
      <c r="B557" s="18" t="s">
        <v>25</v>
      </c>
      <c r="C557" s="19">
        <v>3240298190253</v>
      </c>
      <c r="D557" s="19">
        <v>1597</v>
      </c>
      <c r="E557" s="20">
        <v>44672</v>
      </c>
      <c r="F557" s="20">
        <v>48325</v>
      </c>
      <c r="G557" s="21">
        <v>36588</v>
      </c>
      <c r="H557" s="22">
        <f t="shared" ca="1" si="16"/>
        <v>26</v>
      </c>
      <c r="I557" s="19" t="s">
        <v>26</v>
      </c>
      <c r="J557" s="18" t="s">
        <v>27</v>
      </c>
      <c r="K557" s="18"/>
      <c r="L557" s="23" t="s">
        <v>2243</v>
      </c>
      <c r="M557" s="23" t="s">
        <v>2244</v>
      </c>
      <c r="N557" s="23" t="s">
        <v>1499</v>
      </c>
      <c r="O557" s="18">
        <v>1</v>
      </c>
      <c r="P557" s="24"/>
      <c r="Q557" s="25">
        <v>45748</v>
      </c>
      <c r="R557" s="13">
        <v>0</v>
      </c>
      <c r="S557" s="26" t="str">
        <f>VLOOKUP(C557,'[1]Bazaar Salary'!$B$6:$J$1193,9,0)</f>
        <v>08210010128873960014</v>
      </c>
      <c r="T557" s="25" t="s">
        <v>32</v>
      </c>
      <c r="U557" s="25" t="s">
        <v>370</v>
      </c>
      <c r="V557" s="25" t="s">
        <v>884</v>
      </c>
      <c r="W557" s="27" t="s">
        <v>2245</v>
      </c>
      <c r="X557" s="28" t="s">
        <v>2246</v>
      </c>
      <c r="Y557" s="28"/>
      <c r="Z557" s="29" t="s">
        <v>37</v>
      </c>
    </row>
    <row r="558" spans="1:26" ht="30" customHeight="1" thickBot="1" x14ac:dyDescent="0.25">
      <c r="A558" s="17">
        <f t="shared" si="17"/>
        <v>557</v>
      </c>
      <c r="B558" s="18" t="s">
        <v>25</v>
      </c>
      <c r="C558" s="19">
        <v>3240260541111</v>
      </c>
      <c r="D558" s="19">
        <v>463</v>
      </c>
      <c r="E558" s="20">
        <v>44741</v>
      </c>
      <c r="F558" s="20">
        <v>48394</v>
      </c>
      <c r="G558" s="21">
        <v>30742</v>
      </c>
      <c r="H558" s="22">
        <f t="shared" ca="1" si="16"/>
        <v>42</v>
      </c>
      <c r="I558" s="19" t="s">
        <v>26</v>
      </c>
      <c r="J558" s="18" t="s">
        <v>27</v>
      </c>
      <c r="K558" s="18"/>
      <c r="L558" s="23" t="s">
        <v>1204</v>
      </c>
      <c r="M558" s="23" t="s">
        <v>2247</v>
      </c>
      <c r="N558" s="23" t="s">
        <v>1499</v>
      </c>
      <c r="O558" s="18">
        <v>1</v>
      </c>
      <c r="P558" s="24"/>
      <c r="Q558" s="25">
        <v>42394</v>
      </c>
      <c r="R558" s="13">
        <v>0</v>
      </c>
      <c r="S558" s="26" t="str">
        <f>VLOOKUP(C558,'[1]Bazaar Salary'!$B$6:$J$1193,9,0)</f>
        <v>08210010045675940018</v>
      </c>
      <c r="T558" s="25" t="s">
        <v>32</v>
      </c>
      <c r="U558" s="25" t="s">
        <v>370</v>
      </c>
      <c r="V558" s="25" t="s">
        <v>884</v>
      </c>
      <c r="W558" s="27" t="s">
        <v>2248</v>
      </c>
      <c r="X558" s="28" t="s">
        <v>2249</v>
      </c>
      <c r="Y558" s="28"/>
      <c r="Z558" s="29" t="s">
        <v>37</v>
      </c>
    </row>
    <row r="559" spans="1:26" ht="30" customHeight="1" thickBot="1" x14ac:dyDescent="0.25">
      <c r="A559" s="17">
        <f t="shared" si="17"/>
        <v>558</v>
      </c>
      <c r="B559" s="18" t="s">
        <v>25</v>
      </c>
      <c r="C559" s="19">
        <v>3240214484733</v>
      </c>
      <c r="D559" s="19">
        <v>1207</v>
      </c>
      <c r="E559" s="20">
        <v>43448</v>
      </c>
      <c r="F559" s="20">
        <v>47101</v>
      </c>
      <c r="G559" s="21">
        <v>28126</v>
      </c>
      <c r="H559" s="22">
        <f t="shared" ca="1" si="16"/>
        <v>49</v>
      </c>
      <c r="I559" s="19" t="s">
        <v>26</v>
      </c>
      <c r="J559" s="18" t="s">
        <v>27</v>
      </c>
      <c r="K559" s="18"/>
      <c r="L559" s="23" t="s">
        <v>2250</v>
      </c>
      <c r="M559" s="23" t="s">
        <v>2251</v>
      </c>
      <c r="N559" s="23" t="s">
        <v>1499</v>
      </c>
      <c r="O559" s="18">
        <v>1</v>
      </c>
      <c r="P559" s="24"/>
      <c r="Q559" s="25">
        <v>44317</v>
      </c>
      <c r="R559" s="13">
        <v>0</v>
      </c>
      <c r="S559" s="26" t="str">
        <f>VLOOKUP(C559,'[1]Bazaar Salary'!$B$6:$J$1193,9,0)</f>
        <v>03660010076424720019</v>
      </c>
      <c r="T559" s="25" t="s">
        <v>32</v>
      </c>
      <c r="U559" s="25" t="s">
        <v>370</v>
      </c>
      <c r="V559" s="25" t="s">
        <v>1535</v>
      </c>
      <c r="W559" s="27" t="s">
        <v>2252</v>
      </c>
      <c r="X559" s="28" t="s">
        <v>2253</v>
      </c>
      <c r="Y559" s="28"/>
      <c r="Z559" s="29" t="s">
        <v>37</v>
      </c>
    </row>
    <row r="560" spans="1:26" ht="30" customHeight="1" thickBot="1" x14ac:dyDescent="0.25">
      <c r="A560" s="17">
        <f t="shared" si="17"/>
        <v>559</v>
      </c>
      <c r="B560" s="18" t="s">
        <v>25</v>
      </c>
      <c r="C560" s="19">
        <v>3240214376069</v>
      </c>
      <c r="D560" s="19">
        <v>464</v>
      </c>
      <c r="E560" s="20">
        <v>44487</v>
      </c>
      <c r="F560" s="20">
        <v>48139</v>
      </c>
      <c r="G560" s="21">
        <v>29952</v>
      </c>
      <c r="H560" s="22">
        <f t="shared" ca="1" si="16"/>
        <v>44</v>
      </c>
      <c r="I560" s="19" t="s">
        <v>26</v>
      </c>
      <c r="J560" s="18" t="s">
        <v>27</v>
      </c>
      <c r="K560" s="18"/>
      <c r="L560" s="23" t="s">
        <v>1786</v>
      </c>
      <c r="M560" s="23" t="s">
        <v>2254</v>
      </c>
      <c r="N560" s="23" t="s">
        <v>1499</v>
      </c>
      <c r="O560" s="18">
        <v>1</v>
      </c>
      <c r="P560" s="24"/>
      <c r="Q560" s="25">
        <v>42394</v>
      </c>
      <c r="R560" s="13">
        <v>0</v>
      </c>
      <c r="S560" s="26" t="str">
        <f>VLOOKUP(C560,'[1]Bazaar Salary'!$B$6:$J$1193,9,0)</f>
        <v>08210010045756180010</v>
      </c>
      <c r="T560" s="25" t="s">
        <v>32</v>
      </c>
      <c r="U560" s="25" t="s">
        <v>370</v>
      </c>
      <c r="V560" s="25" t="s">
        <v>1356</v>
      </c>
      <c r="W560" s="27" t="s">
        <v>2255</v>
      </c>
      <c r="X560" s="28" t="s">
        <v>2256</v>
      </c>
      <c r="Y560" s="28"/>
      <c r="Z560" s="29" t="s">
        <v>37</v>
      </c>
    </row>
    <row r="561" spans="1:26" ht="30" customHeight="1" thickBot="1" x14ac:dyDescent="0.25">
      <c r="A561" s="17">
        <f t="shared" si="17"/>
        <v>560</v>
      </c>
      <c r="B561" s="18" t="s">
        <v>25</v>
      </c>
      <c r="C561" s="19">
        <v>3240228818949</v>
      </c>
      <c r="D561" s="19">
        <v>1141</v>
      </c>
      <c r="E561" s="20">
        <v>42734</v>
      </c>
      <c r="F561" s="20">
        <v>46386</v>
      </c>
      <c r="G561" s="21">
        <v>31273</v>
      </c>
      <c r="H561" s="22">
        <f t="shared" ca="1" si="16"/>
        <v>40</v>
      </c>
      <c r="I561" s="19" t="s">
        <v>26</v>
      </c>
      <c r="J561" s="18" t="s">
        <v>27</v>
      </c>
      <c r="K561" s="18"/>
      <c r="L561" s="23" t="s">
        <v>1121</v>
      </c>
      <c r="M561" s="23" t="s">
        <v>2257</v>
      </c>
      <c r="N561" s="23" t="s">
        <v>1499</v>
      </c>
      <c r="O561" s="18">
        <v>1</v>
      </c>
      <c r="P561" s="24"/>
      <c r="Q561" s="25">
        <v>43678</v>
      </c>
      <c r="R561" s="13">
        <v>0</v>
      </c>
      <c r="S561" s="26" t="str">
        <f>VLOOKUP(C561,'[1]Bazaar Salary'!$B$6:$J$1193,9,0)</f>
        <v>08210010059487180010</v>
      </c>
      <c r="T561" s="25" t="s">
        <v>32</v>
      </c>
      <c r="U561" s="25" t="s">
        <v>370</v>
      </c>
      <c r="V561" s="25" t="s">
        <v>1356</v>
      </c>
      <c r="W561" s="27" t="s">
        <v>2258</v>
      </c>
      <c r="X561" s="28" t="s">
        <v>2259</v>
      </c>
      <c r="Y561" s="28"/>
      <c r="Z561" s="29" t="s">
        <v>37</v>
      </c>
    </row>
    <row r="562" spans="1:26" ht="30" customHeight="1" thickBot="1" x14ac:dyDescent="0.25">
      <c r="A562" s="17">
        <f t="shared" si="17"/>
        <v>561</v>
      </c>
      <c r="B562" s="18" t="s">
        <v>25</v>
      </c>
      <c r="C562" s="19">
        <v>3210256809295</v>
      </c>
      <c r="D562" s="19">
        <v>1725</v>
      </c>
      <c r="E562" s="20">
        <v>43475</v>
      </c>
      <c r="F562" s="20">
        <v>47128</v>
      </c>
      <c r="G562" s="21">
        <v>27395</v>
      </c>
      <c r="H562" s="22">
        <f t="shared" ca="1" si="16"/>
        <v>51</v>
      </c>
      <c r="I562" s="19" t="s">
        <v>26</v>
      </c>
      <c r="J562" s="18" t="s">
        <v>27</v>
      </c>
      <c r="K562" s="18"/>
      <c r="L562" s="23" t="s">
        <v>890</v>
      </c>
      <c r="M562" s="23" t="s">
        <v>307</v>
      </c>
      <c r="N562" s="23" t="s">
        <v>1499</v>
      </c>
      <c r="O562" s="18">
        <v>1</v>
      </c>
      <c r="P562" s="24"/>
      <c r="Q562" s="25">
        <v>45748</v>
      </c>
      <c r="R562" s="13">
        <v>0</v>
      </c>
      <c r="S562" s="26" t="str">
        <f>VLOOKUP(C562,'[1]Bazaar Salary'!$B$6:$J$1193,9,0)</f>
        <v>03660010140281120017</v>
      </c>
      <c r="T562" s="25" t="s">
        <v>32</v>
      </c>
      <c r="U562" s="25" t="s">
        <v>370</v>
      </c>
      <c r="V562" s="25" t="s">
        <v>1093</v>
      </c>
      <c r="W562" s="27" t="s">
        <v>2260</v>
      </c>
      <c r="X562" s="28" t="s">
        <v>2261</v>
      </c>
      <c r="Y562" s="28"/>
      <c r="Z562" s="29" t="s">
        <v>37</v>
      </c>
    </row>
    <row r="563" spans="1:26" ht="30" customHeight="1" thickBot="1" x14ac:dyDescent="0.25">
      <c r="A563" s="17">
        <f t="shared" si="17"/>
        <v>562</v>
      </c>
      <c r="B563" s="18" t="s">
        <v>25</v>
      </c>
      <c r="C563" s="19">
        <v>3240214165621</v>
      </c>
      <c r="D563" s="19">
        <v>1180</v>
      </c>
      <c r="E563" s="20">
        <v>45854</v>
      </c>
      <c r="F563" s="20">
        <v>49506</v>
      </c>
      <c r="G563" s="21">
        <v>25917</v>
      </c>
      <c r="H563" s="22">
        <f t="shared" ca="1" si="16"/>
        <v>55</v>
      </c>
      <c r="I563" s="19" t="s">
        <v>26</v>
      </c>
      <c r="J563" s="18" t="s">
        <v>27</v>
      </c>
      <c r="K563" s="18"/>
      <c r="L563" s="23" t="s">
        <v>2262</v>
      </c>
      <c r="M563" s="23" t="s">
        <v>2263</v>
      </c>
      <c r="N563" s="23" t="s">
        <v>1499</v>
      </c>
      <c r="O563" s="18">
        <v>1</v>
      </c>
      <c r="P563" s="24"/>
      <c r="Q563" s="25">
        <v>44317</v>
      </c>
      <c r="R563" s="13">
        <v>0</v>
      </c>
      <c r="S563" s="26" t="str">
        <f>VLOOKUP(C563,'[1]Bazaar Salary'!$B$6:$J$1193,9,0)</f>
        <v>08210010042011480012</v>
      </c>
      <c r="T563" s="25" t="s">
        <v>32</v>
      </c>
      <c r="U563" s="25" t="s">
        <v>370</v>
      </c>
      <c r="V563" s="25" t="s">
        <v>884</v>
      </c>
      <c r="W563" s="27" t="s">
        <v>2264</v>
      </c>
      <c r="X563" s="28" t="s">
        <v>2265</v>
      </c>
      <c r="Y563" s="28"/>
      <c r="Z563" s="29" t="s">
        <v>37</v>
      </c>
    </row>
    <row r="564" spans="1:26" ht="30" customHeight="1" thickBot="1" x14ac:dyDescent="0.25">
      <c r="A564" s="17">
        <f t="shared" si="17"/>
        <v>563</v>
      </c>
      <c r="B564" s="18" t="s">
        <v>25</v>
      </c>
      <c r="C564" s="19">
        <v>3240227172721</v>
      </c>
      <c r="D564" s="19">
        <v>461</v>
      </c>
      <c r="E564" s="20">
        <v>44599</v>
      </c>
      <c r="F564" s="20">
        <v>48251</v>
      </c>
      <c r="G564" s="21">
        <v>29319</v>
      </c>
      <c r="H564" s="22">
        <f t="shared" ca="1" si="16"/>
        <v>46</v>
      </c>
      <c r="I564" s="19" t="s">
        <v>26</v>
      </c>
      <c r="J564" s="18" t="s">
        <v>27</v>
      </c>
      <c r="K564" s="18"/>
      <c r="L564" s="23" t="s">
        <v>2266</v>
      </c>
      <c r="M564" s="23" t="s">
        <v>2267</v>
      </c>
      <c r="N564" s="23" t="s">
        <v>1499</v>
      </c>
      <c r="O564" s="18">
        <v>1</v>
      </c>
      <c r="P564" s="24"/>
      <c r="Q564" s="25">
        <v>42948</v>
      </c>
      <c r="R564" s="13">
        <v>0</v>
      </c>
      <c r="S564" s="26" t="str">
        <f>VLOOKUP(C564,'[1]Bazaar Salary'!$B$6:$J$1193,9,0)</f>
        <v>08210010045743990010</v>
      </c>
      <c r="T564" s="25" t="s">
        <v>32</v>
      </c>
      <c r="U564" s="25" t="s">
        <v>370</v>
      </c>
      <c r="V564" s="25" t="s">
        <v>1356</v>
      </c>
      <c r="W564" s="27" t="s">
        <v>2268</v>
      </c>
      <c r="X564" s="28" t="s">
        <v>2269</v>
      </c>
      <c r="Y564" s="28"/>
      <c r="Z564" s="29" t="s">
        <v>37</v>
      </c>
    </row>
    <row r="565" spans="1:26" ht="30" customHeight="1" thickBot="1" x14ac:dyDescent="0.25">
      <c r="A565" s="17">
        <f t="shared" si="17"/>
        <v>564</v>
      </c>
      <c r="B565" s="18" t="s">
        <v>25</v>
      </c>
      <c r="C565" s="19">
        <v>3240214423533</v>
      </c>
      <c r="D565" s="19">
        <v>462</v>
      </c>
      <c r="E565" s="20">
        <v>44525</v>
      </c>
      <c r="F565" s="20">
        <v>48177</v>
      </c>
      <c r="G565" s="21">
        <v>29587</v>
      </c>
      <c r="H565" s="22">
        <f t="shared" ca="1" si="16"/>
        <v>45</v>
      </c>
      <c r="I565" s="19" t="s">
        <v>26</v>
      </c>
      <c r="J565" s="18" t="s">
        <v>27</v>
      </c>
      <c r="K565" s="18"/>
      <c r="L565" s="23" t="s">
        <v>2270</v>
      </c>
      <c r="M565" s="23" t="s">
        <v>631</v>
      </c>
      <c r="N565" s="23" t="s">
        <v>1499</v>
      </c>
      <c r="O565" s="18">
        <v>1</v>
      </c>
      <c r="P565" s="24"/>
      <c r="Q565" s="25">
        <v>42145</v>
      </c>
      <c r="R565" s="13">
        <v>0</v>
      </c>
      <c r="S565" s="26" t="str">
        <f>VLOOKUP(C565,'[1]Bazaar Salary'!$B$6:$J$1193,9,0)</f>
        <v>08210010045700650019</v>
      </c>
      <c r="T565" s="25" t="s">
        <v>32</v>
      </c>
      <c r="U565" s="25" t="s">
        <v>370</v>
      </c>
      <c r="V565" s="25" t="s">
        <v>1535</v>
      </c>
      <c r="W565" s="27" t="s">
        <v>2271</v>
      </c>
      <c r="X565" s="28" t="s">
        <v>2272</v>
      </c>
      <c r="Y565" s="28"/>
      <c r="Z565" s="29" t="s">
        <v>37</v>
      </c>
    </row>
    <row r="566" spans="1:26" ht="30" customHeight="1" thickBot="1" x14ac:dyDescent="0.25">
      <c r="A566" s="17">
        <f t="shared" si="17"/>
        <v>565</v>
      </c>
      <c r="B566" s="18" t="s">
        <v>25</v>
      </c>
      <c r="C566" s="19">
        <v>3240250984451</v>
      </c>
      <c r="D566" s="19">
        <v>566</v>
      </c>
      <c r="E566" s="20">
        <v>45194</v>
      </c>
      <c r="F566" s="20">
        <v>48847</v>
      </c>
      <c r="G566" s="21">
        <v>34795</v>
      </c>
      <c r="H566" s="22">
        <f t="shared" ca="1" si="16"/>
        <v>31</v>
      </c>
      <c r="I566" s="19" t="s">
        <v>26</v>
      </c>
      <c r="J566" s="18" t="s">
        <v>27</v>
      </c>
      <c r="K566" s="18"/>
      <c r="L566" s="23" t="s">
        <v>1620</v>
      </c>
      <c r="M566" s="23" t="s">
        <v>2273</v>
      </c>
      <c r="N566" s="23" t="s">
        <v>1499</v>
      </c>
      <c r="O566" s="18">
        <v>1</v>
      </c>
      <c r="P566" s="24"/>
      <c r="Q566" s="25">
        <v>42145</v>
      </c>
      <c r="R566" s="13">
        <v>0</v>
      </c>
      <c r="S566" s="26" t="str">
        <f>VLOOKUP(C566,'[1]Bazaar Salary'!$B$6:$J$1193,9,0)</f>
        <v>08210010045672270012</v>
      </c>
      <c r="T566" s="25" t="s">
        <v>32</v>
      </c>
      <c r="U566" s="25" t="s">
        <v>370</v>
      </c>
      <c r="V566" s="25" t="s">
        <v>2274</v>
      </c>
      <c r="W566" s="27" t="s">
        <v>2275</v>
      </c>
      <c r="X566" s="28" t="s">
        <v>2276</v>
      </c>
      <c r="Y566" s="28"/>
      <c r="Z566" s="29" t="s">
        <v>37</v>
      </c>
    </row>
    <row r="567" spans="1:26" ht="30" customHeight="1" thickBot="1" x14ac:dyDescent="0.25">
      <c r="A567" s="17">
        <f t="shared" si="17"/>
        <v>566</v>
      </c>
      <c r="B567" s="18" t="s">
        <v>25</v>
      </c>
      <c r="C567" s="19">
        <v>3240229012523</v>
      </c>
      <c r="D567" s="19">
        <v>1140</v>
      </c>
      <c r="E567" s="20">
        <v>44565</v>
      </c>
      <c r="F567" s="20">
        <v>48217</v>
      </c>
      <c r="G567" s="21">
        <v>29292</v>
      </c>
      <c r="H567" s="22">
        <f t="shared" ca="1" si="16"/>
        <v>46</v>
      </c>
      <c r="I567" s="19" t="s">
        <v>26</v>
      </c>
      <c r="J567" s="18" t="s">
        <v>27</v>
      </c>
      <c r="K567" s="18"/>
      <c r="L567" s="23" t="s">
        <v>2277</v>
      </c>
      <c r="M567" s="23" t="s">
        <v>2278</v>
      </c>
      <c r="N567" s="23" t="s">
        <v>1499</v>
      </c>
      <c r="O567" s="18">
        <v>1</v>
      </c>
      <c r="P567" s="24"/>
      <c r="Q567" s="25">
        <v>44317</v>
      </c>
      <c r="R567" s="13">
        <v>0</v>
      </c>
      <c r="S567" s="26" t="str">
        <f>VLOOKUP(C567,'[1]Bazaar Salary'!$B$6:$J$1193,9,0)</f>
        <v>08210010065332590017</v>
      </c>
      <c r="T567" s="25" t="s">
        <v>32</v>
      </c>
      <c r="U567" s="25" t="s">
        <v>370</v>
      </c>
      <c r="V567" s="25" t="s">
        <v>1093</v>
      </c>
      <c r="W567" s="27" t="s">
        <v>2279</v>
      </c>
      <c r="X567" s="28" t="s">
        <v>2280</v>
      </c>
      <c r="Y567" s="28"/>
      <c r="Z567" s="29" t="s">
        <v>37</v>
      </c>
    </row>
    <row r="568" spans="1:26" ht="30" customHeight="1" thickBot="1" x14ac:dyDescent="0.25">
      <c r="A568" s="17">
        <f t="shared" si="17"/>
        <v>567</v>
      </c>
      <c r="B568" s="18" t="s">
        <v>25</v>
      </c>
      <c r="C568" s="19">
        <v>3310051318397</v>
      </c>
      <c r="D568" s="19">
        <v>305</v>
      </c>
      <c r="E568" s="20">
        <v>43385</v>
      </c>
      <c r="F568" s="20">
        <v>47038</v>
      </c>
      <c r="G568" s="21">
        <v>25569</v>
      </c>
      <c r="H568" s="22">
        <f t="shared" ca="1" si="16"/>
        <v>56</v>
      </c>
      <c r="I568" s="19" t="s">
        <v>26</v>
      </c>
      <c r="J568" s="18" t="s">
        <v>27</v>
      </c>
      <c r="K568" s="18"/>
      <c r="L568" s="23" t="s">
        <v>2281</v>
      </c>
      <c r="M568" s="23" t="s">
        <v>2282</v>
      </c>
      <c r="N568" s="23" t="s">
        <v>1499</v>
      </c>
      <c r="O568" s="18">
        <v>1</v>
      </c>
      <c r="P568" s="24"/>
      <c r="Q568" s="25">
        <v>40751</v>
      </c>
      <c r="R568" s="13">
        <v>0</v>
      </c>
      <c r="S568" s="26" t="str">
        <f>VLOOKUP(C568,'[1]Bazaar Salary'!$B$6:$J$1193,9,0)</f>
        <v>01530010045915870013</v>
      </c>
      <c r="T568" s="25" t="s">
        <v>32</v>
      </c>
      <c r="U568" s="25" t="s">
        <v>712</v>
      </c>
      <c r="V568" s="25" t="s">
        <v>1356</v>
      </c>
      <c r="W568" s="27" t="s">
        <v>2283</v>
      </c>
      <c r="X568" s="28" t="s">
        <v>2284</v>
      </c>
      <c r="Y568" s="28"/>
      <c r="Z568" s="29" t="s">
        <v>37</v>
      </c>
    </row>
    <row r="569" spans="1:26" ht="30" customHeight="1" thickBot="1" x14ac:dyDescent="0.25">
      <c r="A569" s="17">
        <f t="shared" si="17"/>
        <v>568</v>
      </c>
      <c r="B569" s="18" t="s">
        <v>25</v>
      </c>
      <c r="C569" s="19">
        <v>3320269704085</v>
      </c>
      <c r="D569" s="19">
        <v>571</v>
      </c>
      <c r="E569" s="20">
        <v>42553</v>
      </c>
      <c r="F569" s="20">
        <v>46205</v>
      </c>
      <c r="G569" s="21">
        <v>35431</v>
      </c>
      <c r="H569" s="22">
        <f t="shared" ca="1" si="16"/>
        <v>29</v>
      </c>
      <c r="I569" s="18" t="s">
        <v>912</v>
      </c>
      <c r="J569" s="18" t="s">
        <v>27</v>
      </c>
      <c r="K569" s="18"/>
      <c r="L569" s="23" t="s">
        <v>2285</v>
      </c>
      <c r="M569" s="23" t="s">
        <v>1974</v>
      </c>
      <c r="N569" s="23" t="s">
        <v>1488</v>
      </c>
      <c r="O569" s="18">
        <v>1</v>
      </c>
      <c r="P569" s="24"/>
      <c r="Q569" s="25">
        <v>43183</v>
      </c>
      <c r="R569" s="13">
        <v>0</v>
      </c>
      <c r="S569" s="26" t="str">
        <f>VLOOKUP(C569,'[1]Bazaar Salary'!$B$6:$J$1193,9,0)</f>
        <v>06480010051015330014</v>
      </c>
      <c r="T569" s="25" t="s">
        <v>32</v>
      </c>
      <c r="U569" s="25" t="s">
        <v>721</v>
      </c>
      <c r="V569" s="25" t="s">
        <v>1356</v>
      </c>
      <c r="W569" s="27" t="s">
        <v>2286</v>
      </c>
      <c r="X569" s="28" t="s">
        <v>2287</v>
      </c>
      <c r="Y569" s="28"/>
      <c r="Z569" s="29" t="s">
        <v>37</v>
      </c>
    </row>
    <row r="570" spans="1:26" ht="30" customHeight="1" thickBot="1" x14ac:dyDescent="0.25">
      <c r="A570" s="17">
        <f t="shared" si="17"/>
        <v>569</v>
      </c>
      <c r="B570" s="18" t="s">
        <v>25</v>
      </c>
      <c r="C570" s="19">
        <v>3320207884007</v>
      </c>
      <c r="D570" s="19">
        <v>1322</v>
      </c>
      <c r="E570" s="20">
        <v>42268</v>
      </c>
      <c r="F570" s="20">
        <v>45921</v>
      </c>
      <c r="G570" s="21">
        <v>35667</v>
      </c>
      <c r="H570" s="22">
        <f t="shared" ca="1" si="16"/>
        <v>28</v>
      </c>
      <c r="I570" s="18" t="s">
        <v>912</v>
      </c>
      <c r="J570" s="18" t="s">
        <v>27</v>
      </c>
      <c r="K570" s="18"/>
      <c r="L570" s="23" t="s">
        <v>2288</v>
      </c>
      <c r="M570" s="23" t="s">
        <v>2289</v>
      </c>
      <c r="N570" s="23" t="s">
        <v>1488</v>
      </c>
      <c r="O570" s="18">
        <v>1</v>
      </c>
      <c r="P570" s="24"/>
      <c r="Q570" s="25">
        <v>45748</v>
      </c>
      <c r="R570" s="13">
        <v>0</v>
      </c>
      <c r="S570" s="26" t="str">
        <f>VLOOKUP(C570,'[1]Bazaar Salary'!$B$6:$J$1193,9,0)</f>
        <v>06480010088096390010</v>
      </c>
      <c r="T570" s="25" t="s">
        <v>32</v>
      </c>
      <c r="U570" s="25" t="s">
        <v>721</v>
      </c>
      <c r="V570" s="25" t="s">
        <v>1356</v>
      </c>
      <c r="W570" s="27" t="s">
        <v>2290</v>
      </c>
      <c r="X570" s="28" t="s">
        <v>2291</v>
      </c>
      <c r="Y570" s="28"/>
      <c r="Z570" s="29" t="s">
        <v>37</v>
      </c>
    </row>
    <row r="571" spans="1:26" ht="30" customHeight="1" thickBot="1" x14ac:dyDescent="0.25">
      <c r="A571" s="17">
        <f t="shared" si="17"/>
        <v>570</v>
      </c>
      <c r="B571" s="18" t="s">
        <v>25</v>
      </c>
      <c r="C571" s="19">
        <v>3320226207771</v>
      </c>
      <c r="D571" s="19">
        <v>1627</v>
      </c>
      <c r="E571" s="20">
        <v>43441</v>
      </c>
      <c r="F571" s="20">
        <v>47094</v>
      </c>
      <c r="G571" s="21">
        <v>36161</v>
      </c>
      <c r="H571" s="22">
        <f t="shared" ca="1" si="16"/>
        <v>27</v>
      </c>
      <c r="I571" s="18" t="s">
        <v>912</v>
      </c>
      <c r="J571" s="18" t="s">
        <v>27</v>
      </c>
      <c r="K571" s="18"/>
      <c r="L571" s="23" t="s">
        <v>2292</v>
      </c>
      <c r="M571" s="23" t="s">
        <v>2293</v>
      </c>
      <c r="N571" s="23" t="s">
        <v>1488</v>
      </c>
      <c r="O571" s="18">
        <v>1</v>
      </c>
      <c r="P571" s="24"/>
      <c r="Q571" s="25">
        <v>45748</v>
      </c>
      <c r="R571" s="13">
        <v>0</v>
      </c>
      <c r="S571" s="26" t="str">
        <f>VLOOKUP(C571,'[1]Bazaar Salary'!$B$6:$J$1193,9,0)</f>
        <v>04310010130919530010</v>
      </c>
      <c r="T571" s="25" t="s">
        <v>32</v>
      </c>
      <c r="U571" s="25" t="s">
        <v>721</v>
      </c>
      <c r="V571" s="25" t="s">
        <v>1093</v>
      </c>
      <c r="W571" s="27" t="s">
        <v>2294</v>
      </c>
      <c r="X571" s="28" t="s">
        <v>2295</v>
      </c>
      <c r="Y571" s="28"/>
      <c r="Z571" s="29" t="s">
        <v>37</v>
      </c>
    </row>
    <row r="572" spans="1:26" ht="30" customHeight="1" thickBot="1" x14ac:dyDescent="0.25">
      <c r="A572" s="17">
        <f t="shared" si="17"/>
        <v>571</v>
      </c>
      <c r="B572" s="18" t="s">
        <v>25</v>
      </c>
      <c r="C572" s="19">
        <v>3320275101575</v>
      </c>
      <c r="D572" s="19">
        <v>1628</v>
      </c>
      <c r="E572" s="20">
        <v>41795</v>
      </c>
      <c r="F572" s="20">
        <v>49100</v>
      </c>
      <c r="G572" s="21">
        <v>38695</v>
      </c>
      <c r="H572" s="22">
        <f t="shared" ca="1" si="16"/>
        <v>20</v>
      </c>
      <c r="I572" s="18" t="s">
        <v>912</v>
      </c>
      <c r="J572" s="18" t="s">
        <v>27</v>
      </c>
      <c r="K572" s="18"/>
      <c r="L572" s="23" t="s">
        <v>2296</v>
      </c>
      <c r="M572" s="23" t="s">
        <v>2297</v>
      </c>
      <c r="N572" s="23" t="s">
        <v>1488</v>
      </c>
      <c r="O572" s="18">
        <v>1</v>
      </c>
      <c r="P572" s="24"/>
      <c r="Q572" s="25">
        <v>45748</v>
      </c>
      <c r="R572" s="13">
        <v>0</v>
      </c>
      <c r="S572" s="26" t="str">
        <f>VLOOKUP(C572,'[1]Bazaar Salary'!$B$6:$J$1193,9,0)</f>
        <v>04310010130941180013</v>
      </c>
      <c r="T572" s="25" t="s">
        <v>32</v>
      </c>
      <c r="U572" s="25" t="s">
        <v>721</v>
      </c>
      <c r="V572" s="25" t="s">
        <v>1093</v>
      </c>
      <c r="W572" s="27" t="s">
        <v>2298</v>
      </c>
      <c r="X572" s="28" t="s">
        <v>2299</v>
      </c>
      <c r="Y572" s="28"/>
      <c r="Z572" s="29" t="s">
        <v>37</v>
      </c>
    </row>
    <row r="573" spans="1:26" ht="30" customHeight="1" thickBot="1" x14ac:dyDescent="0.25">
      <c r="A573" s="17">
        <f t="shared" si="17"/>
        <v>572</v>
      </c>
      <c r="B573" s="18" t="s">
        <v>25</v>
      </c>
      <c r="C573" s="19">
        <v>3320298363623</v>
      </c>
      <c r="D573" s="19">
        <v>572</v>
      </c>
      <c r="E573" s="20">
        <v>42691</v>
      </c>
      <c r="F573" s="20">
        <v>46343</v>
      </c>
      <c r="G573" s="21">
        <v>36057</v>
      </c>
      <c r="H573" s="22">
        <f t="shared" ca="1" si="16"/>
        <v>27</v>
      </c>
      <c r="I573" s="18" t="s">
        <v>912</v>
      </c>
      <c r="J573" s="18" t="s">
        <v>27</v>
      </c>
      <c r="K573" s="18"/>
      <c r="L573" s="23" t="s">
        <v>2300</v>
      </c>
      <c r="M573" s="23" t="s">
        <v>1971</v>
      </c>
      <c r="N573" s="23" t="s">
        <v>1488</v>
      </c>
      <c r="O573" s="18">
        <v>1</v>
      </c>
      <c r="P573" s="24"/>
      <c r="Q573" s="25">
        <v>43183</v>
      </c>
      <c r="R573" s="13">
        <v>0</v>
      </c>
      <c r="S573" s="26" t="str">
        <f>VLOOKUP(C573,'[1]Bazaar Salary'!$B$6:$J$1193,9,0)</f>
        <v>01250010051025920010</v>
      </c>
      <c r="T573" s="25" t="s">
        <v>32</v>
      </c>
      <c r="U573" s="25" t="s">
        <v>721</v>
      </c>
      <c r="V573" s="25" t="s">
        <v>1356</v>
      </c>
      <c r="W573" s="27" t="s">
        <v>2286</v>
      </c>
      <c r="X573" s="28" t="s">
        <v>2301</v>
      </c>
      <c r="Y573" s="28"/>
      <c r="Z573" s="29" t="s">
        <v>37</v>
      </c>
    </row>
    <row r="574" spans="1:26" ht="30" customHeight="1" thickBot="1" x14ac:dyDescent="0.25">
      <c r="A574" s="17">
        <f t="shared" si="17"/>
        <v>573</v>
      </c>
      <c r="B574" s="18" t="s">
        <v>25</v>
      </c>
      <c r="C574" s="19">
        <v>3320211511403</v>
      </c>
      <c r="D574" s="19">
        <v>482</v>
      </c>
      <c r="E574" s="20">
        <v>42801</v>
      </c>
      <c r="F574" s="20">
        <v>46453</v>
      </c>
      <c r="G574" s="21">
        <v>31530</v>
      </c>
      <c r="H574" s="22">
        <f t="shared" ca="1" si="16"/>
        <v>40</v>
      </c>
      <c r="I574" s="19" t="s">
        <v>26</v>
      </c>
      <c r="J574" s="18" t="s">
        <v>27</v>
      </c>
      <c r="K574" s="18"/>
      <c r="L574" s="23" t="s">
        <v>1648</v>
      </c>
      <c r="M574" s="23" t="s">
        <v>2302</v>
      </c>
      <c r="N574" s="23" t="s">
        <v>1499</v>
      </c>
      <c r="O574" s="18">
        <v>1</v>
      </c>
      <c r="P574" s="24"/>
      <c r="Q574" s="25">
        <v>42767</v>
      </c>
      <c r="R574" s="13">
        <v>0</v>
      </c>
      <c r="S574" s="26" t="str">
        <f>VLOOKUP(C574,'[1]Bazaar Salary'!$B$6:$J$1193,9,0)</f>
        <v>04060010045741610010</v>
      </c>
      <c r="T574" s="25" t="s">
        <v>32</v>
      </c>
      <c r="U574" s="25" t="s">
        <v>721</v>
      </c>
      <c r="V574" s="25" t="s">
        <v>1093</v>
      </c>
      <c r="W574" s="27" t="s">
        <v>2303</v>
      </c>
      <c r="X574" s="28" t="s">
        <v>2304</v>
      </c>
      <c r="Y574" s="28"/>
      <c r="Z574" s="29" t="s">
        <v>37</v>
      </c>
    </row>
    <row r="575" spans="1:26" ht="30" customHeight="1" thickBot="1" x14ac:dyDescent="0.25">
      <c r="A575" s="17">
        <f t="shared" si="17"/>
        <v>574</v>
      </c>
      <c r="B575" s="18" t="s">
        <v>25</v>
      </c>
      <c r="C575" s="19">
        <v>3320223076037</v>
      </c>
      <c r="D575" s="19">
        <v>1481</v>
      </c>
      <c r="E575" s="20">
        <v>43003</v>
      </c>
      <c r="F575" s="20">
        <v>46655</v>
      </c>
      <c r="G575" s="21">
        <v>36342</v>
      </c>
      <c r="H575" s="22">
        <f t="shared" ca="1" si="16"/>
        <v>26</v>
      </c>
      <c r="I575" s="19" t="s">
        <v>26</v>
      </c>
      <c r="J575" s="18" t="s">
        <v>27</v>
      </c>
      <c r="K575" s="18"/>
      <c r="L575" s="23" t="s">
        <v>2305</v>
      </c>
      <c r="M575" s="23" t="s">
        <v>414</v>
      </c>
      <c r="N575" s="23" t="s">
        <v>1499</v>
      </c>
      <c r="O575" s="18">
        <v>1</v>
      </c>
      <c r="P575" s="24"/>
      <c r="Q575" s="25">
        <v>45748</v>
      </c>
      <c r="R575" s="13">
        <v>0</v>
      </c>
      <c r="S575" s="26" t="str">
        <f>VLOOKUP(C575,'[1]Bazaar Salary'!$B$6:$J$1193,9,0)</f>
        <v>05110010104342650012</v>
      </c>
      <c r="T575" s="25" t="s">
        <v>32</v>
      </c>
      <c r="U575" s="25" t="s">
        <v>721</v>
      </c>
      <c r="V575" s="25" t="s">
        <v>884</v>
      </c>
      <c r="W575" s="27" t="s">
        <v>2306</v>
      </c>
      <c r="X575" s="28" t="s">
        <v>2307</v>
      </c>
      <c r="Y575" s="28"/>
      <c r="Z575" s="29" t="s">
        <v>37</v>
      </c>
    </row>
    <row r="576" spans="1:26" ht="30" customHeight="1" thickBot="1" x14ac:dyDescent="0.25">
      <c r="A576" s="17">
        <f t="shared" si="17"/>
        <v>575</v>
      </c>
      <c r="B576" s="18" t="s">
        <v>25</v>
      </c>
      <c r="C576" s="19">
        <v>3320293833883</v>
      </c>
      <c r="D576" s="19">
        <v>478</v>
      </c>
      <c r="E576" s="20">
        <v>44505</v>
      </c>
      <c r="F576" s="20">
        <v>48157</v>
      </c>
      <c r="G576" s="21">
        <v>33401</v>
      </c>
      <c r="H576" s="22">
        <f t="shared" ca="1" si="16"/>
        <v>35</v>
      </c>
      <c r="I576" s="19" t="s">
        <v>26</v>
      </c>
      <c r="J576" s="18" t="s">
        <v>27</v>
      </c>
      <c r="K576" s="18"/>
      <c r="L576" s="23" t="s">
        <v>2308</v>
      </c>
      <c r="M576" s="23" t="s">
        <v>2309</v>
      </c>
      <c r="N576" s="23" t="s">
        <v>1499</v>
      </c>
      <c r="O576" s="18">
        <v>1</v>
      </c>
      <c r="P576" s="24"/>
      <c r="Q576" s="25">
        <v>43183</v>
      </c>
      <c r="R576" s="13">
        <v>0</v>
      </c>
      <c r="S576" s="26" t="str">
        <f>VLOOKUP(C576,'[1]Bazaar Salary'!$B$6:$J$1193,9,0)</f>
        <v>06480010051025300015</v>
      </c>
      <c r="T576" s="25" t="s">
        <v>32</v>
      </c>
      <c r="U576" s="25" t="s">
        <v>721</v>
      </c>
      <c r="V576" s="25" t="s">
        <v>1356</v>
      </c>
      <c r="W576" s="27" t="s">
        <v>2310</v>
      </c>
      <c r="X576" s="28" t="s">
        <v>2311</v>
      </c>
      <c r="Y576" s="28"/>
      <c r="Z576" s="29" t="s">
        <v>37</v>
      </c>
    </row>
    <row r="577" spans="1:26" ht="30" customHeight="1" thickBot="1" x14ac:dyDescent="0.25">
      <c r="A577" s="17">
        <f t="shared" si="17"/>
        <v>576</v>
      </c>
      <c r="B577" s="18" t="s">
        <v>25</v>
      </c>
      <c r="C577" s="19">
        <v>3320217849571</v>
      </c>
      <c r="D577" s="19">
        <v>480</v>
      </c>
      <c r="E577" s="20">
        <v>43098</v>
      </c>
      <c r="F577" s="20">
        <v>46750</v>
      </c>
      <c r="G577" s="21">
        <v>30665</v>
      </c>
      <c r="H577" s="22">
        <f t="shared" ca="1" si="16"/>
        <v>42</v>
      </c>
      <c r="I577" s="19" t="s">
        <v>26</v>
      </c>
      <c r="J577" s="18" t="s">
        <v>27</v>
      </c>
      <c r="K577" s="18"/>
      <c r="L577" s="23" t="s">
        <v>2312</v>
      </c>
      <c r="M577" s="23" t="s">
        <v>578</v>
      </c>
      <c r="N577" s="23" t="s">
        <v>1499</v>
      </c>
      <c r="O577" s="18">
        <v>1</v>
      </c>
      <c r="P577" s="24"/>
      <c r="Q577" s="25">
        <v>43183</v>
      </c>
      <c r="R577" s="13">
        <v>0</v>
      </c>
      <c r="S577" s="26" t="str">
        <f>VLOOKUP(C577,'[1]Bazaar Salary'!$B$6:$J$1193,9,0)</f>
        <v>06480010050993240013</v>
      </c>
      <c r="T577" s="25" t="s">
        <v>32</v>
      </c>
      <c r="U577" s="25" t="s">
        <v>721</v>
      </c>
      <c r="V577" s="25" t="s">
        <v>884</v>
      </c>
      <c r="W577" s="27" t="s">
        <v>2313</v>
      </c>
      <c r="X577" s="28" t="s">
        <v>2314</v>
      </c>
      <c r="Y577" s="28"/>
      <c r="Z577" s="29" t="s">
        <v>37</v>
      </c>
    </row>
    <row r="578" spans="1:26" ht="30" customHeight="1" thickBot="1" x14ac:dyDescent="0.25">
      <c r="A578" s="17">
        <f t="shared" si="17"/>
        <v>577</v>
      </c>
      <c r="B578" s="18" t="s">
        <v>25</v>
      </c>
      <c r="C578" s="19">
        <v>3320297649919</v>
      </c>
      <c r="D578" s="19">
        <v>479</v>
      </c>
      <c r="E578" s="20">
        <v>43126</v>
      </c>
      <c r="F578" s="20">
        <v>46778</v>
      </c>
      <c r="G578" s="21">
        <v>35492</v>
      </c>
      <c r="H578" s="22">
        <f t="shared" ref="H578:H641" ca="1" si="18">INT((TODAY()-G578)/365)</f>
        <v>29</v>
      </c>
      <c r="I578" s="19" t="s">
        <v>26</v>
      </c>
      <c r="J578" s="18" t="s">
        <v>27</v>
      </c>
      <c r="K578" s="18"/>
      <c r="L578" s="23" t="s">
        <v>934</v>
      </c>
      <c r="M578" s="23" t="s">
        <v>2315</v>
      </c>
      <c r="N578" s="23" t="s">
        <v>1499</v>
      </c>
      <c r="O578" s="18">
        <v>1</v>
      </c>
      <c r="P578" s="24"/>
      <c r="Q578" s="25">
        <v>43183</v>
      </c>
      <c r="R578" s="13">
        <v>0</v>
      </c>
      <c r="S578" s="26" t="str">
        <f>VLOOKUP(C578,'[1]Bazaar Salary'!$B$6:$J$1193,9,0)</f>
        <v>06480010051542840018</v>
      </c>
      <c r="T578" s="25" t="s">
        <v>32</v>
      </c>
      <c r="U578" s="25" t="s">
        <v>721</v>
      </c>
      <c r="V578" s="25" t="s">
        <v>1093</v>
      </c>
      <c r="W578" s="27" t="s">
        <v>2316</v>
      </c>
      <c r="X578" s="28" t="s">
        <v>2317</v>
      </c>
      <c r="Y578" s="28"/>
      <c r="Z578" s="29" t="s">
        <v>37</v>
      </c>
    </row>
    <row r="579" spans="1:26" ht="30" customHeight="1" thickBot="1" x14ac:dyDescent="0.25">
      <c r="A579" s="17">
        <f t="shared" si="17"/>
        <v>578</v>
      </c>
      <c r="B579" s="18" t="s">
        <v>25</v>
      </c>
      <c r="C579" s="19">
        <v>3320225069143</v>
      </c>
      <c r="D579" s="19">
        <v>1459</v>
      </c>
      <c r="E579" s="20">
        <v>42005</v>
      </c>
      <c r="F579" s="20">
        <v>45658</v>
      </c>
      <c r="G579" s="21">
        <v>35228</v>
      </c>
      <c r="H579" s="22">
        <f t="shared" ca="1" si="18"/>
        <v>30</v>
      </c>
      <c r="I579" s="19" t="s">
        <v>26</v>
      </c>
      <c r="J579" s="18" t="s">
        <v>27</v>
      </c>
      <c r="K579" s="18"/>
      <c r="L579" s="23" t="s">
        <v>2318</v>
      </c>
      <c r="M579" s="23" t="s">
        <v>2319</v>
      </c>
      <c r="N579" s="23" t="s">
        <v>1499</v>
      </c>
      <c r="O579" s="18">
        <v>1</v>
      </c>
      <c r="P579" s="24"/>
      <c r="Q579" s="25">
        <v>45748</v>
      </c>
      <c r="R579" s="13">
        <v>0</v>
      </c>
      <c r="S579" s="26" t="str">
        <f>VLOOKUP(C579,'[1]Bazaar Salary'!$B$6:$J$1193,9,0)</f>
        <v>00660010100458310019</v>
      </c>
      <c r="T579" s="25" t="s">
        <v>32</v>
      </c>
      <c r="U579" s="25" t="s">
        <v>721</v>
      </c>
      <c r="V579" s="25" t="s">
        <v>884</v>
      </c>
      <c r="W579" s="27" t="s">
        <v>2320</v>
      </c>
      <c r="X579" s="28" t="s">
        <v>2321</v>
      </c>
      <c r="Y579" s="28"/>
      <c r="Z579" s="29" t="s">
        <v>37</v>
      </c>
    </row>
    <row r="580" spans="1:26" ht="30" customHeight="1" thickBot="1" x14ac:dyDescent="0.25">
      <c r="A580" s="17">
        <f t="shared" ref="A580:A643" si="19">A579+1</f>
        <v>579</v>
      </c>
      <c r="B580" s="18" t="s">
        <v>25</v>
      </c>
      <c r="C580" s="19">
        <v>3320231111013</v>
      </c>
      <c r="D580" s="19">
        <v>1387</v>
      </c>
      <c r="E580" s="20">
        <v>44139</v>
      </c>
      <c r="F580" s="20">
        <v>47791</v>
      </c>
      <c r="G580" s="21">
        <v>37422</v>
      </c>
      <c r="H580" s="22">
        <f t="shared" ca="1" si="18"/>
        <v>24</v>
      </c>
      <c r="I580" s="19" t="s">
        <v>26</v>
      </c>
      <c r="J580" s="18" t="s">
        <v>27</v>
      </c>
      <c r="K580" s="18"/>
      <c r="L580" s="23" t="s">
        <v>2322</v>
      </c>
      <c r="M580" s="23" t="s">
        <v>711</v>
      </c>
      <c r="N580" s="23" t="s">
        <v>1499</v>
      </c>
      <c r="O580" s="18">
        <v>1</v>
      </c>
      <c r="P580" s="24"/>
      <c r="Q580" s="25">
        <v>45748</v>
      </c>
      <c r="R580" s="13">
        <v>0</v>
      </c>
      <c r="S580" s="26" t="str">
        <f>VLOOKUP(C580,'[1]Bazaar Salary'!$B$6:$J$1193,9,0)</f>
        <v>06480010100820580017</v>
      </c>
      <c r="T580" s="25" t="s">
        <v>32</v>
      </c>
      <c r="U580" s="25" t="s">
        <v>721</v>
      </c>
      <c r="V580" s="25" t="s">
        <v>320</v>
      </c>
      <c r="W580" s="27" t="s">
        <v>2323</v>
      </c>
      <c r="X580" s="28" t="s">
        <v>2324</v>
      </c>
      <c r="Y580" s="28"/>
      <c r="Z580" s="29" t="s">
        <v>37</v>
      </c>
    </row>
    <row r="581" spans="1:26" ht="30" customHeight="1" thickBot="1" x14ac:dyDescent="0.25">
      <c r="A581" s="17">
        <f t="shared" si="19"/>
        <v>580</v>
      </c>
      <c r="B581" s="18" t="s">
        <v>25</v>
      </c>
      <c r="C581" s="19">
        <v>3320268434327</v>
      </c>
      <c r="D581" s="19">
        <v>1381</v>
      </c>
      <c r="E581" s="20">
        <v>43298</v>
      </c>
      <c r="F581" s="20">
        <v>46951</v>
      </c>
      <c r="G581" s="21">
        <v>36647</v>
      </c>
      <c r="H581" s="22">
        <f t="shared" ca="1" si="18"/>
        <v>26</v>
      </c>
      <c r="I581" s="19" t="s">
        <v>26</v>
      </c>
      <c r="J581" s="18" t="s">
        <v>27</v>
      </c>
      <c r="K581" s="18"/>
      <c r="L581" s="23" t="s">
        <v>2325</v>
      </c>
      <c r="M581" s="23" t="s">
        <v>2326</v>
      </c>
      <c r="N581" s="23" t="s">
        <v>1499</v>
      </c>
      <c r="O581" s="18">
        <v>1</v>
      </c>
      <c r="P581" s="24"/>
      <c r="Q581" s="25">
        <v>45748</v>
      </c>
      <c r="R581" s="13">
        <v>0</v>
      </c>
      <c r="S581" s="26" t="str">
        <f>VLOOKUP(C581,'[1]Bazaar Salary'!$B$6:$J$1193,9,0)</f>
        <v>02630010100801530010</v>
      </c>
      <c r="T581" s="25" t="s">
        <v>32</v>
      </c>
      <c r="U581" s="25" t="s">
        <v>721</v>
      </c>
      <c r="V581" s="25" t="s">
        <v>320</v>
      </c>
      <c r="W581" s="27" t="s">
        <v>2327</v>
      </c>
      <c r="X581" s="28" t="s">
        <v>2328</v>
      </c>
      <c r="Y581" s="28"/>
      <c r="Z581" s="29" t="s">
        <v>37</v>
      </c>
    </row>
    <row r="582" spans="1:26" ht="30" customHeight="1" thickBot="1" x14ac:dyDescent="0.25">
      <c r="A582" s="17">
        <f t="shared" si="19"/>
        <v>581</v>
      </c>
      <c r="B582" s="18" t="s">
        <v>25</v>
      </c>
      <c r="C582" s="19">
        <v>3320299435395</v>
      </c>
      <c r="D582" s="19">
        <v>1247</v>
      </c>
      <c r="E582" s="20">
        <v>44776</v>
      </c>
      <c r="F582" s="20">
        <v>48429</v>
      </c>
      <c r="G582" s="21">
        <v>32642</v>
      </c>
      <c r="H582" s="22">
        <f t="shared" ca="1" si="18"/>
        <v>37</v>
      </c>
      <c r="I582" s="19" t="s">
        <v>26</v>
      </c>
      <c r="J582" s="18" t="s">
        <v>27</v>
      </c>
      <c r="K582" s="18"/>
      <c r="L582" s="23" t="s">
        <v>258</v>
      </c>
      <c r="M582" s="23" t="s">
        <v>748</v>
      </c>
      <c r="N582" s="23" t="s">
        <v>1499</v>
      </c>
      <c r="O582" s="18">
        <v>1</v>
      </c>
      <c r="P582" s="24"/>
      <c r="Q582" s="25">
        <v>44317</v>
      </c>
      <c r="R582" s="13">
        <v>0</v>
      </c>
      <c r="S582" s="26" t="str">
        <f>VLOOKUP(C582,'[1]Bazaar Salary'!$B$6:$J$1193,9,0)</f>
        <v>06480010074152200015</v>
      </c>
      <c r="T582" s="25" t="s">
        <v>32</v>
      </c>
      <c r="U582" s="25" t="s">
        <v>721</v>
      </c>
      <c r="V582" s="25" t="s">
        <v>1356</v>
      </c>
      <c r="W582" s="27" t="s">
        <v>2329</v>
      </c>
      <c r="X582" s="28" t="s">
        <v>2330</v>
      </c>
      <c r="Y582" s="28"/>
      <c r="Z582" s="29" t="s">
        <v>37</v>
      </c>
    </row>
    <row r="583" spans="1:26" ht="30" customHeight="1" thickBot="1" x14ac:dyDescent="0.25">
      <c r="A583" s="17">
        <f t="shared" si="19"/>
        <v>582</v>
      </c>
      <c r="B583" s="18" t="s">
        <v>25</v>
      </c>
      <c r="C583" s="19">
        <v>3210403926133</v>
      </c>
      <c r="D583" s="19">
        <v>1792</v>
      </c>
      <c r="E583" s="20">
        <v>44883</v>
      </c>
      <c r="F583" s="20">
        <v>48536</v>
      </c>
      <c r="G583" s="21">
        <v>35123</v>
      </c>
      <c r="H583" s="22">
        <f t="shared" ca="1" si="18"/>
        <v>30</v>
      </c>
      <c r="I583" s="19" t="s">
        <v>26</v>
      </c>
      <c r="J583" s="18" t="s">
        <v>27</v>
      </c>
      <c r="K583" s="18"/>
      <c r="L583" s="23" t="s">
        <v>2331</v>
      </c>
      <c r="M583" s="23" t="s">
        <v>2332</v>
      </c>
      <c r="N583" s="23" t="s">
        <v>1499</v>
      </c>
      <c r="O583" s="18">
        <v>1</v>
      </c>
      <c r="P583" s="24"/>
      <c r="Q583" s="25">
        <v>45748</v>
      </c>
      <c r="R583" s="13">
        <v>0</v>
      </c>
      <c r="S583" s="26" t="str">
        <f>VLOOKUP(C583,'[1]Bazaar Salary'!$B$6:$J$1193,9,0)</f>
        <v>52000020140775580012</v>
      </c>
      <c r="T583" s="25" t="s">
        <v>32</v>
      </c>
      <c r="U583" s="25" t="s">
        <v>721</v>
      </c>
      <c r="V583" s="25" t="s">
        <v>1093</v>
      </c>
      <c r="W583" s="27" t="s">
        <v>2333</v>
      </c>
      <c r="X583" s="28" t="s">
        <v>2334</v>
      </c>
      <c r="Y583" s="28"/>
      <c r="Z583" s="29" t="s">
        <v>37</v>
      </c>
    </row>
    <row r="584" spans="1:26" ht="30" customHeight="1" thickBot="1" x14ac:dyDescent="0.25">
      <c r="A584" s="17">
        <f t="shared" si="19"/>
        <v>583</v>
      </c>
      <c r="B584" s="18" t="s">
        <v>25</v>
      </c>
      <c r="C584" s="19">
        <v>3310263841469</v>
      </c>
      <c r="D584" s="19">
        <v>406</v>
      </c>
      <c r="E584" s="20">
        <v>44453</v>
      </c>
      <c r="F584" s="20">
        <v>48105</v>
      </c>
      <c r="G584" s="21">
        <v>34661</v>
      </c>
      <c r="H584" s="22">
        <f t="shared" ca="1" si="18"/>
        <v>31</v>
      </c>
      <c r="I584" s="19" t="s">
        <v>26</v>
      </c>
      <c r="J584" s="18" t="s">
        <v>27</v>
      </c>
      <c r="K584" s="18"/>
      <c r="L584" s="23" t="s">
        <v>2335</v>
      </c>
      <c r="M584" s="23" t="s">
        <v>2326</v>
      </c>
      <c r="N584" s="23" t="s">
        <v>1551</v>
      </c>
      <c r="O584" s="18">
        <v>1</v>
      </c>
      <c r="P584" s="24"/>
      <c r="Q584" s="25">
        <v>41664</v>
      </c>
      <c r="R584" s="13">
        <v>0</v>
      </c>
      <c r="S584" s="26" t="str">
        <f>VLOOKUP(C584,'[1]Bazaar Salary'!$B$6:$J$1193,9,0)</f>
        <v>04930010045908730010</v>
      </c>
      <c r="T584" s="25" t="s">
        <v>32</v>
      </c>
      <c r="U584" s="25" t="s">
        <v>219</v>
      </c>
      <c r="V584" s="25" t="s">
        <v>1356</v>
      </c>
      <c r="W584" s="27" t="s">
        <v>2336</v>
      </c>
      <c r="X584" s="28" t="s">
        <v>2337</v>
      </c>
      <c r="Y584" s="28"/>
      <c r="Z584" s="29" t="s">
        <v>37</v>
      </c>
    </row>
    <row r="585" spans="1:26" ht="30" customHeight="1" thickBot="1" x14ac:dyDescent="0.25">
      <c r="A585" s="17">
        <f t="shared" si="19"/>
        <v>584</v>
      </c>
      <c r="B585" s="18" t="s">
        <v>25</v>
      </c>
      <c r="C585" s="19">
        <v>3310018116819</v>
      </c>
      <c r="D585" s="19">
        <v>408</v>
      </c>
      <c r="E585" s="20">
        <v>42138</v>
      </c>
      <c r="F585" s="20">
        <v>45791</v>
      </c>
      <c r="G585" s="21">
        <v>27395</v>
      </c>
      <c r="H585" s="22">
        <f t="shared" ca="1" si="18"/>
        <v>51</v>
      </c>
      <c r="I585" s="19" t="s">
        <v>26</v>
      </c>
      <c r="J585" s="18" t="s">
        <v>27</v>
      </c>
      <c r="K585" s="18"/>
      <c r="L585" s="23" t="s">
        <v>2338</v>
      </c>
      <c r="M585" s="23" t="s">
        <v>2339</v>
      </c>
      <c r="N585" s="23" t="s">
        <v>1551</v>
      </c>
      <c r="O585" s="18">
        <v>1</v>
      </c>
      <c r="P585" s="24"/>
      <c r="Q585" s="25">
        <v>42767</v>
      </c>
      <c r="R585" s="13">
        <v>0</v>
      </c>
      <c r="S585" s="26" t="str">
        <f>VLOOKUP(C585,'[1]Bazaar Salary'!$B$6:$J$1193,9,0)</f>
        <v>00660010060006850014</v>
      </c>
      <c r="T585" s="25" t="s">
        <v>32</v>
      </c>
      <c r="U585" s="25" t="s">
        <v>219</v>
      </c>
      <c r="V585" s="25" t="s">
        <v>1535</v>
      </c>
      <c r="W585" s="27" t="s">
        <v>2340</v>
      </c>
      <c r="X585" s="28" t="s">
        <v>2341</v>
      </c>
      <c r="Y585" s="28"/>
      <c r="Z585" s="29" t="s">
        <v>37</v>
      </c>
    </row>
    <row r="586" spans="1:26" ht="30" customHeight="1" thickBot="1" x14ac:dyDescent="0.25">
      <c r="A586" s="17">
        <f t="shared" si="19"/>
        <v>585</v>
      </c>
      <c r="B586" s="18" t="s">
        <v>25</v>
      </c>
      <c r="C586" s="19">
        <v>3310001464245</v>
      </c>
      <c r="D586" s="19">
        <v>410</v>
      </c>
      <c r="E586" s="20">
        <v>42741</v>
      </c>
      <c r="F586" s="20">
        <v>46393</v>
      </c>
      <c r="G586" s="21">
        <v>31778</v>
      </c>
      <c r="H586" s="22">
        <f t="shared" ca="1" si="18"/>
        <v>39</v>
      </c>
      <c r="I586" s="18" t="s">
        <v>912</v>
      </c>
      <c r="J586" s="18" t="s">
        <v>27</v>
      </c>
      <c r="K586" s="18"/>
      <c r="L586" s="23" t="s">
        <v>2342</v>
      </c>
      <c r="M586" s="23" t="s">
        <v>2343</v>
      </c>
      <c r="N586" s="23" t="s">
        <v>1551</v>
      </c>
      <c r="O586" s="18">
        <v>1</v>
      </c>
      <c r="P586" s="24"/>
      <c r="Q586" s="25">
        <v>42767</v>
      </c>
      <c r="R586" s="13">
        <v>0</v>
      </c>
      <c r="S586" s="26" t="str">
        <f>VLOOKUP(C586,'[1]Bazaar Salary'!$B$6:$J$1193,9,0)</f>
        <v>04930010045923060011</v>
      </c>
      <c r="T586" s="25" t="s">
        <v>32</v>
      </c>
      <c r="U586" s="25" t="s">
        <v>219</v>
      </c>
      <c r="V586" s="25" t="s">
        <v>1093</v>
      </c>
      <c r="W586" s="27" t="s">
        <v>2344</v>
      </c>
      <c r="X586" s="28" t="s">
        <v>2345</v>
      </c>
      <c r="Y586" s="28"/>
      <c r="Z586" s="29" t="s">
        <v>37</v>
      </c>
    </row>
    <row r="587" spans="1:26" ht="30" customHeight="1" thickBot="1" x14ac:dyDescent="0.25">
      <c r="A587" s="17">
        <f t="shared" si="19"/>
        <v>586</v>
      </c>
      <c r="B587" s="18" t="s">
        <v>25</v>
      </c>
      <c r="C587" s="19">
        <v>3310007437631</v>
      </c>
      <c r="D587" s="19">
        <v>409</v>
      </c>
      <c r="E587" s="20">
        <v>44555</v>
      </c>
      <c r="F587" s="20">
        <v>48207</v>
      </c>
      <c r="G587" s="21">
        <v>29952</v>
      </c>
      <c r="H587" s="22">
        <f t="shared" ca="1" si="18"/>
        <v>44</v>
      </c>
      <c r="I587" s="19" t="s">
        <v>26</v>
      </c>
      <c r="J587" s="18" t="s">
        <v>27</v>
      </c>
      <c r="K587" s="18"/>
      <c r="L587" s="23" t="s">
        <v>2346</v>
      </c>
      <c r="M587" s="23" t="s">
        <v>313</v>
      </c>
      <c r="N587" s="23" t="s">
        <v>1551</v>
      </c>
      <c r="O587" s="18">
        <v>1</v>
      </c>
      <c r="P587" s="24"/>
      <c r="Q587" s="25">
        <v>42767</v>
      </c>
      <c r="R587" s="13">
        <v>0</v>
      </c>
      <c r="S587" s="26" t="str">
        <f>VLOOKUP(C587,'[1]Bazaar Salary'!$B$6:$J$1193,9,0)</f>
        <v>00660010060006840015</v>
      </c>
      <c r="T587" s="25" t="s">
        <v>32</v>
      </c>
      <c r="U587" s="25" t="s">
        <v>219</v>
      </c>
      <c r="V587" s="25" t="s">
        <v>1356</v>
      </c>
      <c r="W587" s="27" t="s">
        <v>2347</v>
      </c>
      <c r="X587" s="28" t="s">
        <v>2348</v>
      </c>
      <c r="Y587" s="28"/>
      <c r="Z587" s="29" t="s">
        <v>37</v>
      </c>
    </row>
    <row r="588" spans="1:26" ht="30" customHeight="1" thickBot="1" x14ac:dyDescent="0.25">
      <c r="A588" s="17">
        <f t="shared" si="19"/>
        <v>587</v>
      </c>
      <c r="B588" s="18" t="s">
        <v>25</v>
      </c>
      <c r="C588" s="19">
        <v>3310254059237</v>
      </c>
      <c r="D588" s="19">
        <v>557</v>
      </c>
      <c r="E588" s="20">
        <v>42929</v>
      </c>
      <c r="F588" s="20">
        <v>46581</v>
      </c>
      <c r="G588" s="21">
        <v>32948</v>
      </c>
      <c r="H588" s="22">
        <f t="shared" ca="1" si="18"/>
        <v>36</v>
      </c>
      <c r="I588" s="18" t="s">
        <v>912</v>
      </c>
      <c r="J588" s="18" t="s">
        <v>27</v>
      </c>
      <c r="K588" s="18"/>
      <c r="L588" s="23" t="s">
        <v>2349</v>
      </c>
      <c r="M588" s="23" t="s">
        <v>1791</v>
      </c>
      <c r="N588" s="23" t="s">
        <v>1488</v>
      </c>
      <c r="O588" s="18">
        <v>1</v>
      </c>
      <c r="P588" s="24"/>
      <c r="Q588" s="25">
        <v>43088</v>
      </c>
      <c r="R588" s="13">
        <v>0</v>
      </c>
      <c r="S588" s="26" t="str">
        <f>VLOOKUP(C588,'[1]Bazaar Salary'!$B$6:$J$1193,9,0)</f>
        <v>03530010046406800010</v>
      </c>
      <c r="T588" s="25" t="s">
        <v>32</v>
      </c>
      <c r="U588" s="25" t="s">
        <v>219</v>
      </c>
      <c r="V588" s="25" t="s">
        <v>1535</v>
      </c>
      <c r="W588" s="27" t="s">
        <v>2350</v>
      </c>
      <c r="X588" s="28" t="s">
        <v>2351</v>
      </c>
      <c r="Y588" s="28"/>
      <c r="Z588" s="29" t="s">
        <v>37</v>
      </c>
    </row>
    <row r="589" spans="1:26" ht="30" customHeight="1" thickBot="1" x14ac:dyDescent="0.25">
      <c r="A589" s="17">
        <f t="shared" si="19"/>
        <v>588</v>
      </c>
      <c r="B589" s="18" t="s">
        <v>25</v>
      </c>
      <c r="C589" s="19">
        <v>3110160990403</v>
      </c>
      <c r="D589" s="19">
        <v>1648</v>
      </c>
      <c r="E589" s="21">
        <v>45242</v>
      </c>
      <c r="F589" s="21">
        <v>48895</v>
      </c>
      <c r="G589" s="21">
        <v>38878</v>
      </c>
      <c r="H589" s="22">
        <f t="shared" ca="1" si="18"/>
        <v>20</v>
      </c>
      <c r="I589" s="18" t="s">
        <v>26</v>
      </c>
      <c r="J589" s="18" t="s">
        <v>27</v>
      </c>
      <c r="K589" s="23"/>
      <c r="L589" s="24" t="s">
        <v>1333</v>
      </c>
      <c r="M589" s="33" t="s">
        <v>2352</v>
      </c>
      <c r="N589" s="23" t="s">
        <v>1488</v>
      </c>
      <c r="O589" s="18">
        <v>1</v>
      </c>
      <c r="P589" s="24"/>
      <c r="Q589" s="25">
        <v>45748</v>
      </c>
      <c r="R589" s="13">
        <v>0</v>
      </c>
      <c r="S589" s="26" t="str">
        <f>VLOOKUP(C589,'[1]Bazaar Salary'!$B$6:$J$1193,9,0)</f>
        <v>00660010135001080016</v>
      </c>
      <c r="T589" s="25" t="s">
        <v>32</v>
      </c>
      <c r="U589" s="25" t="s">
        <v>219</v>
      </c>
      <c r="V589" s="25" t="s">
        <v>1093</v>
      </c>
      <c r="W589" s="33" t="s">
        <v>2353</v>
      </c>
      <c r="X589" s="28" t="s">
        <v>2354</v>
      </c>
      <c r="Y589" s="28"/>
      <c r="Z589" s="29" t="s">
        <v>37</v>
      </c>
    </row>
    <row r="590" spans="1:26" ht="30" customHeight="1" thickBot="1" x14ac:dyDescent="0.25">
      <c r="A590" s="17">
        <f t="shared" si="19"/>
        <v>589</v>
      </c>
      <c r="B590" s="18" t="s">
        <v>25</v>
      </c>
      <c r="C590" s="19">
        <v>3310009954195</v>
      </c>
      <c r="D590" s="19">
        <v>550</v>
      </c>
      <c r="E590" s="20">
        <v>42198</v>
      </c>
      <c r="F590" s="20">
        <v>45851</v>
      </c>
      <c r="G590" s="21">
        <v>30392</v>
      </c>
      <c r="H590" s="22">
        <f t="shared" ca="1" si="18"/>
        <v>43</v>
      </c>
      <c r="I590" s="18" t="s">
        <v>912</v>
      </c>
      <c r="J590" s="18" t="s">
        <v>27</v>
      </c>
      <c r="K590" s="18"/>
      <c r="L590" s="23" t="s">
        <v>1557</v>
      </c>
      <c r="M590" s="23" t="s">
        <v>2355</v>
      </c>
      <c r="N590" s="23" t="s">
        <v>1488</v>
      </c>
      <c r="O590" s="18">
        <v>1</v>
      </c>
      <c r="P590" s="24"/>
      <c r="Q590" s="25">
        <v>42767</v>
      </c>
      <c r="R590" s="13">
        <v>0</v>
      </c>
      <c r="S590" s="26" t="str">
        <f>VLOOKUP(C590,'[1]Bazaar Salary'!$B$6:$J$1193,9,0)</f>
        <v>04660010045942060013</v>
      </c>
      <c r="T590" s="25" t="s">
        <v>32</v>
      </c>
      <c r="U590" s="25" t="s">
        <v>219</v>
      </c>
      <c r="V590" s="25" t="s">
        <v>1093</v>
      </c>
      <c r="W590" s="27" t="s">
        <v>2356</v>
      </c>
      <c r="X590" s="28" t="s">
        <v>2357</v>
      </c>
      <c r="Y590" s="28"/>
      <c r="Z590" s="29" t="s">
        <v>37</v>
      </c>
    </row>
    <row r="591" spans="1:26" ht="30" customHeight="1" thickBot="1" x14ac:dyDescent="0.25">
      <c r="A591" s="17">
        <f t="shared" si="19"/>
        <v>590</v>
      </c>
      <c r="B591" s="18" t="s">
        <v>25</v>
      </c>
      <c r="C591" s="19">
        <v>3310279378317</v>
      </c>
      <c r="D591" s="19">
        <v>551</v>
      </c>
      <c r="E591" s="20">
        <v>43733</v>
      </c>
      <c r="F591" s="20">
        <v>47386</v>
      </c>
      <c r="G591" s="21">
        <v>32509</v>
      </c>
      <c r="H591" s="22">
        <f t="shared" ca="1" si="18"/>
        <v>37</v>
      </c>
      <c r="I591" s="18" t="s">
        <v>912</v>
      </c>
      <c r="J591" s="18" t="s">
        <v>27</v>
      </c>
      <c r="K591" s="18"/>
      <c r="L591" s="23" t="s">
        <v>2358</v>
      </c>
      <c r="M591" s="23" t="s">
        <v>2359</v>
      </c>
      <c r="N591" s="23" t="s">
        <v>1488</v>
      </c>
      <c r="O591" s="18">
        <v>1</v>
      </c>
      <c r="P591" s="24"/>
      <c r="Q591" s="25">
        <v>42767</v>
      </c>
      <c r="R591" s="13">
        <v>0</v>
      </c>
      <c r="S591" s="26" t="str">
        <f>VLOOKUP(C591,'[1]Bazaar Salary'!$B$6:$J$1193,9,0)</f>
        <v>00660010060006880011</v>
      </c>
      <c r="T591" s="25" t="s">
        <v>32</v>
      </c>
      <c r="U591" s="25" t="s">
        <v>219</v>
      </c>
      <c r="V591" s="25" t="s">
        <v>1093</v>
      </c>
      <c r="W591" s="27" t="s">
        <v>2360</v>
      </c>
      <c r="X591" s="28" t="s">
        <v>2361</v>
      </c>
      <c r="Y591" s="28"/>
      <c r="Z591" s="29" t="s">
        <v>37</v>
      </c>
    </row>
    <row r="592" spans="1:26" ht="30" customHeight="1" thickBot="1" x14ac:dyDescent="0.25">
      <c r="A592" s="17">
        <f t="shared" si="19"/>
        <v>591</v>
      </c>
      <c r="B592" s="18" t="s">
        <v>25</v>
      </c>
      <c r="C592" s="19">
        <v>3310234835711</v>
      </c>
      <c r="D592" s="19">
        <v>549</v>
      </c>
      <c r="E592" s="20">
        <v>45102</v>
      </c>
      <c r="F592" s="20">
        <v>48755</v>
      </c>
      <c r="G592" s="21">
        <v>33970</v>
      </c>
      <c r="H592" s="22">
        <f t="shared" ca="1" si="18"/>
        <v>33</v>
      </c>
      <c r="I592" s="18" t="s">
        <v>912</v>
      </c>
      <c r="J592" s="18" t="s">
        <v>27</v>
      </c>
      <c r="K592" s="18"/>
      <c r="L592" s="23" t="s">
        <v>2362</v>
      </c>
      <c r="M592" s="23" t="s">
        <v>2064</v>
      </c>
      <c r="N592" s="23" t="s">
        <v>1488</v>
      </c>
      <c r="O592" s="18">
        <v>1</v>
      </c>
      <c r="P592" s="24"/>
      <c r="Q592" s="25">
        <v>42767</v>
      </c>
      <c r="R592" s="13">
        <v>0</v>
      </c>
      <c r="S592" s="26" t="str">
        <f>VLOOKUP(C592,'[1]Bazaar Salary'!$B$6:$J$1193,9,0)</f>
        <v>08990010032653960014</v>
      </c>
      <c r="T592" s="25" t="s">
        <v>32</v>
      </c>
      <c r="U592" s="25" t="s">
        <v>219</v>
      </c>
      <c r="V592" s="25" t="s">
        <v>1093</v>
      </c>
      <c r="W592" s="27" t="s">
        <v>2363</v>
      </c>
      <c r="X592" s="28" t="s">
        <v>2364</v>
      </c>
      <c r="Y592" s="28"/>
      <c r="Z592" s="29" t="s">
        <v>37</v>
      </c>
    </row>
    <row r="593" spans="1:26" ht="30" customHeight="1" thickBot="1" x14ac:dyDescent="0.25">
      <c r="A593" s="17">
        <f t="shared" si="19"/>
        <v>592</v>
      </c>
      <c r="B593" s="18" t="s">
        <v>25</v>
      </c>
      <c r="C593" s="19">
        <v>3310075045466</v>
      </c>
      <c r="D593" s="19">
        <v>553</v>
      </c>
      <c r="E593" s="20">
        <v>44060</v>
      </c>
      <c r="F593" s="20">
        <v>47712</v>
      </c>
      <c r="G593" s="21">
        <v>25569</v>
      </c>
      <c r="H593" s="22">
        <f t="shared" ca="1" si="18"/>
        <v>56</v>
      </c>
      <c r="I593" s="18" t="s">
        <v>912</v>
      </c>
      <c r="J593" s="18" t="s">
        <v>66</v>
      </c>
      <c r="K593" s="18"/>
      <c r="L593" s="23" t="s">
        <v>2365</v>
      </c>
      <c r="M593" s="23" t="s">
        <v>2366</v>
      </c>
      <c r="N593" s="23" t="s">
        <v>1488</v>
      </c>
      <c r="O593" s="18">
        <v>1</v>
      </c>
      <c r="P593" s="24"/>
      <c r="Q593" s="25">
        <v>42767</v>
      </c>
      <c r="R593" s="13">
        <v>0</v>
      </c>
      <c r="S593" s="26" t="str">
        <f>VLOOKUP(C593,'[1]Bazaar Salary'!$B$6:$J$1193,9,0)</f>
        <v>00660010060006900011</v>
      </c>
      <c r="T593" s="25" t="s">
        <v>32</v>
      </c>
      <c r="U593" s="25" t="s">
        <v>219</v>
      </c>
      <c r="V593" s="25" t="s">
        <v>1535</v>
      </c>
      <c r="W593" s="27" t="s">
        <v>2367</v>
      </c>
      <c r="X593" s="28" t="s">
        <v>2368</v>
      </c>
      <c r="Y593" s="28"/>
      <c r="Z593" s="29" t="s">
        <v>37</v>
      </c>
    </row>
    <row r="594" spans="1:26" ht="30" customHeight="1" thickBot="1" x14ac:dyDescent="0.25">
      <c r="A594" s="17">
        <f t="shared" si="19"/>
        <v>593</v>
      </c>
      <c r="B594" s="18" t="s">
        <v>25</v>
      </c>
      <c r="C594" s="19">
        <v>3110415972137</v>
      </c>
      <c r="D594" s="19">
        <v>545</v>
      </c>
      <c r="E594" s="20">
        <v>43498</v>
      </c>
      <c r="F594" s="20" t="s">
        <v>196</v>
      </c>
      <c r="G594" s="21">
        <v>31486</v>
      </c>
      <c r="H594" s="22">
        <f t="shared" ca="1" si="18"/>
        <v>40</v>
      </c>
      <c r="I594" s="19" t="s">
        <v>26</v>
      </c>
      <c r="J594" s="18" t="s">
        <v>27</v>
      </c>
      <c r="K594" s="18" t="s">
        <v>197</v>
      </c>
      <c r="L594" s="23" t="s">
        <v>2369</v>
      </c>
      <c r="M594" s="23" t="s">
        <v>2370</v>
      </c>
      <c r="N594" s="23" t="s">
        <v>1488</v>
      </c>
      <c r="O594" s="18">
        <v>1</v>
      </c>
      <c r="P594" s="24"/>
      <c r="Q594" s="25">
        <v>42767</v>
      </c>
      <c r="R594" s="13">
        <v>0</v>
      </c>
      <c r="S594" s="26" t="str">
        <f>VLOOKUP(C594,'[1]Bazaar Salary'!$B$6:$J$1193,9,0)</f>
        <v>04930010045912190019</v>
      </c>
      <c r="T594" s="25" t="s">
        <v>32</v>
      </c>
      <c r="U594" s="25" t="s">
        <v>219</v>
      </c>
      <c r="V594" s="25" t="s">
        <v>1356</v>
      </c>
      <c r="W594" s="27" t="s">
        <v>2371</v>
      </c>
      <c r="X594" s="28" t="s">
        <v>2372</v>
      </c>
      <c r="Y594" s="28"/>
      <c r="Z594" s="29" t="s">
        <v>37</v>
      </c>
    </row>
    <row r="595" spans="1:26" ht="30" customHeight="1" thickBot="1" x14ac:dyDescent="0.25">
      <c r="A595" s="17">
        <f t="shared" si="19"/>
        <v>594</v>
      </c>
      <c r="B595" s="18" t="s">
        <v>25</v>
      </c>
      <c r="C595" s="19">
        <v>3330120512246</v>
      </c>
      <c r="D595" s="19">
        <v>552</v>
      </c>
      <c r="E595" s="20">
        <v>44898</v>
      </c>
      <c r="F595" s="20">
        <v>48551</v>
      </c>
      <c r="G595" s="21">
        <v>28672</v>
      </c>
      <c r="H595" s="22">
        <f t="shared" ca="1" si="18"/>
        <v>47</v>
      </c>
      <c r="I595" s="18" t="s">
        <v>912</v>
      </c>
      <c r="J595" s="18" t="s">
        <v>66</v>
      </c>
      <c r="K595" s="18"/>
      <c r="L595" s="23" t="s">
        <v>2373</v>
      </c>
      <c r="M595" s="23" t="s">
        <v>2374</v>
      </c>
      <c r="N595" s="23" t="s">
        <v>1488</v>
      </c>
      <c r="O595" s="18">
        <v>1</v>
      </c>
      <c r="P595" s="24"/>
      <c r="Q595" s="25">
        <v>42767</v>
      </c>
      <c r="R595" s="13">
        <v>0</v>
      </c>
      <c r="S595" s="26" t="str">
        <f>VLOOKUP(C595,'[1]Bazaar Salary'!$B$6:$J$1193,9,0)</f>
        <v>00660010060006890010</v>
      </c>
      <c r="T595" s="25" t="s">
        <v>32</v>
      </c>
      <c r="U595" s="25" t="s">
        <v>219</v>
      </c>
      <c r="V595" s="25" t="s">
        <v>1093</v>
      </c>
      <c r="W595" s="27" t="s">
        <v>2375</v>
      </c>
      <c r="X595" s="28" t="s">
        <v>2376</v>
      </c>
      <c r="Y595" s="28"/>
      <c r="Z595" s="29" t="s">
        <v>37</v>
      </c>
    </row>
    <row r="596" spans="1:26" ht="30" customHeight="1" thickBot="1" x14ac:dyDescent="0.25">
      <c r="A596" s="17">
        <f t="shared" si="19"/>
        <v>595</v>
      </c>
      <c r="B596" s="18" t="s">
        <v>25</v>
      </c>
      <c r="C596" s="19">
        <v>3640124037125</v>
      </c>
      <c r="D596" s="19">
        <v>1643</v>
      </c>
      <c r="E596" s="21">
        <v>43292</v>
      </c>
      <c r="F596" s="21">
        <v>46945</v>
      </c>
      <c r="G596" s="21">
        <v>32143</v>
      </c>
      <c r="H596" s="22">
        <f t="shared" ca="1" si="18"/>
        <v>38</v>
      </c>
      <c r="I596" s="18" t="s">
        <v>26</v>
      </c>
      <c r="J596" s="18" t="s">
        <v>27</v>
      </c>
      <c r="K596" s="23"/>
      <c r="L596" s="24" t="s">
        <v>654</v>
      </c>
      <c r="M596" s="33" t="s">
        <v>409</v>
      </c>
      <c r="N596" s="23" t="s">
        <v>1488</v>
      </c>
      <c r="O596" s="18">
        <v>1</v>
      </c>
      <c r="P596" s="24"/>
      <c r="Q596" s="25">
        <v>45748</v>
      </c>
      <c r="R596" s="13">
        <v>0</v>
      </c>
      <c r="S596" s="26" t="str">
        <f>VLOOKUP(C596,'[1]Bazaar Salary'!$B$6:$J$1193,9,0)</f>
        <v>00660010134086580014</v>
      </c>
      <c r="T596" s="25" t="s">
        <v>32</v>
      </c>
      <c r="U596" s="25" t="s">
        <v>219</v>
      </c>
      <c r="V596" s="25" t="s">
        <v>1093</v>
      </c>
      <c r="W596" s="33" t="s">
        <v>2377</v>
      </c>
      <c r="X596" s="28" t="s">
        <v>2378</v>
      </c>
      <c r="Y596" s="28"/>
      <c r="Z596" s="29" t="s">
        <v>37</v>
      </c>
    </row>
    <row r="597" spans="1:26" ht="30" customHeight="1" thickBot="1" x14ac:dyDescent="0.25">
      <c r="A597" s="17">
        <f t="shared" si="19"/>
        <v>596</v>
      </c>
      <c r="B597" s="18" t="s">
        <v>25</v>
      </c>
      <c r="C597" s="19">
        <v>3310282816737</v>
      </c>
      <c r="D597" s="19">
        <v>404</v>
      </c>
      <c r="E597" s="20">
        <v>44734</v>
      </c>
      <c r="F597" s="20">
        <v>48387</v>
      </c>
      <c r="G597" s="21">
        <v>33598</v>
      </c>
      <c r="H597" s="22">
        <f t="shared" ca="1" si="18"/>
        <v>34</v>
      </c>
      <c r="I597" s="19" t="s">
        <v>26</v>
      </c>
      <c r="J597" s="18" t="s">
        <v>27</v>
      </c>
      <c r="K597" s="18"/>
      <c r="L597" s="23" t="s">
        <v>2379</v>
      </c>
      <c r="M597" s="23" t="s">
        <v>768</v>
      </c>
      <c r="N597" s="23" t="s">
        <v>1499</v>
      </c>
      <c r="O597" s="18">
        <v>1</v>
      </c>
      <c r="P597" s="24"/>
      <c r="Q597" s="25">
        <v>42767</v>
      </c>
      <c r="R597" s="13">
        <v>0</v>
      </c>
      <c r="S597" s="26" t="str">
        <f>VLOOKUP(C597,'[1]Bazaar Salary'!$B$6:$J$1193,9,0)</f>
        <v>00660010060006660018</v>
      </c>
      <c r="T597" s="25" t="s">
        <v>32</v>
      </c>
      <c r="U597" s="25" t="s">
        <v>219</v>
      </c>
      <c r="V597" s="25" t="s">
        <v>1356</v>
      </c>
      <c r="W597" s="27" t="s">
        <v>2380</v>
      </c>
      <c r="X597" s="28" t="s">
        <v>2381</v>
      </c>
      <c r="Y597" s="28"/>
      <c r="Z597" s="29" t="s">
        <v>37</v>
      </c>
    </row>
    <row r="598" spans="1:26" ht="30" customHeight="1" thickBot="1" x14ac:dyDescent="0.25">
      <c r="A598" s="17">
        <f t="shared" si="19"/>
        <v>597</v>
      </c>
      <c r="B598" s="18" t="s">
        <v>25</v>
      </c>
      <c r="C598" s="19">
        <v>3840307875637</v>
      </c>
      <c r="D598" s="19">
        <v>1230</v>
      </c>
      <c r="E598" s="20">
        <v>43641</v>
      </c>
      <c r="F598" s="20">
        <v>47294</v>
      </c>
      <c r="G598" s="21">
        <v>29348</v>
      </c>
      <c r="H598" s="22">
        <f t="shared" ca="1" si="18"/>
        <v>46</v>
      </c>
      <c r="I598" s="19" t="s">
        <v>26</v>
      </c>
      <c r="J598" s="18" t="s">
        <v>27</v>
      </c>
      <c r="K598" s="18"/>
      <c r="L598" s="23" t="s">
        <v>2382</v>
      </c>
      <c r="M598" s="23" t="s">
        <v>68</v>
      </c>
      <c r="N598" s="23" t="s">
        <v>1499</v>
      </c>
      <c r="O598" s="18">
        <v>1</v>
      </c>
      <c r="P598" s="24"/>
      <c r="Q598" s="25">
        <v>44317</v>
      </c>
      <c r="R598" s="13">
        <v>0</v>
      </c>
      <c r="S598" s="26" t="str">
        <f>VLOOKUP(C598,'[1]Bazaar Salary'!$B$6:$J$1193,9,0)</f>
        <v>00660010009570100026</v>
      </c>
      <c r="T598" s="25" t="s">
        <v>32</v>
      </c>
      <c r="U598" s="25" t="s">
        <v>219</v>
      </c>
      <c r="V598" s="25" t="s">
        <v>1356</v>
      </c>
      <c r="W598" s="27" t="s">
        <v>2383</v>
      </c>
      <c r="X598" s="28" t="s">
        <v>2384</v>
      </c>
      <c r="Y598" s="28"/>
      <c r="Z598" s="29" t="s">
        <v>37</v>
      </c>
    </row>
    <row r="599" spans="1:26" ht="30" customHeight="1" thickBot="1" x14ac:dyDescent="0.25">
      <c r="A599" s="17">
        <f t="shared" si="19"/>
        <v>598</v>
      </c>
      <c r="B599" s="18" t="s">
        <v>25</v>
      </c>
      <c r="C599" s="19">
        <v>3310067941203</v>
      </c>
      <c r="D599" s="19">
        <v>403</v>
      </c>
      <c r="E599" s="20">
        <v>42024</v>
      </c>
      <c r="F599" s="20">
        <v>45677</v>
      </c>
      <c r="G599" s="21">
        <v>30848</v>
      </c>
      <c r="H599" s="22">
        <f t="shared" ca="1" si="18"/>
        <v>42</v>
      </c>
      <c r="I599" s="19" t="s">
        <v>26</v>
      </c>
      <c r="J599" s="18" t="s">
        <v>27</v>
      </c>
      <c r="K599" s="18"/>
      <c r="L599" s="23" t="s">
        <v>2385</v>
      </c>
      <c r="M599" s="23" t="s">
        <v>511</v>
      </c>
      <c r="N599" s="23" t="s">
        <v>1499</v>
      </c>
      <c r="O599" s="18">
        <v>1</v>
      </c>
      <c r="P599" s="24"/>
      <c r="Q599" s="25">
        <v>42767</v>
      </c>
      <c r="R599" s="13">
        <v>0</v>
      </c>
      <c r="S599" s="26" t="str">
        <f>VLOOKUP(C599,'[1]Bazaar Salary'!$B$6:$J$1193,9,0)</f>
        <v>00660010060006630010</v>
      </c>
      <c r="T599" s="25" t="s">
        <v>32</v>
      </c>
      <c r="U599" s="25" t="s">
        <v>219</v>
      </c>
      <c r="V599" s="25" t="s">
        <v>1356</v>
      </c>
      <c r="W599" s="27" t="s">
        <v>2386</v>
      </c>
      <c r="X599" s="28" t="s">
        <v>2387</v>
      </c>
      <c r="Y599" s="28"/>
      <c r="Z599" s="29" t="s">
        <v>37</v>
      </c>
    </row>
    <row r="600" spans="1:26" ht="30" customHeight="1" thickBot="1" x14ac:dyDescent="0.25">
      <c r="A600" s="17">
        <f t="shared" si="19"/>
        <v>599</v>
      </c>
      <c r="B600" s="18" t="s">
        <v>25</v>
      </c>
      <c r="C600" s="19">
        <v>3530321114015</v>
      </c>
      <c r="D600" s="19">
        <v>153</v>
      </c>
      <c r="E600" s="20">
        <v>44600</v>
      </c>
      <c r="F600" s="20">
        <v>48252</v>
      </c>
      <c r="G600" s="21">
        <v>29412</v>
      </c>
      <c r="H600" s="22">
        <f t="shared" ca="1" si="18"/>
        <v>45</v>
      </c>
      <c r="I600" s="19" t="s">
        <v>26</v>
      </c>
      <c r="J600" s="18" t="s">
        <v>27</v>
      </c>
      <c r="K600" s="18"/>
      <c r="L600" s="23" t="s">
        <v>2388</v>
      </c>
      <c r="M600" s="23" t="s">
        <v>2389</v>
      </c>
      <c r="N600" s="23" t="s">
        <v>1499</v>
      </c>
      <c r="O600" s="18">
        <v>1</v>
      </c>
      <c r="P600" s="24"/>
      <c r="Q600" s="25">
        <v>42309</v>
      </c>
      <c r="R600" s="13">
        <v>0</v>
      </c>
      <c r="S600" s="26" t="str">
        <f>VLOOKUP(C600,'[1]Bazaar Salary'!$B$6:$J$1193,9,0)</f>
        <v>03480010017881870013</v>
      </c>
      <c r="T600" s="25" t="s">
        <v>32</v>
      </c>
      <c r="U600" s="25" t="s">
        <v>219</v>
      </c>
      <c r="V600" s="25" t="s">
        <v>1356</v>
      </c>
      <c r="W600" s="27" t="s">
        <v>2390</v>
      </c>
      <c r="X600" s="28" t="s">
        <v>2391</v>
      </c>
      <c r="Y600" s="28"/>
      <c r="Z600" s="29" t="s">
        <v>37</v>
      </c>
    </row>
    <row r="601" spans="1:26" ht="30" customHeight="1" thickBot="1" x14ac:dyDescent="0.25">
      <c r="A601" s="17">
        <f t="shared" si="19"/>
        <v>600</v>
      </c>
      <c r="B601" s="18" t="s">
        <v>25</v>
      </c>
      <c r="C601" s="19">
        <v>3610218850889</v>
      </c>
      <c r="D601" s="19">
        <v>1476</v>
      </c>
      <c r="E601" s="20">
        <v>44162</v>
      </c>
      <c r="F601" s="20">
        <v>47814</v>
      </c>
      <c r="G601" s="21">
        <v>29952</v>
      </c>
      <c r="H601" s="22">
        <f t="shared" ca="1" si="18"/>
        <v>44</v>
      </c>
      <c r="I601" s="19" t="s">
        <v>26</v>
      </c>
      <c r="J601" s="18" t="s">
        <v>27</v>
      </c>
      <c r="K601" s="18"/>
      <c r="L601" s="23" t="s">
        <v>2392</v>
      </c>
      <c r="M601" s="23" t="s">
        <v>2393</v>
      </c>
      <c r="N601" s="23" t="s">
        <v>1499</v>
      </c>
      <c r="O601" s="18">
        <v>1</v>
      </c>
      <c r="P601" s="24"/>
      <c r="Q601" s="25">
        <v>45748</v>
      </c>
      <c r="R601" s="13">
        <v>0</v>
      </c>
      <c r="S601" s="26" t="str">
        <f>VLOOKUP(C601,'[1]Bazaar Salary'!$B$6:$J$1193,9,0)</f>
        <v>00660010032581220020</v>
      </c>
      <c r="T601" s="25" t="s">
        <v>32</v>
      </c>
      <c r="U601" s="25" t="s">
        <v>219</v>
      </c>
      <c r="V601" s="25" t="s">
        <v>2394</v>
      </c>
      <c r="W601" s="27" t="s">
        <v>2395</v>
      </c>
      <c r="X601" s="28" t="s">
        <v>2396</v>
      </c>
      <c r="Y601" s="28"/>
      <c r="Z601" s="29" t="s">
        <v>37</v>
      </c>
    </row>
    <row r="602" spans="1:26" ht="30" customHeight="1" thickBot="1" x14ac:dyDescent="0.25">
      <c r="A602" s="17">
        <f t="shared" si="19"/>
        <v>601</v>
      </c>
      <c r="B602" s="18" t="s">
        <v>25</v>
      </c>
      <c r="C602" s="19">
        <v>3310009603219</v>
      </c>
      <c r="D602" s="19">
        <v>401</v>
      </c>
      <c r="E602" s="20">
        <v>43676</v>
      </c>
      <c r="F602" s="20">
        <v>47329</v>
      </c>
      <c r="G602" s="21">
        <v>28592</v>
      </c>
      <c r="H602" s="22">
        <f t="shared" ca="1" si="18"/>
        <v>48</v>
      </c>
      <c r="I602" s="19" t="s">
        <v>26</v>
      </c>
      <c r="J602" s="18" t="s">
        <v>27</v>
      </c>
      <c r="K602" s="18"/>
      <c r="L602" s="23" t="s">
        <v>2397</v>
      </c>
      <c r="M602" s="23" t="s">
        <v>1255</v>
      </c>
      <c r="N602" s="23" t="s">
        <v>1499</v>
      </c>
      <c r="O602" s="18">
        <v>1</v>
      </c>
      <c r="P602" s="24"/>
      <c r="Q602" s="25">
        <v>41062</v>
      </c>
      <c r="R602" s="13">
        <v>0</v>
      </c>
      <c r="S602" s="26" t="str">
        <f>VLOOKUP(C602,'[1]Bazaar Salary'!$B$6:$J$1193,9,0)</f>
        <v>00660010060006670017</v>
      </c>
      <c r="T602" s="25" t="s">
        <v>32</v>
      </c>
      <c r="U602" s="25" t="s">
        <v>219</v>
      </c>
      <c r="V602" s="25" t="s">
        <v>1356</v>
      </c>
      <c r="W602" s="27" t="s">
        <v>2398</v>
      </c>
      <c r="X602" s="28" t="s">
        <v>2399</v>
      </c>
      <c r="Y602" s="28"/>
      <c r="Z602" s="29" t="s">
        <v>37</v>
      </c>
    </row>
    <row r="603" spans="1:26" ht="30" customHeight="1" thickBot="1" x14ac:dyDescent="0.25">
      <c r="A603" s="17">
        <f t="shared" si="19"/>
        <v>602</v>
      </c>
      <c r="B603" s="18" t="s">
        <v>25</v>
      </c>
      <c r="C603" s="19">
        <v>3330103831881</v>
      </c>
      <c r="D603" s="19">
        <v>405</v>
      </c>
      <c r="E603" s="20">
        <v>42531</v>
      </c>
      <c r="F603" s="20">
        <v>46183</v>
      </c>
      <c r="G603" s="21">
        <v>28491</v>
      </c>
      <c r="H603" s="22">
        <f t="shared" ca="1" si="18"/>
        <v>48</v>
      </c>
      <c r="I603" s="19" t="s">
        <v>26</v>
      </c>
      <c r="J603" s="18" t="s">
        <v>27</v>
      </c>
      <c r="K603" s="18"/>
      <c r="L603" s="23" t="s">
        <v>2400</v>
      </c>
      <c r="M603" s="23" t="s">
        <v>1258</v>
      </c>
      <c r="N603" s="23" t="s">
        <v>1499</v>
      </c>
      <c r="O603" s="18">
        <v>1</v>
      </c>
      <c r="P603" s="24"/>
      <c r="Q603" s="25">
        <v>42767</v>
      </c>
      <c r="R603" s="13">
        <v>0</v>
      </c>
      <c r="S603" s="26" t="str">
        <f>VLOOKUP(C603,'[1]Bazaar Salary'!$B$6:$J$1193,9,0)</f>
        <v>04980010020044070012</v>
      </c>
      <c r="T603" s="25" t="s">
        <v>32</v>
      </c>
      <c r="U603" s="25" t="s">
        <v>219</v>
      </c>
      <c r="V603" s="25" t="s">
        <v>1356</v>
      </c>
      <c r="W603" s="27" t="s">
        <v>2401</v>
      </c>
      <c r="X603" s="28" t="s">
        <v>2402</v>
      </c>
      <c r="Y603" s="28"/>
      <c r="Z603" s="29" t="s">
        <v>37</v>
      </c>
    </row>
    <row r="604" spans="1:26" ht="30" customHeight="1" thickBot="1" x14ac:dyDescent="0.25">
      <c r="A604" s="17">
        <f t="shared" si="19"/>
        <v>603</v>
      </c>
      <c r="B604" s="18" t="s">
        <v>25</v>
      </c>
      <c r="C604" s="19">
        <v>3110180946267</v>
      </c>
      <c r="D604" s="19"/>
      <c r="E604" s="20">
        <v>44971</v>
      </c>
      <c r="F604" s="20">
        <v>48624</v>
      </c>
      <c r="G604" s="21">
        <v>38148</v>
      </c>
      <c r="H604" s="22">
        <f t="shared" ca="1" si="18"/>
        <v>22</v>
      </c>
      <c r="I604" s="19" t="s">
        <v>26</v>
      </c>
      <c r="J604" s="18" t="s">
        <v>27</v>
      </c>
      <c r="K604" s="18"/>
      <c r="L604" s="23" t="s">
        <v>1085</v>
      </c>
      <c r="M604" s="23" t="s">
        <v>1122</v>
      </c>
      <c r="N604" s="23" t="s">
        <v>1499</v>
      </c>
      <c r="O604" s="18">
        <v>1</v>
      </c>
      <c r="P604" s="24"/>
      <c r="Q604" s="25">
        <v>45748</v>
      </c>
      <c r="R604" s="13">
        <v>0</v>
      </c>
      <c r="S604" s="26" t="str">
        <f>VLOOKUP(C604,'[1]Bazaar Salary'!$B$6:$J$1193,9,0)</f>
        <v>00940010138289300014</v>
      </c>
      <c r="T604" s="25" t="s">
        <v>32</v>
      </c>
      <c r="U604" s="25" t="s">
        <v>219</v>
      </c>
      <c r="V604" s="25" t="s">
        <v>884</v>
      </c>
      <c r="W604" s="27" t="s">
        <v>1123</v>
      </c>
      <c r="X604" s="28" t="s">
        <v>2403</v>
      </c>
      <c r="Y604" s="28"/>
      <c r="Z604" s="29" t="s">
        <v>37</v>
      </c>
    </row>
    <row r="605" spans="1:26" ht="30" customHeight="1" thickBot="1" x14ac:dyDescent="0.25">
      <c r="A605" s="17">
        <f t="shared" si="19"/>
        <v>604</v>
      </c>
      <c r="B605" s="18" t="s">
        <v>25</v>
      </c>
      <c r="C605" s="19">
        <v>3320214623773</v>
      </c>
      <c r="D605" s="19">
        <v>1219</v>
      </c>
      <c r="E605" s="20">
        <v>44725</v>
      </c>
      <c r="F605" s="20">
        <v>48378</v>
      </c>
      <c r="G605" s="21">
        <v>34335</v>
      </c>
      <c r="H605" s="22">
        <f t="shared" ca="1" si="18"/>
        <v>32</v>
      </c>
      <c r="I605" s="19" t="s">
        <v>26</v>
      </c>
      <c r="J605" s="18" t="s">
        <v>27</v>
      </c>
      <c r="K605" s="18"/>
      <c r="L605" s="23" t="s">
        <v>1133</v>
      </c>
      <c r="M605" s="23" t="s">
        <v>2404</v>
      </c>
      <c r="N605" s="23" t="s">
        <v>1499</v>
      </c>
      <c r="O605" s="18">
        <v>1</v>
      </c>
      <c r="P605" s="24"/>
      <c r="Q605" s="25">
        <v>44317</v>
      </c>
      <c r="R605" s="13">
        <v>0</v>
      </c>
      <c r="S605" s="26" t="str">
        <f>VLOOKUP(C605,'[1]Bazaar Salary'!$B$6:$J$1193,9,0)</f>
        <v>05110010077755620025</v>
      </c>
      <c r="T605" s="25" t="s">
        <v>32</v>
      </c>
      <c r="U605" s="25" t="s">
        <v>219</v>
      </c>
      <c r="V605" s="25" t="s">
        <v>1356</v>
      </c>
      <c r="W605" s="27" t="s">
        <v>2405</v>
      </c>
      <c r="X605" s="28" t="s">
        <v>2406</v>
      </c>
      <c r="Y605" s="28"/>
      <c r="Z605" s="29" t="s">
        <v>37</v>
      </c>
    </row>
    <row r="606" spans="1:26" ht="30" customHeight="1" thickBot="1" x14ac:dyDescent="0.25">
      <c r="A606" s="17">
        <f t="shared" si="19"/>
        <v>605</v>
      </c>
      <c r="B606" s="18" t="s">
        <v>25</v>
      </c>
      <c r="C606" s="19">
        <v>3330248065297</v>
      </c>
      <c r="D606" s="19">
        <v>426</v>
      </c>
      <c r="E606" s="20">
        <v>44586</v>
      </c>
      <c r="F606" s="20">
        <v>48238</v>
      </c>
      <c r="G606" s="21">
        <v>34038</v>
      </c>
      <c r="H606" s="22">
        <f t="shared" ca="1" si="18"/>
        <v>33</v>
      </c>
      <c r="I606" s="19" t="s">
        <v>26</v>
      </c>
      <c r="J606" s="18" t="s">
        <v>27</v>
      </c>
      <c r="K606" s="18"/>
      <c r="L606" s="23" t="s">
        <v>2407</v>
      </c>
      <c r="M606" s="23" t="s">
        <v>1621</v>
      </c>
      <c r="N606" s="23" t="s">
        <v>1499</v>
      </c>
      <c r="O606" s="18">
        <v>1</v>
      </c>
      <c r="P606" s="24"/>
      <c r="Q606" s="25">
        <v>43115</v>
      </c>
      <c r="R606" s="13">
        <v>0</v>
      </c>
      <c r="S606" s="26" t="str">
        <f>VLOOKUP(C606,'[1]Bazaar Salary'!$B$6:$J$1193,9,0)</f>
        <v>07300010049417690010</v>
      </c>
      <c r="T606" s="25" t="s">
        <v>32</v>
      </c>
      <c r="U606" s="25" t="s">
        <v>219</v>
      </c>
      <c r="V606" s="25" t="s">
        <v>884</v>
      </c>
      <c r="W606" s="27" t="s">
        <v>2408</v>
      </c>
      <c r="X606" s="28" t="s">
        <v>2409</v>
      </c>
      <c r="Y606" s="28"/>
      <c r="Z606" s="29" t="s">
        <v>37</v>
      </c>
    </row>
    <row r="607" spans="1:26" ht="30" customHeight="1" thickBot="1" x14ac:dyDescent="0.25">
      <c r="A607" s="17">
        <f t="shared" si="19"/>
        <v>606</v>
      </c>
      <c r="B607" s="18" t="s">
        <v>25</v>
      </c>
      <c r="C607" s="19">
        <v>3540245021441</v>
      </c>
      <c r="D607" s="19">
        <v>402</v>
      </c>
      <c r="E607" s="20">
        <v>42044</v>
      </c>
      <c r="F607" s="20">
        <v>45697</v>
      </c>
      <c r="G607" s="21">
        <v>30684</v>
      </c>
      <c r="H607" s="22">
        <f t="shared" ca="1" si="18"/>
        <v>42</v>
      </c>
      <c r="I607" s="19" t="s">
        <v>26</v>
      </c>
      <c r="J607" s="18" t="s">
        <v>27</v>
      </c>
      <c r="K607" s="18"/>
      <c r="L607" s="23" t="s">
        <v>918</v>
      </c>
      <c r="M607" s="23" t="s">
        <v>2410</v>
      </c>
      <c r="N607" s="23" t="s">
        <v>1499</v>
      </c>
      <c r="O607" s="18">
        <v>1</v>
      </c>
      <c r="P607" s="24"/>
      <c r="Q607" s="25">
        <v>41071</v>
      </c>
      <c r="R607" s="13">
        <v>0</v>
      </c>
      <c r="S607" s="26" t="str">
        <f>VLOOKUP(C607,'[1]Bazaar Salary'!$B$6:$J$1193,9,0)</f>
        <v>08990010060262890011</v>
      </c>
      <c r="T607" s="25" t="s">
        <v>32</v>
      </c>
      <c r="U607" s="25" t="s">
        <v>219</v>
      </c>
      <c r="V607" s="25" t="s">
        <v>884</v>
      </c>
      <c r="W607" s="27" t="s">
        <v>2411</v>
      </c>
      <c r="X607" s="28" t="s">
        <v>2412</v>
      </c>
      <c r="Y607" s="28"/>
      <c r="Z607" s="29" t="s">
        <v>37</v>
      </c>
    </row>
    <row r="608" spans="1:26" ht="30" customHeight="1" thickBot="1" x14ac:dyDescent="0.25">
      <c r="A608" s="17">
        <f t="shared" si="19"/>
        <v>607</v>
      </c>
      <c r="B608" s="18" t="s">
        <v>25</v>
      </c>
      <c r="C608" s="19">
        <v>3520269977151</v>
      </c>
      <c r="D608" s="19">
        <v>587</v>
      </c>
      <c r="E608" s="20">
        <v>42108</v>
      </c>
      <c r="F608" s="20">
        <v>45761</v>
      </c>
      <c r="G608" s="21">
        <v>30946</v>
      </c>
      <c r="H608" s="22">
        <f t="shared" ca="1" si="18"/>
        <v>41</v>
      </c>
      <c r="I608" s="18" t="s">
        <v>912</v>
      </c>
      <c r="J608" s="18" t="s">
        <v>27</v>
      </c>
      <c r="K608" s="18"/>
      <c r="L608" s="23" t="s">
        <v>2413</v>
      </c>
      <c r="M608" s="23" t="s">
        <v>2414</v>
      </c>
      <c r="N608" s="23" t="s">
        <v>1488</v>
      </c>
      <c r="O608" s="18">
        <v>1</v>
      </c>
      <c r="P608" s="24"/>
      <c r="Q608" s="25">
        <v>42860</v>
      </c>
      <c r="R608" s="13">
        <v>0</v>
      </c>
      <c r="S608" s="26" t="str">
        <f>VLOOKUP(C608,'[1]Bazaar Salary'!$B$6:$J$1193,9,0)</f>
        <v>02880010045914960012</v>
      </c>
      <c r="T608" s="25" t="s">
        <v>32</v>
      </c>
      <c r="U608" s="25" t="s">
        <v>376</v>
      </c>
      <c r="V608" s="25" t="s">
        <v>1535</v>
      </c>
      <c r="W608" s="27" t="s">
        <v>2415</v>
      </c>
      <c r="X608" s="28" t="s">
        <v>2416</v>
      </c>
      <c r="Y608" s="28"/>
      <c r="Z608" s="29" t="s">
        <v>37</v>
      </c>
    </row>
    <row r="609" spans="1:26" ht="30" customHeight="1" thickBot="1" x14ac:dyDescent="0.25">
      <c r="A609" s="17">
        <f t="shared" si="19"/>
        <v>608</v>
      </c>
      <c r="B609" s="18" t="s">
        <v>25</v>
      </c>
      <c r="C609" s="19">
        <v>3520226474543</v>
      </c>
      <c r="D609" s="19">
        <v>522</v>
      </c>
      <c r="E609" s="20">
        <v>42937</v>
      </c>
      <c r="F609" s="20">
        <v>46589</v>
      </c>
      <c r="G609" s="21">
        <v>28126</v>
      </c>
      <c r="H609" s="22">
        <f t="shared" ca="1" si="18"/>
        <v>49</v>
      </c>
      <c r="I609" s="18" t="s">
        <v>912</v>
      </c>
      <c r="J609" s="18" t="s">
        <v>27</v>
      </c>
      <c r="K609" s="18"/>
      <c r="L609" s="23" t="s">
        <v>2417</v>
      </c>
      <c r="M609" s="23" t="s">
        <v>2418</v>
      </c>
      <c r="N609" s="23" t="s">
        <v>1488</v>
      </c>
      <c r="O609" s="18">
        <v>1</v>
      </c>
      <c r="P609" s="24"/>
      <c r="Q609" s="25">
        <v>42146</v>
      </c>
      <c r="R609" s="13">
        <v>0</v>
      </c>
      <c r="S609" s="26" t="str">
        <f>VLOOKUP(C609,'[1]Bazaar Salary'!$B$6:$J$1193,9,0)</f>
        <v>02880010045972910017</v>
      </c>
      <c r="T609" s="25" t="s">
        <v>32</v>
      </c>
      <c r="U609" s="25" t="s">
        <v>376</v>
      </c>
      <c r="V609" s="25" t="s">
        <v>1535</v>
      </c>
      <c r="W609" s="27" t="s">
        <v>2419</v>
      </c>
      <c r="X609" s="28" t="s">
        <v>2420</v>
      </c>
      <c r="Y609" s="28"/>
      <c r="Z609" s="29" t="s">
        <v>37</v>
      </c>
    </row>
    <row r="610" spans="1:26" ht="30" customHeight="1" thickBot="1" x14ac:dyDescent="0.25">
      <c r="A610" s="17">
        <f t="shared" si="19"/>
        <v>609</v>
      </c>
      <c r="B610" s="18" t="s">
        <v>25</v>
      </c>
      <c r="C610" s="19">
        <v>3520107838069</v>
      </c>
      <c r="D610" s="19">
        <v>1674</v>
      </c>
      <c r="E610" s="21">
        <v>43017</v>
      </c>
      <c r="F610" s="21">
        <v>46669</v>
      </c>
      <c r="G610" s="21">
        <v>33604</v>
      </c>
      <c r="H610" s="22">
        <f t="shared" ca="1" si="18"/>
        <v>34</v>
      </c>
      <c r="I610" s="18" t="s">
        <v>912</v>
      </c>
      <c r="J610" s="18" t="s">
        <v>27</v>
      </c>
      <c r="K610" s="23"/>
      <c r="L610" s="24" t="s">
        <v>2285</v>
      </c>
      <c r="M610" s="33" t="s">
        <v>2189</v>
      </c>
      <c r="N610" s="23" t="s">
        <v>1488</v>
      </c>
      <c r="O610" s="18">
        <v>1</v>
      </c>
      <c r="P610" s="24"/>
      <c r="Q610" s="25">
        <v>45748</v>
      </c>
      <c r="R610" s="13">
        <v>0</v>
      </c>
      <c r="S610" s="26" t="str">
        <f>VLOOKUP(C610,'[1]Bazaar Salary'!$B$6:$J$1193,9,0)</f>
        <v>02880010135432740018</v>
      </c>
      <c r="T610" s="25" t="s">
        <v>32</v>
      </c>
      <c r="U610" s="25" t="s">
        <v>376</v>
      </c>
      <c r="V610" s="25" t="s">
        <v>1093</v>
      </c>
      <c r="W610" s="33" t="s">
        <v>2421</v>
      </c>
      <c r="X610" s="28" t="s">
        <v>2422</v>
      </c>
      <c r="Y610" s="28"/>
      <c r="Z610" s="29" t="s">
        <v>37</v>
      </c>
    </row>
    <row r="611" spans="1:26" ht="30" customHeight="1" thickBot="1" x14ac:dyDescent="0.25">
      <c r="A611" s="17">
        <f t="shared" si="19"/>
        <v>610</v>
      </c>
      <c r="B611" s="18" t="s">
        <v>25</v>
      </c>
      <c r="C611" s="19">
        <v>3520243072877</v>
      </c>
      <c r="D611" s="19">
        <v>1675</v>
      </c>
      <c r="E611" s="21">
        <v>44030</v>
      </c>
      <c r="F611" s="21">
        <v>47682</v>
      </c>
      <c r="G611" s="21">
        <v>29373</v>
      </c>
      <c r="H611" s="22">
        <f t="shared" ca="1" si="18"/>
        <v>46</v>
      </c>
      <c r="I611" s="18" t="s">
        <v>912</v>
      </c>
      <c r="J611" s="18" t="s">
        <v>27</v>
      </c>
      <c r="K611" s="23"/>
      <c r="L611" s="24" t="s">
        <v>2423</v>
      </c>
      <c r="M611" s="33" t="s">
        <v>2424</v>
      </c>
      <c r="N611" s="23" t="s">
        <v>1488</v>
      </c>
      <c r="O611" s="18">
        <v>1</v>
      </c>
      <c r="P611" s="24"/>
      <c r="Q611" s="25">
        <v>45748</v>
      </c>
      <c r="R611" s="13">
        <v>0</v>
      </c>
      <c r="S611" s="26" t="str">
        <f>VLOOKUP(C611,'[1]Bazaar Salary'!$B$6:$J$1193,9,0)</f>
        <v>02880010135461880017</v>
      </c>
      <c r="T611" s="25" t="s">
        <v>32</v>
      </c>
      <c r="U611" s="25" t="s">
        <v>376</v>
      </c>
      <c r="V611" s="25" t="s">
        <v>1093</v>
      </c>
      <c r="W611" s="33" t="s">
        <v>2425</v>
      </c>
      <c r="X611" s="28" t="s">
        <v>2426</v>
      </c>
      <c r="Y611" s="28"/>
      <c r="Z611" s="29" t="s">
        <v>37</v>
      </c>
    </row>
    <row r="612" spans="1:26" ht="30" customHeight="1" thickBot="1" x14ac:dyDescent="0.25">
      <c r="A612" s="17">
        <f t="shared" si="19"/>
        <v>611</v>
      </c>
      <c r="B612" s="18" t="s">
        <v>25</v>
      </c>
      <c r="C612" s="19">
        <v>3540504209219</v>
      </c>
      <c r="D612" s="19">
        <v>1434</v>
      </c>
      <c r="E612" s="20">
        <v>43766</v>
      </c>
      <c r="F612" s="20">
        <v>47419</v>
      </c>
      <c r="G612" s="21">
        <v>33239</v>
      </c>
      <c r="H612" s="22">
        <f t="shared" ca="1" si="18"/>
        <v>35</v>
      </c>
      <c r="I612" s="18" t="s">
        <v>912</v>
      </c>
      <c r="J612" s="18" t="s">
        <v>27</v>
      </c>
      <c r="K612" s="18"/>
      <c r="L612" s="23" t="s">
        <v>2185</v>
      </c>
      <c r="M612" s="23" t="s">
        <v>1566</v>
      </c>
      <c r="N612" s="23" t="s">
        <v>1488</v>
      </c>
      <c r="O612" s="18">
        <v>1</v>
      </c>
      <c r="P612" s="24"/>
      <c r="Q612" s="25">
        <v>45748</v>
      </c>
      <c r="R612" s="13">
        <v>0</v>
      </c>
      <c r="S612" s="26" t="str">
        <f>VLOOKUP(C612,'[1]Bazaar Salary'!$B$6:$J$1193,9,0)</f>
        <v>02880010100456460018</v>
      </c>
      <c r="T612" s="25" t="s">
        <v>32</v>
      </c>
      <c r="U612" s="25" t="s">
        <v>376</v>
      </c>
      <c r="V612" s="25" t="s">
        <v>1093</v>
      </c>
      <c r="W612" s="27" t="s">
        <v>2427</v>
      </c>
      <c r="X612" s="28" t="s">
        <v>2428</v>
      </c>
      <c r="Y612" s="28"/>
      <c r="Z612" s="29" t="s">
        <v>37</v>
      </c>
    </row>
    <row r="613" spans="1:26" ht="30" customHeight="1" thickBot="1" x14ac:dyDescent="0.25">
      <c r="A613" s="17">
        <f t="shared" si="19"/>
        <v>612</v>
      </c>
      <c r="B613" s="18" t="s">
        <v>25</v>
      </c>
      <c r="C613" s="19">
        <v>3520208193419</v>
      </c>
      <c r="D613" s="19">
        <v>523</v>
      </c>
      <c r="E613" s="20">
        <v>42219</v>
      </c>
      <c r="F613" s="20">
        <v>45872</v>
      </c>
      <c r="G613" s="21">
        <v>32535</v>
      </c>
      <c r="H613" s="22">
        <f t="shared" ca="1" si="18"/>
        <v>37</v>
      </c>
      <c r="I613" s="18" t="s">
        <v>912</v>
      </c>
      <c r="J613" s="18" t="s">
        <v>27</v>
      </c>
      <c r="K613" s="18"/>
      <c r="L613" s="23" t="s">
        <v>2429</v>
      </c>
      <c r="M613" s="23" t="s">
        <v>2430</v>
      </c>
      <c r="N613" s="23" t="s">
        <v>1488</v>
      </c>
      <c r="O613" s="18">
        <v>1</v>
      </c>
      <c r="P613" s="24"/>
      <c r="Q613" s="25">
        <v>42387</v>
      </c>
      <c r="R613" s="13">
        <v>0</v>
      </c>
      <c r="S613" s="26" t="str">
        <f>VLOOKUP(C613,'[1]Bazaar Salary'!$B$6:$J$1193,9,0)</f>
        <v>02880010045915050013</v>
      </c>
      <c r="T613" s="25" t="s">
        <v>32</v>
      </c>
      <c r="U613" s="25" t="s">
        <v>376</v>
      </c>
      <c r="V613" s="25" t="s">
        <v>1535</v>
      </c>
      <c r="W613" s="27" t="s">
        <v>2431</v>
      </c>
      <c r="X613" s="28" t="s">
        <v>2432</v>
      </c>
      <c r="Y613" s="28"/>
      <c r="Z613" s="29" t="s">
        <v>37</v>
      </c>
    </row>
    <row r="614" spans="1:26" ht="30" customHeight="1" thickBot="1" x14ac:dyDescent="0.25">
      <c r="A614" s="17">
        <f t="shared" si="19"/>
        <v>613</v>
      </c>
      <c r="B614" s="18" t="s">
        <v>25</v>
      </c>
      <c r="C614" s="19">
        <v>3510257209243</v>
      </c>
      <c r="D614" s="19">
        <v>368</v>
      </c>
      <c r="E614" s="20">
        <v>45489</v>
      </c>
      <c r="F614" s="20">
        <v>49141</v>
      </c>
      <c r="G614" s="21">
        <v>34530</v>
      </c>
      <c r="H614" s="22">
        <f t="shared" ca="1" si="18"/>
        <v>31</v>
      </c>
      <c r="I614" s="19" t="s">
        <v>26</v>
      </c>
      <c r="J614" s="18" t="s">
        <v>27</v>
      </c>
      <c r="K614" s="18"/>
      <c r="L614" s="23" t="s">
        <v>1384</v>
      </c>
      <c r="M614" s="23" t="s">
        <v>2433</v>
      </c>
      <c r="N614" s="23" t="s">
        <v>1499</v>
      </c>
      <c r="O614" s="18">
        <v>1</v>
      </c>
      <c r="P614" s="24"/>
      <c r="Q614" s="25">
        <v>42418</v>
      </c>
      <c r="R614" s="13">
        <v>0</v>
      </c>
      <c r="S614" s="26" t="str">
        <f>VLOOKUP(C614,'[1]Bazaar Salary'!$B$6:$J$1193,9,0)</f>
        <v>08100010045871110010</v>
      </c>
      <c r="T614" s="25" t="s">
        <v>32</v>
      </c>
      <c r="U614" s="25" t="s">
        <v>376</v>
      </c>
      <c r="V614" s="25" t="s">
        <v>884</v>
      </c>
      <c r="W614" s="27" t="s">
        <v>2434</v>
      </c>
      <c r="X614" s="28" t="s">
        <v>2435</v>
      </c>
      <c r="Y614" s="28"/>
      <c r="Z614" s="29" t="s">
        <v>37</v>
      </c>
    </row>
    <row r="615" spans="1:26" ht="30" customHeight="1" thickBot="1" x14ac:dyDescent="0.25">
      <c r="A615" s="17">
        <f t="shared" si="19"/>
        <v>614</v>
      </c>
      <c r="B615" s="18" t="s">
        <v>25</v>
      </c>
      <c r="C615" s="19">
        <v>3520279995783</v>
      </c>
      <c r="D615" s="19">
        <v>382</v>
      </c>
      <c r="E615" s="20">
        <v>44605</v>
      </c>
      <c r="F615" s="20">
        <v>48257</v>
      </c>
      <c r="G615" s="21">
        <v>34518</v>
      </c>
      <c r="H615" s="22">
        <f t="shared" ca="1" si="18"/>
        <v>31</v>
      </c>
      <c r="I615" s="19" t="s">
        <v>26</v>
      </c>
      <c r="J615" s="18" t="s">
        <v>27</v>
      </c>
      <c r="K615" s="18"/>
      <c r="L615" s="23" t="s">
        <v>2436</v>
      </c>
      <c r="M615" s="23" t="s">
        <v>2437</v>
      </c>
      <c r="N615" s="23" t="s">
        <v>1499</v>
      </c>
      <c r="O615" s="18">
        <v>1</v>
      </c>
      <c r="P615" s="24"/>
      <c r="Q615" s="25">
        <v>42514</v>
      </c>
      <c r="R615" s="13">
        <v>0</v>
      </c>
      <c r="S615" s="26" t="str">
        <f>VLOOKUP(C615,'[1]Bazaar Salary'!$B$6:$J$1193,9,0)</f>
        <v>02880010045888100011</v>
      </c>
      <c r="T615" s="25" t="s">
        <v>32</v>
      </c>
      <c r="U615" s="25" t="s">
        <v>376</v>
      </c>
      <c r="V615" s="25" t="s">
        <v>1356</v>
      </c>
      <c r="W615" s="27" t="s">
        <v>2164</v>
      </c>
      <c r="X615" s="28" t="s">
        <v>2438</v>
      </c>
      <c r="Y615" s="28"/>
      <c r="Z615" s="29" t="s">
        <v>37</v>
      </c>
    </row>
    <row r="616" spans="1:26" ht="30" customHeight="1" thickBot="1" x14ac:dyDescent="0.25">
      <c r="A616" s="17">
        <f t="shared" si="19"/>
        <v>615</v>
      </c>
      <c r="B616" s="18" t="s">
        <v>25</v>
      </c>
      <c r="C616" s="19">
        <v>3520285892417</v>
      </c>
      <c r="D616" s="19">
        <v>319</v>
      </c>
      <c r="E616" s="20">
        <v>42219</v>
      </c>
      <c r="F616" s="20">
        <v>45872</v>
      </c>
      <c r="G616" s="21">
        <v>33264</v>
      </c>
      <c r="H616" s="22">
        <f t="shared" ca="1" si="18"/>
        <v>35</v>
      </c>
      <c r="I616" s="19" t="s">
        <v>26</v>
      </c>
      <c r="J616" s="18" t="s">
        <v>27</v>
      </c>
      <c r="K616" s="18"/>
      <c r="L616" s="23" t="s">
        <v>133</v>
      </c>
      <c r="M616" s="23" t="s">
        <v>2439</v>
      </c>
      <c r="N616" s="23" t="s">
        <v>1499</v>
      </c>
      <c r="O616" s="18">
        <v>1</v>
      </c>
      <c r="P616" s="24"/>
      <c r="Q616" s="25">
        <v>42767</v>
      </c>
      <c r="R616" s="13">
        <v>0</v>
      </c>
      <c r="S616" s="26" t="str">
        <f>VLOOKUP(C616,'[1]Bazaar Salary'!$B$6:$J$1193,9,0)</f>
        <v>02880010045889880018</v>
      </c>
      <c r="T616" s="25" t="s">
        <v>32</v>
      </c>
      <c r="U616" s="25" t="s">
        <v>376</v>
      </c>
      <c r="V616" s="25" t="s">
        <v>1093</v>
      </c>
      <c r="W616" s="27" t="s">
        <v>2440</v>
      </c>
      <c r="X616" s="28" t="s">
        <v>2441</v>
      </c>
      <c r="Y616" s="28"/>
      <c r="Z616" s="29" t="s">
        <v>37</v>
      </c>
    </row>
    <row r="617" spans="1:26" ht="30" customHeight="1" thickBot="1" x14ac:dyDescent="0.25">
      <c r="A617" s="17">
        <f t="shared" si="19"/>
        <v>616</v>
      </c>
      <c r="B617" s="18" t="s">
        <v>25</v>
      </c>
      <c r="C617" s="19">
        <v>3520216255011</v>
      </c>
      <c r="D617" s="19">
        <v>398</v>
      </c>
      <c r="E617" s="20">
        <v>44784</v>
      </c>
      <c r="F617" s="20">
        <v>48437</v>
      </c>
      <c r="G617" s="21">
        <v>33973</v>
      </c>
      <c r="H617" s="22">
        <f t="shared" ca="1" si="18"/>
        <v>33</v>
      </c>
      <c r="I617" s="19" t="s">
        <v>26</v>
      </c>
      <c r="J617" s="18" t="s">
        <v>27</v>
      </c>
      <c r="K617" s="18"/>
      <c r="L617" s="23" t="s">
        <v>1968</v>
      </c>
      <c r="M617" s="23" t="s">
        <v>2442</v>
      </c>
      <c r="N617" s="23" t="s">
        <v>1499</v>
      </c>
      <c r="O617" s="18">
        <v>1</v>
      </c>
      <c r="P617" s="24"/>
      <c r="Q617" s="25">
        <v>42229</v>
      </c>
      <c r="R617" s="13">
        <v>0</v>
      </c>
      <c r="S617" s="26" t="str">
        <f>VLOOKUP(C617,'[1]Bazaar Salary'!$B$6:$J$1193,9,0)</f>
        <v>10990010046347270014</v>
      </c>
      <c r="T617" s="25" t="s">
        <v>32</v>
      </c>
      <c r="U617" s="25" t="s">
        <v>376</v>
      </c>
      <c r="V617" s="25" t="s">
        <v>1535</v>
      </c>
      <c r="W617" s="27" t="s">
        <v>2443</v>
      </c>
      <c r="X617" s="28" t="s">
        <v>2444</v>
      </c>
      <c r="Y617" s="28"/>
      <c r="Z617" s="29" t="s">
        <v>37</v>
      </c>
    </row>
    <row r="618" spans="1:26" ht="30" customHeight="1" thickBot="1" x14ac:dyDescent="0.25">
      <c r="A618" s="17">
        <f t="shared" si="19"/>
        <v>617</v>
      </c>
      <c r="B618" s="18" t="s">
        <v>25</v>
      </c>
      <c r="C618" s="19">
        <v>3530378364285</v>
      </c>
      <c r="D618" s="19">
        <v>1735</v>
      </c>
      <c r="E618" s="20">
        <v>44392</v>
      </c>
      <c r="F618" s="20">
        <v>48044</v>
      </c>
      <c r="G618" s="21">
        <v>33239</v>
      </c>
      <c r="H618" s="22">
        <f t="shared" ca="1" si="18"/>
        <v>35</v>
      </c>
      <c r="I618" s="19" t="s">
        <v>26</v>
      </c>
      <c r="J618" s="18" t="s">
        <v>27</v>
      </c>
      <c r="K618" s="18"/>
      <c r="L618" s="23" t="s">
        <v>2445</v>
      </c>
      <c r="M618" s="23" t="s">
        <v>1305</v>
      </c>
      <c r="N618" s="23" t="s">
        <v>1499</v>
      </c>
      <c r="O618" s="18">
        <v>1</v>
      </c>
      <c r="P618" s="24"/>
      <c r="Q618" s="25">
        <v>45748</v>
      </c>
      <c r="R618" s="13">
        <v>0</v>
      </c>
      <c r="S618" s="26" t="str">
        <f>VLOOKUP(C618,'[1]Bazaar Salary'!$B$6:$J$1193,9,0)</f>
        <v>00940010138288270010</v>
      </c>
      <c r="T618" s="25" t="s">
        <v>32</v>
      </c>
      <c r="U618" s="25" t="s">
        <v>376</v>
      </c>
      <c r="V618" s="25" t="s">
        <v>1356</v>
      </c>
      <c r="W618" s="27" t="s">
        <v>2446</v>
      </c>
      <c r="X618" s="28" t="s">
        <v>2447</v>
      </c>
      <c r="Y618" s="28"/>
      <c r="Z618" s="29" t="s">
        <v>37</v>
      </c>
    </row>
    <row r="619" spans="1:26" ht="30" customHeight="1" thickBot="1" x14ac:dyDescent="0.25">
      <c r="A619" s="17">
        <f t="shared" si="19"/>
        <v>618</v>
      </c>
      <c r="B619" s="18" t="s">
        <v>25</v>
      </c>
      <c r="C619" s="19">
        <v>3520202323285</v>
      </c>
      <c r="D619" s="19">
        <v>1662</v>
      </c>
      <c r="E619" s="21">
        <v>44979</v>
      </c>
      <c r="F619" s="21">
        <v>48632</v>
      </c>
      <c r="G619" s="21">
        <v>37641</v>
      </c>
      <c r="H619" s="22">
        <f t="shared" ca="1" si="18"/>
        <v>23</v>
      </c>
      <c r="I619" s="18" t="s">
        <v>26</v>
      </c>
      <c r="J619" s="18" t="s">
        <v>27</v>
      </c>
      <c r="K619" s="23"/>
      <c r="L619" s="24" t="s">
        <v>284</v>
      </c>
      <c r="M619" s="33" t="s">
        <v>2448</v>
      </c>
      <c r="N619" s="23" t="s">
        <v>1499</v>
      </c>
      <c r="O619" s="18">
        <v>1</v>
      </c>
      <c r="P619" s="24"/>
      <c r="Q619" s="25">
        <v>45748</v>
      </c>
      <c r="R619" s="13">
        <v>0</v>
      </c>
      <c r="S619" s="26" t="str">
        <f>VLOOKUP(C619,'[1]Bazaar Salary'!$B$6:$J$1193,9,0)</f>
        <v>09650010134950600012</v>
      </c>
      <c r="T619" s="25" t="s">
        <v>32</v>
      </c>
      <c r="U619" s="25" t="s">
        <v>376</v>
      </c>
      <c r="V619" s="25" t="s">
        <v>1093</v>
      </c>
      <c r="W619" s="33" t="s">
        <v>2449</v>
      </c>
      <c r="X619" s="28" t="s">
        <v>2450</v>
      </c>
      <c r="Y619" s="28"/>
      <c r="Z619" s="29" t="s">
        <v>37</v>
      </c>
    </row>
    <row r="620" spans="1:26" ht="30" customHeight="1" thickBot="1" x14ac:dyDescent="0.25">
      <c r="A620" s="17">
        <f t="shared" si="19"/>
        <v>619</v>
      </c>
      <c r="B620" s="18" t="s">
        <v>25</v>
      </c>
      <c r="C620" s="19">
        <v>3520230173731</v>
      </c>
      <c r="D620" s="19">
        <v>1731</v>
      </c>
      <c r="E620" s="20">
        <v>43496</v>
      </c>
      <c r="F620" s="20">
        <v>47330</v>
      </c>
      <c r="G620" s="21">
        <v>36974</v>
      </c>
      <c r="H620" s="22">
        <f t="shared" ca="1" si="18"/>
        <v>25</v>
      </c>
      <c r="I620" s="19" t="s">
        <v>26</v>
      </c>
      <c r="J620" s="18" t="s">
        <v>27</v>
      </c>
      <c r="K620" s="18"/>
      <c r="L620" s="23" t="s">
        <v>2451</v>
      </c>
      <c r="M620" s="23" t="s">
        <v>2452</v>
      </c>
      <c r="N620" s="23" t="s">
        <v>1499</v>
      </c>
      <c r="O620" s="18">
        <v>1</v>
      </c>
      <c r="P620" s="24"/>
      <c r="Q620" s="25">
        <v>45748</v>
      </c>
      <c r="R620" s="13">
        <v>0</v>
      </c>
      <c r="S620" s="26" t="str">
        <f>VLOOKUP(C620,'[1]Bazaar Salary'!$B$6:$J$1193,9,0)</f>
        <v>08760010139126590012</v>
      </c>
      <c r="T620" s="25" t="s">
        <v>32</v>
      </c>
      <c r="U620" s="25" t="s">
        <v>376</v>
      </c>
      <c r="V620" s="25" t="s">
        <v>1093</v>
      </c>
      <c r="W620" s="27" t="s">
        <v>2453</v>
      </c>
      <c r="X620" s="28" t="s">
        <v>2454</v>
      </c>
      <c r="Y620" s="28"/>
      <c r="Z620" s="29" t="s">
        <v>37</v>
      </c>
    </row>
    <row r="621" spans="1:26" ht="30" customHeight="1" thickBot="1" x14ac:dyDescent="0.25">
      <c r="A621" s="17">
        <f t="shared" si="19"/>
        <v>620</v>
      </c>
      <c r="B621" s="18" t="s">
        <v>25</v>
      </c>
      <c r="C621" s="19">
        <v>3520172215461</v>
      </c>
      <c r="D621" s="19">
        <v>1729</v>
      </c>
      <c r="E621" s="20">
        <v>42345</v>
      </c>
      <c r="F621" s="20">
        <v>45998</v>
      </c>
      <c r="G621" s="21">
        <v>35719</v>
      </c>
      <c r="H621" s="22">
        <f t="shared" ca="1" si="18"/>
        <v>28</v>
      </c>
      <c r="I621" s="19" t="s">
        <v>26</v>
      </c>
      <c r="J621" s="18" t="s">
        <v>27</v>
      </c>
      <c r="K621" s="18"/>
      <c r="L621" s="23" t="s">
        <v>2455</v>
      </c>
      <c r="M621" s="23" t="s">
        <v>2456</v>
      </c>
      <c r="N621" s="23" t="s">
        <v>1499</v>
      </c>
      <c r="O621" s="18">
        <v>1</v>
      </c>
      <c r="P621" s="24"/>
      <c r="Q621" s="25">
        <v>45748</v>
      </c>
      <c r="R621" s="13">
        <v>0</v>
      </c>
      <c r="S621" s="26" t="str">
        <f>VLOOKUP(C621,'[1]Bazaar Salary'!$B$6:$J$1193,9,0)</f>
        <v>13470010139281570010</v>
      </c>
      <c r="T621" s="25" t="s">
        <v>32</v>
      </c>
      <c r="U621" s="25" t="s">
        <v>376</v>
      </c>
      <c r="V621" s="25" t="s">
        <v>1093</v>
      </c>
      <c r="W621" s="27" t="s">
        <v>2457</v>
      </c>
      <c r="X621" s="28" t="s">
        <v>2458</v>
      </c>
      <c r="Y621" s="28"/>
      <c r="Z621" s="29" t="s">
        <v>37</v>
      </c>
    </row>
    <row r="622" spans="1:26" ht="30" customHeight="1" thickBot="1" x14ac:dyDescent="0.25">
      <c r="A622" s="17">
        <f t="shared" si="19"/>
        <v>621</v>
      </c>
      <c r="B622" s="18" t="s">
        <v>25</v>
      </c>
      <c r="C622" s="19">
        <v>3520244765241</v>
      </c>
      <c r="D622" s="19">
        <v>342</v>
      </c>
      <c r="E622" s="20">
        <v>43166</v>
      </c>
      <c r="F622" s="20">
        <v>46819</v>
      </c>
      <c r="G622" s="21">
        <v>31758</v>
      </c>
      <c r="H622" s="22">
        <f t="shared" ca="1" si="18"/>
        <v>39</v>
      </c>
      <c r="I622" s="19" t="s">
        <v>26</v>
      </c>
      <c r="J622" s="18" t="s">
        <v>27</v>
      </c>
      <c r="K622" s="18"/>
      <c r="L622" s="23" t="s">
        <v>1455</v>
      </c>
      <c r="M622" s="23" t="s">
        <v>2459</v>
      </c>
      <c r="N622" s="23" t="s">
        <v>1499</v>
      </c>
      <c r="O622" s="18">
        <v>1</v>
      </c>
      <c r="P622" s="24"/>
      <c r="Q622" s="25">
        <v>42226</v>
      </c>
      <c r="R622" s="13">
        <v>0</v>
      </c>
      <c r="S622" s="26" t="str">
        <f>VLOOKUP(C622,'[1]Bazaar Salary'!$B$6:$J$1193,9,0)</f>
        <v>02880010045933870010</v>
      </c>
      <c r="T622" s="25" t="s">
        <v>32</v>
      </c>
      <c r="U622" s="25" t="s">
        <v>376</v>
      </c>
      <c r="V622" s="25" t="s">
        <v>1535</v>
      </c>
      <c r="W622" s="27" t="s">
        <v>2164</v>
      </c>
      <c r="X622" s="28" t="s">
        <v>2460</v>
      </c>
      <c r="Y622" s="28"/>
      <c r="Z622" s="29" t="s">
        <v>37</v>
      </c>
    </row>
    <row r="623" spans="1:26" ht="30" customHeight="1" thickBot="1" x14ac:dyDescent="0.25">
      <c r="A623" s="17">
        <f t="shared" si="19"/>
        <v>622</v>
      </c>
      <c r="B623" s="18" t="s">
        <v>25</v>
      </c>
      <c r="C623" s="19">
        <v>3520230160247</v>
      </c>
      <c r="D623" s="19">
        <v>336</v>
      </c>
      <c r="E623" s="20">
        <v>44666</v>
      </c>
      <c r="F623" s="20">
        <v>48319</v>
      </c>
      <c r="G623" s="21">
        <v>34097</v>
      </c>
      <c r="H623" s="22">
        <f t="shared" ca="1" si="18"/>
        <v>33</v>
      </c>
      <c r="I623" s="19" t="s">
        <v>26</v>
      </c>
      <c r="J623" s="18" t="s">
        <v>27</v>
      </c>
      <c r="K623" s="18"/>
      <c r="L623" s="23" t="s">
        <v>2461</v>
      </c>
      <c r="M623" s="23" t="s">
        <v>2462</v>
      </c>
      <c r="N623" s="23" t="s">
        <v>1499</v>
      </c>
      <c r="O623" s="18">
        <v>1</v>
      </c>
      <c r="P623" s="24"/>
      <c r="Q623" s="25">
        <v>42614</v>
      </c>
      <c r="R623" s="13">
        <v>0</v>
      </c>
      <c r="S623" s="26" t="str">
        <f>VLOOKUP(C623,'[1]Bazaar Salary'!$B$6:$J$1193,9,0)</f>
        <v>02880010045779560013</v>
      </c>
      <c r="T623" s="25" t="s">
        <v>32</v>
      </c>
      <c r="U623" s="25" t="s">
        <v>376</v>
      </c>
      <c r="V623" s="25" t="s">
        <v>1356</v>
      </c>
      <c r="W623" s="27" t="s">
        <v>2164</v>
      </c>
      <c r="X623" s="28" t="s">
        <v>2463</v>
      </c>
      <c r="Y623" s="28"/>
      <c r="Z623" s="29" t="s">
        <v>37</v>
      </c>
    </row>
    <row r="624" spans="1:26" ht="30" customHeight="1" thickBot="1" x14ac:dyDescent="0.25">
      <c r="A624" s="17">
        <f t="shared" si="19"/>
        <v>623</v>
      </c>
      <c r="B624" s="18" t="s">
        <v>25</v>
      </c>
      <c r="C624" s="19">
        <v>3510283684975</v>
      </c>
      <c r="D624" s="19">
        <v>439</v>
      </c>
      <c r="E624" s="20">
        <v>42929</v>
      </c>
      <c r="F624" s="20">
        <v>46581</v>
      </c>
      <c r="G624" s="21">
        <v>33666</v>
      </c>
      <c r="H624" s="22">
        <f t="shared" ca="1" si="18"/>
        <v>34</v>
      </c>
      <c r="I624" s="19" t="s">
        <v>26</v>
      </c>
      <c r="J624" s="18" t="s">
        <v>27</v>
      </c>
      <c r="K624" s="18"/>
      <c r="L624" s="23" t="s">
        <v>2464</v>
      </c>
      <c r="M624" s="23" t="s">
        <v>2465</v>
      </c>
      <c r="N624" s="23" t="s">
        <v>1551</v>
      </c>
      <c r="O624" s="18">
        <v>1</v>
      </c>
      <c r="P624" s="24"/>
      <c r="Q624" s="25">
        <v>42615</v>
      </c>
      <c r="R624" s="13">
        <v>0</v>
      </c>
      <c r="S624" s="26" t="str">
        <f>VLOOKUP(C624,'[1]Bazaar Salary'!$B$6:$J$1193,9,0)</f>
        <v>05390010045868040019</v>
      </c>
      <c r="T624" s="25" t="s">
        <v>32</v>
      </c>
      <c r="U624" s="25" t="s">
        <v>225</v>
      </c>
      <c r="V624" s="25" t="s">
        <v>1535</v>
      </c>
      <c r="W624" s="27" t="s">
        <v>2466</v>
      </c>
      <c r="X624" s="28" t="s">
        <v>2467</v>
      </c>
      <c r="Y624" s="28"/>
      <c r="Z624" s="29" t="s">
        <v>37</v>
      </c>
    </row>
    <row r="625" spans="1:26" ht="30" customHeight="1" thickBot="1" x14ac:dyDescent="0.25">
      <c r="A625" s="17">
        <f t="shared" si="19"/>
        <v>624</v>
      </c>
      <c r="B625" s="18" t="s">
        <v>25</v>
      </c>
      <c r="C625" s="19">
        <v>3510206794405</v>
      </c>
      <c r="D625" s="19">
        <v>561</v>
      </c>
      <c r="E625" s="20">
        <v>44647</v>
      </c>
      <c r="F625" s="20">
        <v>48300</v>
      </c>
      <c r="G625" s="21">
        <v>33047</v>
      </c>
      <c r="H625" s="22">
        <f t="shared" ca="1" si="18"/>
        <v>35</v>
      </c>
      <c r="I625" s="18" t="s">
        <v>912</v>
      </c>
      <c r="J625" s="18" t="s">
        <v>27</v>
      </c>
      <c r="K625" s="18"/>
      <c r="L625" s="23" t="s">
        <v>2273</v>
      </c>
      <c r="M625" s="23" t="s">
        <v>2468</v>
      </c>
      <c r="N625" s="23" t="s">
        <v>1488</v>
      </c>
      <c r="O625" s="18">
        <v>1</v>
      </c>
      <c r="P625" s="24"/>
      <c r="Q625" s="25">
        <v>42614</v>
      </c>
      <c r="R625" s="13">
        <v>0</v>
      </c>
      <c r="S625" s="26" t="str">
        <f>VLOOKUP(C625,'[1]Bazaar Salary'!$B$6:$J$1193,9,0)</f>
        <v>05390010045918770020</v>
      </c>
      <c r="T625" s="25" t="s">
        <v>32</v>
      </c>
      <c r="U625" s="25" t="s">
        <v>225</v>
      </c>
      <c r="V625" s="25" t="s">
        <v>1093</v>
      </c>
      <c r="W625" s="27" t="s">
        <v>2469</v>
      </c>
      <c r="X625" s="28" t="s">
        <v>2470</v>
      </c>
      <c r="Y625" s="28"/>
      <c r="Z625" s="29" t="s">
        <v>37</v>
      </c>
    </row>
    <row r="626" spans="1:26" ht="30" customHeight="1" thickBot="1" x14ac:dyDescent="0.25">
      <c r="A626" s="17">
        <f t="shared" si="19"/>
        <v>625</v>
      </c>
      <c r="B626" s="18" t="s">
        <v>25</v>
      </c>
      <c r="C626" s="19">
        <v>3510228138566</v>
      </c>
      <c r="D626" s="19">
        <v>1696</v>
      </c>
      <c r="E626" s="20">
        <v>43670</v>
      </c>
      <c r="F626" s="20">
        <v>47323</v>
      </c>
      <c r="G626" s="21">
        <v>32760</v>
      </c>
      <c r="H626" s="22">
        <f t="shared" ca="1" si="18"/>
        <v>36</v>
      </c>
      <c r="I626" s="19" t="s">
        <v>912</v>
      </c>
      <c r="J626" s="18" t="s">
        <v>66</v>
      </c>
      <c r="K626" s="18"/>
      <c r="L626" s="23" t="s">
        <v>2471</v>
      </c>
      <c r="M626" s="23" t="s">
        <v>2472</v>
      </c>
      <c r="N626" s="23" t="s">
        <v>1488</v>
      </c>
      <c r="O626" s="18">
        <v>1</v>
      </c>
      <c r="P626" s="24"/>
      <c r="Q626" s="25">
        <v>45748</v>
      </c>
      <c r="R626" s="13">
        <v>0</v>
      </c>
      <c r="S626" s="26" t="str">
        <f>VLOOKUP(C626,'[1]Bazaar Salary'!$B$6:$J$1193,9,0)</f>
        <v>05390010137215570014</v>
      </c>
      <c r="T626" s="25" t="s">
        <v>32</v>
      </c>
      <c r="U626" s="25" t="s">
        <v>225</v>
      </c>
      <c r="V626" s="25" t="s">
        <v>1093</v>
      </c>
      <c r="W626" s="27" t="s">
        <v>2473</v>
      </c>
      <c r="X626" s="28" t="s">
        <v>2474</v>
      </c>
      <c r="Y626" s="28"/>
      <c r="Z626" s="29" t="s">
        <v>37</v>
      </c>
    </row>
    <row r="627" spans="1:26" ht="30" customHeight="1" thickBot="1" x14ac:dyDescent="0.25">
      <c r="A627" s="17">
        <f t="shared" si="19"/>
        <v>626</v>
      </c>
      <c r="B627" s="18" t="s">
        <v>25</v>
      </c>
      <c r="C627" s="19">
        <v>3510251260291</v>
      </c>
      <c r="D627" s="19">
        <v>560</v>
      </c>
      <c r="E627" s="20">
        <v>43466</v>
      </c>
      <c r="F627" s="20">
        <v>47119</v>
      </c>
      <c r="G627" s="21">
        <v>25569</v>
      </c>
      <c r="H627" s="22">
        <f t="shared" ca="1" si="18"/>
        <v>56</v>
      </c>
      <c r="I627" s="18" t="s">
        <v>912</v>
      </c>
      <c r="J627" s="18" t="s">
        <v>27</v>
      </c>
      <c r="K627" s="18"/>
      <c r="L627" s="23" t="s">
        <v>2475</v>
      </c>
      <c r="M627" s="23" t="s">
        <v>1949</v>
      </c>
      <c r="N627" s="23" t="s">
        <v>1488</v>
      </c>
      <c r="O627" s="18">
        <v>1</v>
      </c>
      <c r="P627" s="24"/>
      <c r="Q627" s="25">
        <v>42121</v>
      </c>
      <c r="R627" s="13">
        <v>0</v>
      </c>
      <c r="S627" s="26" t="str">
        <f>VLOOKUP(C627,'[1]Bazaar Salary'!$B$6:$J$1193,9,0)</f>
        <v>05390010046245180011</v>
      </c>
      <c r="T627" s="25" t="s">
        <v>32</v>
      </c>
      <c r="U627" s="25" t="s">
        <v>225</v>
      </c>
      <c r="V627" s="25" t="s">
        <v>1093</v>
      </c>
      <c r="W627" s="27" t="s">
        <v>2476</v>
      </c>
      <c r="X627" s="28" t="s">
        <v>2477</v>
      </c>
      <c r="Y627" s="28"/>
      <c r="Z627" s="29" t="s">
        <v>37</v>
      </c>
    </row>
    <row r="628" spans="1:26" ht="30" customHeight="1" thickBot="1" x14ac:dyDescent="0.25">
      <c r="A628" s="17">
        <f t="shared" si="19"/>
        <v>627</v>
      </c>
      <c r="B628" s="18" t="s">
        <v>25</v>
      </c>
      <c r="C628" s="19">
        <v>3510242864881</v>
      </c>
      <c r="D628" s="19">
        <v>559</v>
      </c>
      <c r="E628" s="20">
        <v>42935</v>
      </c>
      <c r="F628" s="20">
        <v>46587</v>
      </c>
      <c r="G628" s="21">
        <v>32874</v>
      </c>
      <c r="H628" s="22">
        <f t="shared" ca="1" si="18"/>
        <v>36</v>
      </c>
      <c r="I628" s="18" t="s">
        <v>912</v>
      </c>
      <c r="J628" s="18" t="s">
        <v>27</v>
      </c>
      <c r="K628" s="18"/>
      <c r="L628" s="23" t="s">
        <v>2478</v>
      </c>
      <c r="M628" s="23" t="s">
        <v>2479</v>
      </c>
      <c r="N628" s="23" t="s">
        <v>1488</v>
      </c>
      <c r="O628" s="18">
        <v>1</v>
      </c>
      <c r="P628" s="24"/>
      <c r="Q628" s="25">
        <v>41913</v>
      </c>
      <c r="R628" s="13">
        <v>0</v>
      </c>
      <c r="S628" s="26" t="str">
        <f>VLOOKUP(C628,'[1]Bazaar Salary'!$B$6:$J$1193,9,0)</f>
        <v>05390010045951010011</v>
      </c>
      <c r="T628" s="25" t="s">
        <v>32</v>
      </c>
      <c r="U628" s="25" t="s">
        <v>225</v>
      </c>
      <c r="V628" s="25" t="s">
        <v>1093</v>
      </c>
      <c r="W628" s="27" t="s">
        <v>2480</v>
      </c>
      <c r="X628" s="28" t="s">
        <v>2481</v>
      </c>
      <c r="Y628" s="28"/>
      <c r="Z628" s="29" t="s">
        <v>37</v>
      </c>
    </row>
    <row r="629" spans="1:26" ht="30" customHeight="1" thickBot="1" x14ac:dyDescent="0.25">
      <c r="A629" s="17">
        <f t="shared" si="19"/>
        <v>628</v>
      </c>
      <c r="B629" s="18" t="s">
        <v>25</v>
      </c>
      <c r="C629" s="19">
        <v>3510273104577</v>
      </c>
      <c r="D629" s="19">
        <v>1474</v>
      </c>
      <c r="E629" s="20">
        <v>44333</v>
      </c>
      <c r="F629" s="20">
        <v>47985</v>
      </c>
      <c r="G629" s="21">
        <v>36796</v>
      </c>
      <c r="H629" s="22">
        <f t="shared" ca="1" si="18"/>
        <v>25</v>
      </c>
      <c r="I629" s="18" t="s">
        <v>912</v>
      </c>
      <c r="J629" s="18" t="s">
        <v>27</v>
      </c>
      <c r="K629" s="18"/>
      <c r="L629" s="23" t="s">
        <v>2482</v>
      </c>
      <c r="M629" s="23" t="s">
        <v>2044</v>
      </c>
      <c r="N629" s="23" t="s">
        <v>1488</v>
      </c>
      <c r="O629" s="18">
        <v>1</v>
      </c>
      <c r="P629" s="24"/>
      <c r="Q629" s="25">
        <v>45748</v>
      </c>
      <c r="R629" s="13">
        <v>0</v>
      </c>
      <c r="S629" s="26" t="str">
        <f>VLOOKUP(C629,'[1]Bazaar Salary'!$B$6:$J$1193,9,0)</f>
        <v>05390010102958400010</v>
      </c>
      <c r="T629" s="25" t="s">
        <v>32</v>
      </c>
      <c r="U629" s="25" t="s">
        <v>225</v>
      </c>
      <c r="V629" s="25" t="s">
        <v>1093</v>
      </c>
      <c r="W629" s="27" t="s">
        <v>2483</v>
      </c>
      <c r="X629" s="28" t="s">
        <v>2484</v>
      </c>
      <c r="Y629" s="28"/>
      <c r="Z629" s="29" t="s">
        <v>37</v>
      </c>
    </row>
    <row r="630" spans="1:26" ht="30" customHeight="1" thickBot="1" x14ac:dyDescent="0.25">
      <c r="A630" s="17">
        <f t="shared" si="19"/>
        <v>629</v>
      </c>
      <c r="B630" s="18" t="s">
        <v>25</v>
      </c>
      <c r="C630" s="19">
        <v>3510208505295</v>
      </c>
      <c r="D630" s="19">
        <v>1514</v>
      </c>
      <c r="E630" s="20">
        <v>44456</v>
      </c>
      <c r="F630" s="20">
        <v>48108</v>
      </c>
      <c r="G630" s="21">
        <v>37945</v>
      </c>
      <c r="H630" s="22">
        <f t="shared" ca="1" si="18"/>
        <v>22</v>
      </c>
      <c r="I630" s="19" t="s">
        <v>26</v>
      </c>
      <c r="J630" s="18" t="s">
        <v>27</v>
      </c>
      <c r="K630" s="18"/>
      <c r="L630" s="23" t="s">
        <v>413</v>
      </c>
      <c r="M630" s="23" t="s">
        <v>2485</v>
      </c>
      <c r="N630" s="23" t="s">
        <v>1499</v>
      </c>
      <c r="O630" s="18">
        <v>1</v>
      </c>
      <c r="P630" s="24"/>
      <c r="Q630" s="25">
        <v>45748</v>
      </c>
      <c r="R630" s="13">
        <v>0</v>
      </c>
      <c r="S630" s="26" t="str">
        <f>VLOOKUP(C630,'[1]Bazaar Salary'!$B$6:$J$1193,9,0)</f>
        <v>52060020109605700019</v>
      </c>
      <c r="T630" s="25" t="s">
        <v>32</v>
      </c>
      <c r="U630" s="25" t="s">
        <v>225</v>
      </c>
      <c r="V630" s="25" t="s">
        <v>1093</v>
      </c>
      <c r="W630" s="27" t="s">
        <v>2486</v>
      </c>
      <c r="X630" s="28" t="s">
        <v>2487</v>
      </c>
      <c r="Y630" s="28"/>
      <c r="Z630" s="29" t="s">
        <v>37</v>
      </c>
    </row>
    <row r="631" spans="1:26" ht="30" customHeight="1" thickBot="1" x14ac:dyDescent="0.25">
      <c r="A631" s="17">
        <f t="shared" si="19"/>
        <v>630</v>
      </c>
      <c r="B631" s="18" t="s">
        <v>25</v>
      </c>
      <c r="C631" s="19">
        <v>3510389329683</v>
      </c>
      <c r="D631" s="19"/>
      <c r="E631" s="20">
        <v>44442</v>
      </c>
      <c r="F631" s="20">
        <v>48094</v>
      </c>
      <c r="G631" s="21">
        <v>33543</v>
      </c>
      <c r="H631" s="22">
        <f t="shared" ca="1" si="18"/>
        <v>34</v>
      </c>
      <c r="I631" s="19" t="s">
        <v>26</v>
      </c>
      <c r="J631" s="18" t="s">
        <v>27</v>
      </c>
      <c r="K631" s="18"/>
      <c r="L631" s="23" t="s">
        <v>413</v>
      </c>
      <c r="M631" s="23" t="s">
        <v>1458</v>
      </c>
      <c r="N631" s="23" t="s">
        <v>1499</v>
      </c>
      <c r="O631" s="18">
        <v>1</v>
      </c>
      <c r="P631" s="24"/>
      <c r="Q631" s="25">
        <v>45748</v>
      </c>
      <c r="R631" s="13">
        <v>0</v>
      </c>
      <c r="S631" s="26" t="str">
        <f>VLOOKUP(C631,'[1]Bazaar Salary'!$B$6:$J$1193,9,0)</f>
        <v>02880010098306190017</v>
      </c>
      <c r="T631" s="25" t="s">
        <v>32</v>
      </c>
      <c r="U631" s="25" t="s">
        <v>225</v>
      </c>
      <c r="V631" s="25" t="s">
        <v>1093</v>
      </c>
      <c r="W631" s="27" t="s">
        <v>2488</v>
      </c>
      <c r="X631" s="28" t="s">
        <v>2489</v>
      </c>
      <c r="Y631" s="28"/>
      <c r="Z631" s="29" t="s">
        <v>37</v>
      </c>
    </row>
    <row r="632" spans="1:26" ht="30" customHeight="1" thickBot="1" x14ac:dyDescent="0.25">
      <c r="A632" s="17">
        <f t="shared" si="19"/>
        <v>631</v>
      </c>
      <c r="B632" s="18" t="s">
        <v>25</v>
      </c>
      <c r="C632" s="19">
        <v>3510268470297</v>
      </c>
      <c r="D632" s="19">
        <v>427</v>
      </c>
      <c r="E632" s="20">
        <v>42324</v>
      </c>
      <c r="F632" s="20">
        <v>45977</v>
      </c>
      <c r="G632" s="21">
        <v>35575</v>
      </c>
      <c r="H632" s="22">
        <f t="shared" ca="1" si="18"/>
        <v>29</v>
      </c>
      <c r="I632" s="19" t="s">
        <v>26</v>
      </c>
      <c r="J632" s="18" t="s">
        <v>27</v>
      </c>
      <c r="K632" s="18"/>
      <c r="L632" s="23" t="s">
        <v>1612</v>
      </c>
      <c r="M632" s="23" t="s">
        <v>99</v>
      </c>
      <c r="N632" s="23" t="s">
        <v>1499</v>
      </c>
      <c r="O632" s="18">
        <v>1</v>
      </c>
      <c r="P632" s="24"/>
      <c r="Q632" s="25">
        <v>43115</v>
      </c>
      <c r="R632" s="13">
        <v>0</v>
      </c>
      <c r="S632" s="26" t="str">
        <f>VLOOKUP(C632,'[1]Bazaar Salary'!$B$6:$J$1193,9,0)</f>
        <v>01530010049435720022</v>
      </c>
      <c r="T632" s="25" t="s">
        <v>32</v>
      </c>
      <c r="U632" s="25" t="s">
        <v>225</v>
      </c>
      <c r="V632" s="25" t="s">
        <v>1535</v>
      </c>
      <c r="W632" s="27" t="s">
        <v>2490</v>
      </c>
      <c r="X632" s="28" t="s">
        <v>2491</v>
      </c>
      <c r="Y632" s="28"/>
      <c r="Z632" s="29" t="s">
        <v>37</v>
      </c>
    </row>
    <row r="633" spans="1:26" ht="30" customHeight="1" thickBot="1" x14ac:dyDescent="0.25">
      <c r="A633" s="17">
        <f t="shared" si="19"/>
        <v>632</v>
      </c>
      <c r="B633" s="18" t="s">
        <v>25</v>
      </c>
      <c r="C633" s="19">
        <v>3510298717705</v>
      </c>
      <c r="D633" s="19">
        <v>1142</v>
      </c>
      <c r="E633" s="20">
        <v>44077</v>
      </c>
      <c r="F633" s="20">
        <v>47729</v>
      </c>
      <c r="G633" s="21">
        <v>32938</v>
      </c>
      <c r="H633" s="22">
        <f t="shared" ca="1" si="18"/>
        <v>36</v>
      </c>
      <c r="I633" s="19" t="s">
        <v>26</v>
      </c>
      <c r="J633" s="18" t="s">
        <v>27</v>
      </c>
      <c r="K633" s="18"/>
      <c r="L633" s="23" t="s">
        <v>2492</v>
      </c>
      <c r="M633" s="23" t="s">
        <v>491</v>
      </c>
      <c r="N633" s="23" t="s">
        <v>1499</v>
      </c>
      <c r="O633" s="18">
        <v>1</v>
      </c>
      <c r="P633" s="24"/>
      <c r="Q633" s="25">
        <v>43678</v>
      </c>
      <c r="R633" s="13">
        <v>0</v>
      </c>
      <c r="S633" s="26" t="str">
        <f>VLOOKUP(C633,'[1]Bazaar Salary'!$B$6:$J$1193,9,0)</f>
        <v>05390010061152630023</v>
      </c>
      <c r="T633" s="25" t="s">
        <v>32</v>
      </c>
      <c r="U633" s="25" t="s">
        <v>225</v>
      </c>
      <c r="V633" s="25" t="s">
        <v>884</v>
      </c>
      <c r="W633" s="27" t="s">
        <v>2493</v>
      </c>
      <c r="X633" s="28" t="s">
        <v>2494</v>
      </c>
      <c r="Y633" s="28"/>
      <c r="Z633" s="29" t="s">
        <v>37</v>
      </c>
    </row>
    <row r="634" spans="1:26" ht="30" customHeight="1" thickBot="1" x14ac:dyDescent="0.25">
      <c r="A634" s="17">
        <f t="shared" si="19"/>
        <v>633</v>
      </c>
      <c r="B634" s="18" t="s">
        <v>25</v>
      </c>
      <c r="C634" s="19">
        <v>3510231071651</v>
      </c>
      <c r="D634" s="19">
        <v>443</v>
      </c>
      <c r="E634" s="20">
        <v>43605</v>
      </c>
      <c r="F634" s="20">
        <v>47258</v>
      </c>
      <c r="G634" s="21">
        <v>32325</v>
      </c>
      <c r="H634" s="22">
        <f t="shared" ca="1" si="18"/>
        <v>37</v>
      </c>
      <c r="I634" s="19" t="s">
        <v>26</v>
      </c>
      <c r="J634" s="18" t="s">
        <v>27</v>
      </c>
      <c r="K634" s="18"/>
      <c r="L634" s="23" t="s">
        <v>2495</v>
      </c>
      <c r="M634" s="23" t="s">
        <v>2496</v>
      </c>
      <c r="N634" s="23" t="s">
        <v>1499</v>
      </c>
      <c r="O634" s="18">
        <v>1</v>
      </c>
      <c r="P634" s="24"/>
      <c r="Q634" s="25">
        <v>40751</v>
      </c>
      <c r="R634" s="13">
        <v>0</v>
      </c>
      <c r="S634" s="26" t="str">
        <f>VLOOKUP(C634,'[1]Bazaar Salary'!$B$6:$J$1193,9,0)</f>
        <v>05390010045823540017</v>
      </c>
      <c r="T634" s="25" t="s">
        <v>32</v>
      </c>
      <c r="U634" s="25" t="s">
        <v>225</v>
      </c>
      <c r="V634" s="25" t="s">
        <v>1356</v>
      </c>
      <c r="W634" s="27" t="s">
        <v>2497</v>
      </c>
      <c r="X634" s="28" t="s">
        <v>2498</v>
      </c>
      <c r="Y634" s="28"/>
      <c r="Z634" s="29" t="s">
        <v>37</v>
      </c>
    </row>
    <row r="635" spans="1:26" ht="30" customHeight="1" thickBot="1" x14ac:dyDescent="0.25">
      <c r="A635" s="17">
        <f t="shared" si="19"/>
        <v>634</v>
      </c>
      <c r="B635" s="18" t="s">
        <v>25</v>
      </c>
      <c r="C635" s="19">
        <v>3510211556565</v>
      </c>
      <c r="D635" s="19">
        <v>306</v>
      </c>
      <c r="E635" s="20">
        <v>45324</v>
      </c>
      <c r="F635" s="20">
        <v>48977</v>
      </c>
      <c r="G635" s="21">
        <v>31778</v>
      </c>
      <c r="H635" s="22">
        <f t="shared" ca="1" si="18"/>
        <v>39</v>
      </c>
      <c r="I635" s="19" t="s">
        <v>26</v>
      </c>
      <c r="J635" s="18" t="s">
        <v>27</v>
      </c>
      <c r="K635" s="18"/>
      <c r="L635" s="23" t="s">
        <v>1443</v>
      </c>
      <c r="M635" s="23" t="s">
        <v>491</v>
      </c>
      <c r="N635" s="23" t="s">
        <v>1499</v>
      </c>
      <c r="O635" s="18">
        <v>1</v>
      </c>
      <c r="P635" s="24"/>
      <c r="Q635" s="25">
        <v>42149</v>
      </c>
      <c r="R635" s="13">
        <v>0</v>
      </c>
      <c r="S635" s="26" t="str">
        <f>VLOOKUP(C635,'[1]Bazaar Salary'!$B$6:$J$1193,9,0)</f>
        <v>05390010045908100022</v>
      </c>
      <c r="T635" s="25" t="s">
        <v>32</v>
      </c>
      <c r="U635" s="25" t="s">
        <v>225</v>
      </c>
      <c r="V635" s="25" t="s">
        <v>1356</v>
      </c>
      <c r="W635" s="27" t="s">
        <v>2499</v>
      </c>
      <c r="X635" s="28" t="s">
        <v>2500</v>
      </c>
      <c r="Y635" s="28"/>
      <c r="Z635" s="29" t="s">
        <v>37</v>
      </c>
    </row>
    <row r="636" spans="1:26" ht="30" customHeight="1" thickBot="1" x14ac:dyDescent="0.25">
      <c r="A636" s="17">
        <f t="shared" si="19"/>
        <v>635</v>
      </c>
      <c r="B636" s="18" t="s">
        <v>25</v>
      </c>
      <c r="C636" s="19">
        <v>3510235795326</v>
      </c>
      <c r="D636" s="19">
        <v>1489</v>
      </c>
      <c r="E636" s="20">
        <v>43745</v>
      </c>
      <c r="F636" s="20">
        <v>47398</v>
      </c>
      <c r="G636" s="21">
        <v>28856</v>
      </c>
      <c r="H636" s="22">
        <f t="shared" ca="1" si="18"/>
        <v>47</v>
      </c>
      <c r="I636" s="18" t="s">
        <v>912</v>
      </c>
      <c r="J636" s="18" t="s">
        <v>66</v>
      </c>
      <c r="K636" s="18"/>
      <c r="L636" s="30" t="s">
        <v>2501</v>
      </c>
      <c r="M636" s="30" t="s">
        <v>2502</v>
      </c>
      <c r="N636" s="23" t="s">
        <v>1499</v>
      </c>
      <c r="O636" s="18">
        <v>1</v>
      </c>
      <c r="P636" s="24"/>
      <c r="Q636" s="25">
        <v>45748</v>
      </c>
      <c r="R636" s="13">
        <v>0</v>
      </c>
      <c r="S636" s="26" t="str">
        <f>VLOOKUP(C636,'[1]Bazaar Salary'!$B$6:$J$1193,9,0)</f>
        <v>05390010105283750016</v>
      </c>
      <c r="T636" s="25" t="s">
        <v>32</v>
      </c>
      <c r="U636" s="25" t="s">
        <v>225</v>
      </c>
      <c r="V636" s="25" t="s">
        <v>1093</v>
      </c>
      <c r="W636" s="24" t="s">
        <v>2503</v>
      </c>
      <c r="X636" s="28"/>
      <c r="Y636" s="28"/>
      <c r="Z636" s="29" t="s">
        <v>37</v>
      </c>
    </row>
    <row r="637" spans="1:26" ht="30" customHeight="1" thickBot="1" x14ac:dyDescent="0.25">
      <c r="A637" s="17">
        <f t="shared" si="19"/>
        <v>636</v>
      </c>
      <c r="B637" s="18" t="s">
        <v>25</v>
      </c>
      <c r="C637" s="19">
        <v>3510298071418</v>
      </c>
      <c r="D637" s="19">
        <v>1490</v>
      </c>
      <c r="E637" s="20">
        <v>44515</v>
      </c>
      <c r="F637" s="20">
        <v>48167</v>
      </c>
      <c r="G637" s="21">
        <v>31467</v>
      </c>
      <c r="H637" s="22">
        <f t="shared" ca="1" si="18"/>
        <v>40</v>
      </c>
      <c r="I637" s="19" t="s">
        <v>26</v>
      </c>
      <c r="J637" s="18" t="s">
        <v>66</v>
      </c>
      <c r="K637" s="18"/>
      <c r="L637" s="30" t="s">
        <v>2504</v>
      </c>
      <c r="M637" s="30" t="s">
        <v>2505</v>
      </c>
      <c r="N637" s="23" t="s">
        <v>1499</v>
      </c>
      <c r="O637" s="18">
        <v>1</v>
      </c>
      <c r="P637" s="24"/>
      <c r="Q637" s="25">
        <v>45748</v>
      </c>
      <c r="R637" s="13">
        <v>0</v>
      </c>
      <c r="S637" s="26" t="str">
        <f>VLOOKUP(C637,'[1]Bazaar Salary'!$B$6:$J$1193,9,0)</f>
        <v>05390010105559670014</v>
      </c>
      <c r="T637" s="25" t="s">
        <v>32</v>
      </c>
      <c r="U637" s="25" t="s">
        <v>225</v>
      </c>
      <c r="V637" s="25" t="s">
        <v>1093</v>
      </c>
      <c r="W637" s="23" t="s">
        <v>2506</v>
      </c>
      <c r="X637" s="28"/>
      <c r="Y637" s="28"/>
      <c r="Z637" s="29" t="s">
        <v>37</v>
      </c>
    </row>
    <row r="638" spans="1:26" ht="30" customHeight="1" thickBot="1" x14ac:dyDescent="0.25">
      <c r="A638" s="17">
        <f t="shared" si="19"/>
        <v>637</v>
      </c>
      <c r="B638" s="18" t="s">
        <v>25</v>
      </c>
      <c r="C638" s="19">
        <v>3510291924873</v>
      </c>
      <c r="D638" s="19">
        <v>448</v>
      </c>
      <c r="E638" s="20">
        <v>43355</v>
      </c>
      <c r="F638" s="20">
        <v>47008</v>
      </c>
      <c r="G638" s="21">
        <v>29175</v>
      </c>
      <c r="H638" s="22">
        <f t="shared" ca="1" si="18"/>
        <v>46</v>
      </c>
      <c r="I638" s="19" t="s">
        <v>26</v>
      </c>
      <c r="J638" s="18" t="s">
        <v>27</v>
      </c>
      <c r="K638" s="18"/>
      <c r="L638" s="23" t="s">
        <v>99</v>
      </c>
      <c r="M638" s="23" t="s">
        <v>2507</v>
      </c>
      <c r="N638" s="23" t="s">
        <v>1499</v>
      </c>
      <c r="O638" s="18">
        <v>1</v>
      </c>
      <c r="P638" s="24"/>
      <c r="Q638" s="25">
        <v>42316</v>
      </c>
      <c r="R638" s="13">
        <v>0</v>
      </c>
      <c r="S638" s="26" t="str">
        <f>VLOOKUP(C638,'[1]Bazaar Salary'!$B$6:$J$1193,9,0)</f>
        <v>01530010045819030013</v>
      </c>
      <c r="T638" s="25" t="s">
        <v>32</v>
      </c>
      <c r="U638" s="25" t="s">
        <v>225</v>
      </c>
      <c r="V638" s="25" t="s">
        <v>1356</v>
      </c>
      <c r="W638" s="27" t="s">
        <v>2508</v>
      </c>
      <c r="X638" s="28" t="s">
        <v>2509</v>
      </c>
      <c r="Y638" s="28"/>
      <c r="Z638" s="29" t="s">
        <v>37</v>
      </c>
    </row>
    <row r="639" spans="1:26" ht="30" customHeight="1" thickBot="1" x14ac:dyDescent="0.25">
      <c r="A639" s="17">
        <f t="shared" si="19"/>
        <v>638</v>
      </c>
      <c r="B639" s="18" t="s">
        <v>25</v>
      </c>
      <c r="C639" s="19">
        <v>3660292555859</v>
      </c>
      <c r="D639" s="19"/>
      <c r="E639" s="20">
        <v>45448</v>
      </c>
      <c r="F639" s="20">
        <v>49100</v>
      </c>
      <c r="G639" s="21">
        <v>33604</v>
      </c>
      <c r="H639" s="22">
        <f t="shared" ca="1" si="18"/>
        <v>34</v>
      </c>
      <c r="I639" s="19" t="s">
        <v>26</v>
      </c>
      <c r="J639" s="18" t="s">
        <v>27</v>
      </c>
      <c r="K639" s="18"/>
      <c r="L639" s="23" t="s">
        <v>1940</v>
      </c>
      <c r="M639" s="23" t="s">
        <v>2510</v>
      </c>
      <c r="N639" s="23" t="s">
        <v>1499</v>
      </c>
      <c r="O639" s="18">
        <v>1</v>
      </c>
      <c r="P639" s="24"/>
      <c r="Q639" s="25">
        <v>45809</v>
      </c>
      <c r="R639" s="13">
        <v>0</v>
      </c>
      <c r="S639" s="26" t="str">
        <f>VLOOKUP(C639,'[1]Bazaar Salary'!$B$6:$J$1193,9,0)</f>
        <v>02880010137705030016</v>
      </c>
      <c r="T639" s="25" t="s">
        <v>32</v>
      </c>
      <c r="U639" s="25" t="s">
        <v>225</v>
      </c>
      <c r="V639" s="25" t="s">
        <v>1093</v>
      </c>
      <c r="W639" s="27" t="s">
        <v>2511</v>
      </c>
      <c r="X639" s="28" t="s">
        <v>2512</v>
      </c>
      <c r="Y639" s="28"/>
      <c r="Z639" s="29" t="s">
        <v>37</v>
      </c>
    </row>
    <row r="640" spans="1:26" ht="30" customHeight="1" thickBot="1" x14ac:dyDescent="0.25">
      <c r="A640" s="17">
        <f t="shared" si="19"/>
        <v>639</v>
      </c>
      <c r="B640" s="18" t="s">
        <v>25</v>
      </c>
      <c r="C640" s="19">
        <v>3510252628797</v>
      </c>
      <c r="D640" s="19">
        <v>445</v>
      </c>
      <c r="E640" s="20">
        <v>45099</v>
      </c>
      <c r="F640" s="20">
        <v>48752</v>
      </c>
      <c r="G640" s="21">
        <v>34066</v>
      </c>
      <c r="H640" s="22">
        <f t="shared" ca="1" si="18"/>
        <v>33</v>
      </c>
      <c r="I640" s="19" t="s">
        <v>26</v>
      </c>
      <c r="J640" s="18" t="s">
        <v>27</v>
      </c>
      <c r="K640" s="18"/>
      <c r="L640" s="23" t="s">
        <v>2513</v>
      </c>
      <c r="M640" s="23" t="s">
        <v>2514</v>
      </c>
      <c r="N640" s="23" t="s">
        <v>1499</v>
      </c>
      <c r="O640" s="18">
        <v>1</v>
      </c>
      <c r="P640" s="24"/>
      <c r="Q640" s="25">
        <v>41913</v>
      </c>
      <c r="R640" s="13">
        <v>0</v>
      </c>
      <c r="S640" s="26" t="str">
        <f>VLOOKUP(C640,'[1]Bazaar Salary'!$B$6:$J$1193,9,0)</f>
        <v>05390010045820530014</v>
      </c>
      <c r="T640" s="25" t="s">
        <v>32</v>
      </c>
      <c r="U640" s="25" t="s">
        <v>225</v>
      </c>
      <c r="V640" s="25" t="s">
        <v>1356</v>
      </c>
      <c r="W640" s="27" t="s">
        <v>2515</v>
      </c>
      <c r="X640" s="28" t="s">
        <v>2516</v>
      </c>
      <c r="Y640" s="28"/>
      <c r="Z640" s="29" t="s">
        <v>37</v>
      </c>
    </row>
    <row r="641" spans="1:26" ht="30" customHeight="1" thickBot="1" x14ac:dyDescent="0.25">
      <c r="A641" s="17">
        <f t="shared" si="19"/>
        <v>640</v>
      </c>
      <c r="B641" s="18" t="s">
        <v>25</v>
      </c>
      <c r="C641" s="19">
        <v>3510294581159</v>
      </c>
      <c r="D641" s="19">
        <v>1665</v>
      </c>
      <c r="E641" s="21">
        <v>45041</v>
      </c>
      <c r="F641" s="21">
        <v>48694</v>
      </c>
      <c r="G641" s="21">
        <v>34746</v>
      </c>
      <c r="H641" s="22">
        <f t="shared" ca="1" si="18"/>
        <v>31</v>
      </c>
      <c r="I641" s="18" t="s">
        <v>26</v>
      </c>
      <c r="J641" s="18" t="s">
        <v>27</v>
      </c>
      <c r="K641" s="23"/>
      <c r="L641" s="24" t="s">
        <v>1542</v>
      </c>
      <c r="M641" s="33" t="s">
        <v>2517</v>
      </c>
      <c r="N641" s="23" t="s">
        <v>1499</v>
      </c>
      <c r="O641" s="18">
        <v>1</v>
      </c>
      <c r="P641" s="24"/>
      <c r="Q641" s="25">
        <v>45748</v>
      </c>
      <c r="R641" s="13">
        <v>0</v>
      </c>
      <c r="S641" s="26" t="str">
        <f>VLOOKUP(C641,'[1]Bazaar Salary'!$B$6:$J$1193,9,0)</f>
        <v>03910010135394480014</v>
      </c>
      <c r="T641" s="25" t="s">
        <v>32</v>
      </c>
      <c r="U641" s="25" t="s">
        <v>225</v>
      </c>
      <c r="V641" s="25" t="s">
        <v>1093</v>
      </c>
      <c r="W641" s="33" t="s">
        <v>2518</v>
      </c>
      <c r="X641" s="28" t="s">
        <v>2519</v>
      </c>
      <c r="Y641" s="28"/>
      <c r="Z641" s="29" t="s">
        <v>37</v>
      </c>
    </row>
    <row r="642" spans="1:26" ht="30" customHeight="1" thickBot="1" x14ac:dyDescent="0.25">
      <c r="A642" s="17">
        <f t="shared" si="19"/>
        <v>641</v>
      </c>
      <c r="B642" s="18" t="s">
        <v>25</v>
      </c>
      <c r="C642" s="19">
        <v>3510253830107</v>
      </c>
      <c r="D642" s="19">
        <v>1450</v>
      </c>
      <c r="E642" s="20">
        <v>43484</v>
      </c>
      <c r="F642" s="20">
        <v>47137</v>
      </c>
      <c r="G642" s="21">
        <v>28728</v>
      </c>
      <c r="H642" s="22">
        <f t="shared" ref="H642:H705" ca="1" si="20">INT((TODAY()-G642)/365)</f>
        <v>47</v>
      </c>
      <c r="I642" s="19" t="s">
        <v>26</v>
      </c>
      <c r="J642" s="18" t="s">
        <v>27</v>
      </c>
      <c r="K642" s="18"/>
      <c r="L642" s="23" t="s">
        <v>2520</v>
      </c>
      <c r="M642" s="23" t="s">
        <v>350</v>
      </c>
      <c r="N642" s="23" t="s">
        <v>1499</v>
      </c>
      <c r="O642" s="18">
        <v>1</v>
      </c>
      <c r="P642" s="24"/>
      <c r="Q642" s="25">
        <v>45748</v>
      </c>
      <c r="R642" s="13">
        <v>0</v>
      </c>
      <c r="S642" s="26" t="str">
        <f>VLOOKUP(C642,'[1]Bazaar Salary'!$B$6:$J$1193,9,0)</f>
        <v>05390010100555830017</v>
      </c>
      <c r="T642" s="25" t="s">
        <v>32</v>
      </c>
      <c r="U642" s="25" t="s">
        <v>225</v>
      </c>
      <c r="V642" s="25" t="s">
        <v>884</v>
      </c>
      <c r="W642" s="27" t="s">
        <v>2521</v>
      </c>
      <c r="X642" s="28" t="s">
        <v>2522</v>
      </c>
      <c r="Y642" s="28"/>
      <c r="Z642" s="29" t="s">
        <v>37</v>
      </c>
    </row>
    <row r="643" spans="1:26" ht="30" customHeight="1" thickBot="1" x14ac:dyDescent="0.25">
      <c r="A643" s="17">
        <f t="shared" si="19"/>
        <v>642</v>
      </c>
      <c r="B643" s="18" t="s">
        <v>25</v>
      </c>
      <c r="C643" s="19">
        <v>3510260913925</v>
      </c>
      <c r="D643" s="19">
        <v>447</v>
      </c>
      <c r="E643" s="20">
        <v>44586</v>
      </c>
      <c r="F643" s="20">
        <v>48238</v>
      </c>
      <c r="G643" s="21">
        <v>28491</v>
      </c>
      <c r="H643" s="22">
        <f t="shared" ca="1" si="20"/>
        <v>48</v>
      </c>
      <c r="I643" s="19" t="s">
        <v>26</v>
      </c>
      <c r="J643" s="18" t="s">
        <v>27</v>
      </c>
      <c r="K643" s="18"/>
      <c r="L643" s="23" t="s">
        <v>2523</v>
      </c>
      <c r="M643" s="23" t="s">
        <v>2524</v>
      </c>
      <c r="N643" s="23" t="s">
        <v>1499</v>
      </c>
      <c r="O643" s="18">
        <v>1</v>
      </c>
      <c r="P643" s="24"/>
      <c r="Q643" s="25">
        <v>43089</v>
      </c>
      <c r="R643" s="13">
        <v>0</v>
      </c>
      <c r="S643" s="26" t="str">
        <f>VLOOKUP(C643,'[1]Bazaar Salary'!$B$6:$J$1193,9,0)</f>
        <v>05390010049357430012</v>
      </c>
      <c r="T643" s="25" t="s">
        <v>32</v>
      </c>
      <c r="U643" s="25" t="s">
        <v>225</v>
      </c>
      <c r="V643" s="25" t="s">
        <v>1356</v>
      </c>
      <c r="W643" s="27" t="s">
        <v>2525</v>
      </c>
      <c r="X643" s="28" t="s">
        <v>2526</v>
      </c>
      <c r="Y643" s="28"/>
      <c r="Z643" s="29" t="s">
        <v>37</v>
      </c>
    </row>
    <row r="644" spans="1:26" ht="30" customHeight="1" thickBot="1" x14ac:dyDescent="0.25">
      <c r="A644" s="17">
        <f t="shared" ref="A644:A707" si="21">A643+1</f>
        <v>643</v>
      </c>
      <c r="B644" s="18" t="s">
        <v>25</v>
      </c>
      <c r="C644" s="19">
        <v>3510201517401</v>
      </c>
      <c r="D644" s="19">
        <v>1683</v>
      </c>
      <c r="E644" s="21">
        <v>44469</v>
      </c>
      <c r="F644" s="21">
        <v>48121</v>
      </c>
      <c r="G644" s="21">
        <v>35055</v>
      </c>
      <c r="H644" s="22">
        <f t="shared" ca="1" si="20"/>
        <v>30</v>
      </c>
      <c r="I644" s="18" t="s">
        <v>26</v>
      </c>
      <c r="J644" s="18" t="s">
        <v>27</v>
      </c>
      <c r="K644" s="23"/>
      <c r="L644" s="24" t="s">
        <v>2527</v>
      </c>
      <c r="M644" s="33" t="s">
        <v>1379</v>
      </c>
      <c r="N644" s="23" t="s">
        <v>1499</v>
      </c>
      <c r="O644" s="18">
        <v>1</v>
      </c>
      <c r="P644" s="24"/>
      <c r="Q644" s="25">
        <v>45748</v>
      </c>
      <c r="R644" s="13">
        <v>0</v>
      </c>
      <c r="S644" s="26" t="str">
        <f>VLOOKUP(C644,'[1]Bazaar Salary'!$B$6:$J$1193,9,0)</f>
        <v>05390010135255930014</v>
      </c>
      <c r="T644" s="25" t="s">
        <v>32</v>
      </c>
      <c r="U644" s="25" t="s">
        <v>225</v>
      </c>
      <c r="V644" s="25" t="s">
        <v>1093</v>
      </c>
      <c r="W644" s="33" t="s">
        <v>2528</v>
      </c>
      <c r="X644" s="28" t="s">
        <v>2529</v>
      </c>
      <c r="Y644" s="28"/>
      <c r="Z644" s="29" t="s">
        <v>37</v>
      </c>
    </row>
    <row r="645" spans="1:26" ht="30" customHeight="1" thickBot="1" x14ac:dyDescent="0.25">
      <c r="A645" s="17">
        <f t="shared" si="21"/>
        <v>644</v>
      </c>
      <c r="B645" s="18" t="s">
        <v>25</v>
      </c>
      <c r="C645" s="19">
        <v>3510220006099</v>
      </c>
      <c r="D645" s="19">
        <v>444</v>
      </c>
      <c r="E645" s="20">
        <v>44679</v>
      </c>
      <c r="F645" s="20">
        <v>48332</v>
      </c>
      <c r="G645" s="21">
        <v>29403</v>
      </c>
      <c r="H645" s="22">
        <f t="shared" ca="1" si="20"/>
        <v>45</v>
      </c>
      <c r="I645" s="19" t="s">
        <v>26</v>
      </c>
      <c r="J645" s="18" t="s">
        <v>27</v>
      </c>
      <c r="K645" s="18"/>
      <c r="L645" s="23" t="s">
        <v>2530</v>
      </c>
      <c r="M645" s="23" t="s">
        <v>2531</v>
      </c>
      <c r="N645" s="23" t="s">
        <v>1499</v>
      </c>
      <c r="O645" s="18">
        <v>1</v>
      </c>
      <c r="P645" s="24"/>
      <c r="Q645" s="25">
        <v>42767</v>
      </c>
      <c r="R645" s="13">
        <v>0</v>
      </c>
      <c r="S645" s="26" t="str">
        <f>VLOOKUP(C645,'[1]Bazaar Salary'!$B$6:$J$1193,9,0)</f>
        <v>05390010045718460017</v>
      </c>
      <c r="T645" s="25" t="s">
        <v>32</v>
      </c>
      <c r="U645" s="25" t="s">
        <v>225</v>
      </c>
      <c r="V645" s="25" t="s">
        <v>1356</v>
      </c>
      <c r="W645" s="27" t="s">
        <v>2532</v>
      </c>
      <c r="X645" s="28" t="s">
        <v>2533</v>
      </c>
      <c r="Y645" s="28"/>
      <c r="Z645" s="29" t="s">
        <v>37</v>
      </c>
    </row>
    <row r="646" spans="1:26" ht="30" customHeight="1" thickBot="1" x14ac:dyDescent="0.25">
      <c r="A646" s="17">
        <f t="shared" si="21"/>
        <v>645</v>
      </c>
      <c r="B646" s="18" t="s">
        <v>25</v>
      </c>
      <c r="C646" s="19">
        <v>3510206322045</v>
      </c>
      <c r="D646" s="19">
        <v>1353</v>
      </c>
      <c r="E646" s="20">
        <v>45176</v>
      </c>
      <c r="F646" s="20">
        <v>48829</v>
      </c>
      <c r="G646" s="21">
        <v>29988</v>
      </c>
      <c r="H646" s="22">
        <f t="shared" ca="1" si="20"/>
        <v>44</v>
      </c>
      <c r="I646" s="19" t="s">
        <v>26</v>
      </c>
      <c r="J646" s="18" t="s">
        <v>27</v>
      </c>
      <c r="K646" s="18"/>
      <c r="L646" s="23" t="s">
        <v>772</v>
      </c>
      <c r="M646" s="23" t="s">
        <v>2534</v>
      </c>
      <c r="N646" s="23" t="s">
        <v>1499</v>
      </c>
      <c r="O646" s="18">
        <v>1</v>
      </c>
      <c r="P646" s="24"/>
      <c r="Q646" s="25">
        <v>45748</v>
      </c>
      <c r="R646" s="13">
        <v>0</v>
      </c>
      <c r="S646" s="26" t="str">
        <f>VLOOKUP(C646,'[1]Bazaar Salary'!$B$6:$J$1193,9,0)</f>
        <v>05390010092839680024</v>
      </c>
      <c r="T646" s="25" t="s">
        <v>32</v>
      </c>
      <c r="U646" s="25" t="s">
        <v>225</v>
      </c>
      <c r="V646" s="25" t="s">
        <v>884</v>
      </c>
      <c r="W646" s="27" t="s">
        <v>2535</v>
      </c>
      <c r="X646" s="28" t="s">
        <v>2536</v>
      </c>
      <c r="Y646" s="28"/>
      <c r="Z646" s="29" t="s">
        <v>37</v>
      </c>
    </row>
    <row r="647" spans="1:26" ht="30" customHeight="1" thickBot="1" x14ac:dyDescent="0.25">
      <c r="A647" s="17">
        <f t="shared" si="21"/>
        <v>646</v>
      </c>
      <c r="B647" s="18" t="s">
        <v>25</v>
      </c>
      <c r="C647" s="19">
        <v>3610268717151</v>
      </c>
      <c r="D647" s="19">
        <v>1817</v>
      </c>
      <c r="E647" s="20">
        <v>43132</v>
      </c>
      <c r="F647" s="20">
        <v>46784</v>
      </c>
      <c r="G647" s="21">
        <v>32035</v>
      </c>
      <c r="H647" s="22">
        <f t="shared" ca="1" si="20"/>
        <v>38</v>
      </c>
      <c r="I647" s="19" t="s">
        <v>26</v>
      </c>
      <c r="J647" s="18" t="s">
        <v>27</v>
      </c>
      <c r="K647" s="18"/>
      <c r="L647" s="23" t="s">
        <v>1603</v>
      </c>
      <c r="M647" s="23" t="s">
        <v>2537</v>
      </c>
      <c r="N647" s="23" t="s">
        <v>1499</v>
      </c>
      <c r="O647" s="18">
        <v>1</v>
      </c>
      <c r="P647" s="24"/>
      <c r="Q647" s="25">
        <v>45748</v>
      </c>
      <c r="R647" s="13">
        <v>0</v>
      </c>
      <c r="S647" s="26" t="str">
        <f>VLOOKUP(C647,'[1]Bazaar Salary'!$B$6:$J$1193,9,0)</f>
        <v>00940010142736660016</v>
      </c>
      <c r="T647" s="25" t="s">
        <v>32</v>
      </c>
      <c r="U647" s="25" t="s">
        <v>231</v>
      </c>
      <c r="V647" s="25" t="s">
        <v>1093</v>
      </c>
      <c r="W647" s="27" t="s">
        <v>2538</v>
      </c>
      <c r="X647" s="28" t="s">
        <v>2539</v>
      </c>
      <c r="Y647" s="28"/>
      <c r="Z647" s="29" t="s">
        <v>37</v>
      </c>
    </row>
    <row r="648" spans="1:26" ht="30" customHeight="1" thickBot="1" x14ac:dyDescent="0.25">
      <c r="A648" s="17">
        <f t="shared" si="21"/>
        <v>647</v>
      </c>
      <c r="B648" s="18" t="s">
        <v>25</v>
      </c>
      <c r="C648" s="19">
        <v>3820212507561</v>
      </c>
      <c r="D648" s="19">
        <v>453</v>
      </c>
      <c r="E648" s="20">
        <v>43732</v>
      </c>
      <c r="F648" s="20">
        <v>47385</v>
      </c>
      <c r="G648" s="21">
        <v>28897</v>
      </c>
      <c r="H648" s="22">
        <f t="shared" ca="1" si="20"/>
        <v>47</v>
      </c>
      <c r="I648" s="19" t="s">
        <v>26</v>
      </c>
      <c r="J648" s="18" t="s">
        <v>27</v>
      </c>
      <c r="K648" s="18"/>
      <c r="L648" s="23" t="s">
        <v>2540</v>
      </c>
      <c r="M648" s="23" t="s">
        <v>2541</v>
      </c>
      <c r="N648" s="23" t="s">
        <v>1551</v>
      </c>
      <c r="O648" s="18">
        <v>1</v>
      </c>
      <c r="P648" s="24"/>
      <c r="Q648" s="25">
        <v>42948</v>
      </c>
      <c r="R648" s="13">
        <v>0</v>
      </c>
      <c r="S648" s="26" t="str">
        <f>VLOOKUP(C648,'[1]Bazaar Salary'!$B$6:$J$1193,9,0)</f>
        <v>01220010045888170015</v>
      </c>
      <c r="T648" s="25" t="s">
        <v>32</v>
      </c>
      <c r="U648" s="25" t="s">
        <v>386</v>
      </c>
      <c r="V648" s="25" t="s">
        <v>1356</v>
      </c>
      <c r="W648" s="27" t="s">
        <v>2542</v>
      </c>
      <c r="X648" s="28" t="s">
        <v>2543</v>
      </c>
      <c r="Y648" s="28"/>
      <c r="Z648" s="29" t="s">
        <v>37</v>
      </c>
    </row>
    <row r="649" spans="1:26" ht="30" customHeight="1" thickBot="1" x14ac:dyDescent="0.25">
      <c r="A649" s="17">
        <f t="shared" si="21"/>
        <v>648</v>
      </c>
      <c r="B649" s="18" t="s">
        <v>25</v>
      </c>
      <c r="C649" s="19">
        <v>3820116407495</v>
      </c>
      <c r="D649" s="19">
        <v>564</v>
      </c>
      <c r="E649" s="20">
        <v>42975</v>
      </c>
      <c r="F649" s="20">
        <v>46627</v>
      </c>
      <c r="G649" s="21">
        <v>33637</v>
      </c>
      <c r="H649" s="22">
        <f t="shared" ca="1" si="20"/>
        <v>34</v>
      </c>
      <c r="I649" s="18" t="s">
        <v>912</v>
      </c>
      <c r="J649" s="18" t="s">
        <v>27</v>
      </c>
      <c r="K649" s="18"/>
      <c r="L649" s="23" t="s">
        <v>1557</v>
      </c>
      <c r="M649" s="23" t="s">
        <v>2544</v>
      </c>
      <c r="N649" s="23" t="s">
        <v>1488</v>
      </c>
      <c r="O649" s="18">
        <v>1</v>
      </c>
      <c r="P649" s="24"/>
      <c r="Q649" s="25">
        <v>42971</v>
      </c>
      <c r="R649" s="13">
        <v>0</v>
      </c>
      <c r="S649" s="26" t="str">
        <f>VLOOKUP(C649,'[1]Bazaar Salary'!$B$6:$J$1193,9,0)</f>
        <v>01220010046567930013</v>
      </c>
      <c r="T649" s="25" t="s">
        <v>32</v>
      </c>
      <c r="U649" s="25" t="s">
        <v>386</v>
      </c>
      <c r="V649" s="25" t="s">
        <v>1535</v>
      </c>
      <c r="W649" s="27" t="s">
        <v>2545</v>
      </c>
      <c r="X649" s="28" t="s">
        <v>2546</v>
      </c>
      <c r="Y649" s="28"/>
      <c r="Z649" s="29" t="s">
        <v>37</v>
      </c>
    </row>
    <row r="650" spans="1:26" ht="30" customHeight="1" thickBot="1" x14ac:dyDescent="0.25">
      <c r="A650" s="17">
        <f t="shared" si="21"/>
        <v>649</v>
      </c>
      <c r="B650" s="18" t="s">
        <v>25</v>
      </c>
      <c r="C650" s="19">
        <v>3840385629619</v>
      </c>
      <c r="D650" s="19">
        <v>565</v>
      </c>
      <c r="E650" s="20">
        <v>43707</v>
      </c>
      <c r="F650" s="20">
        <v>47360</v>
      </c>
      <c r="G650" s="21">
        <v>33045</v>
      </c>
      <c r="H650" s="22">
        <f t="shared" ca="1" si="20"/>
        <v>36</v>
      </c>
      <c r="I650" s="18" t="s">
        <v>912</v>
      </c>
      <c r="J650" s="18" t="s">
        <v>27</v>
      </c>
      <c r="K650" s="18"/>
      <c r="L650" s="23" t="s">
        <v>2285</v>
      </c>
      <c r="M650" s="23" t="s">
        <v>2547</v>
      </c>
      <c r="N650" s="23" t="s">
        <v>1488</v>
      </c>
      <c r="O650" s="18">
        <v>1</v>
      </c>
      <c r="P650" s="24"/>
      <c r="Q650" s="25">
        <v>42971</v>
      </c>
      <c r="R650" s="13">
        <v>0</v>
      </c>
      <c r="S650" s="26" t="str">
        <f>VLOOKUP(C650,'[1]Bazaar Salary'!$B$6:$J$1193,9,0)</f>
        <v>01220010046547560013</v>
      </c>
      <c r="T650" s="25" t="s">
        <v>32</v>
      </c>
      <c r="U650" s="25" t="s">
        <v>386</v>
      </c>
      <c r="V650" s="25" t="s">
        <v>1535</v>
      </c>
      <c r="W650" s="27" t="s">
        <v>2548</v>
      </c>
      <c r="X650" s="28" t="s">
        <v>2549</v>
      </c>
      <c r="Y650" s="28"/>
      <c r="Z650" s="29" t="s">
        <v>37</v>
      </c>
    </row>
    <row r="651" spans="1:26" ht="30" customHeight="1" thickBot="1" x14ac:dyDescent="0.25">
      <c r="A651" s="17">
        <f t="shared" si="21"/>
        <v>650</v>
      </c>
      <c r="B651" s="18" t="s">
        <v>25</v>
      </c>
      <c r="C651" s="19">
        <v>3820111226279</v>
      </c>
      <c r="D651" s="19">
        <v>1592</v>
      </c>
      <c r="E651" s="20">
        <v>42226</v>
      </c>
      <c r="F651" s="20">
        <v>45879</v>
      </c>
      <c r="G651" s="21">
        <v>27769</v>
      </c>
      <c r="H651" s="22">
        <f t="shared" ca="1" si="20"/>
        <v>50</v>
      </c>
      <c r="I651" s="19" t="s">
        <v>26</v>
      </c>
      <c r="J651" s="18" t="s">
        <v>27</v>
      </c>
      <c r="K651" s="18"/>
      <c r="L651" s="23" t="s">
        <v>2550</v>
      </c>
      <c r="M651" s="23" t="s">
        <v>1725</v>
      </c>
      <c r="N651" s="23" t="s">
        <v>1488</v>
      </c>
      <c r="O651" s="18">
        <v>1</v>
      </c>
      <c r="P651" s="24"/>
      <c r="Q651" s="25">
        <v>45748</v>
      </c>
      <c r="R651" s="13">
        <v>0</v>
      </c>
      <c r="S651" s="26" t="str">
        <f>VLOOKUP(C651,'[1]Bazaar Salary'!$B$6:$J$1193,9,0)</f>
        <v>52320020128456090014</v>
      </c>
      <c r="T651" s="25" t="s">
        <v>32</v>
      </c>
      <c r="U651" s="25" t="s">
        <v>386</v>
      </c>
      <c r="V651" s="25" t="s">
        <v>1093</v>
      </c>
      <c r="W651" s="27" t="s">
        <v>2551</v>
      </c>
      <c r="X651" s="28" t="s">
        <v>2552</v>
      </c>
      <c r="Y651" s="28"/>
      <c r="Z651" s="29" t="s">
        <v>37</v>
      </c>
    </row>
    <row r="652" spans="1:26" ht="30" customHeight="1" thickBot="1" x14ac:dyDescent="0.25">
      <c r="A652" s="17">
        <f t="shared" si="21"/>
        <v>651</v>
      </c>
      <c r="B652" s="18" t="s">
        <v>25</v>
      </c>
      <c r="C652" s="19">
        <v>3820121693113</v>
      </c>
      <c r="D652" s="19">
        <v>456</v>
      </c>
      <c r="E652" s="20">
        <v>44732</v>
      </c>
      <c r="F652" s="20">
        <v>48385</v>
      </c>
      <c r="G652" s="21">
        <v>34335</v>
      </c>
      <c r="H652" s="22">
        <f t="shared" ca="1" si="20"/>
        <v>32</v>
      </c>
      <c r="I652" s="19" t="s">
        <v>26</v>
      </c>
      <c r="J652" s="18" t="s">
        <v>27</v>
      </c>
      <c r="K652" s="18"/>
      <c r="L652" s="23" t="s">
        <v>2553</v>
      </c>
      <c r="M652" s="23" t="s">
        <v>2554</v>
      </c>
      <c r="N652" s="23" t="s">
        <v>1499</v>
      </c>
      <c r="O652" s="18">
        <v>1</v>
      </c>
      <c r="P652" s="24"/>
      <c r="Q652" s="25">
        <v>42948</v>
      </c>
      <c r="R652" s="13">
        <v>0</v>
      </c>
      <c r="S652" s="26" t="str">
        <f>VLOOKUP(C652,'[1]Bazaar Salary'!$B$6:$J$1193,9,0)</f>
        <v>01220010046526350018</v>
      </c>
      <c r="T652" s="25" t="s">
        <v>32</v>
      </c>
      <c r="U652" s="25" t="s">
        <v>386</v>
      </c>
      <c r="V652" s="25" t="s">
        <v>1535</v>
      </c>
      <c r="W652" s="27" t="s">
        <v>2555</v>
      </c>
      <c r="X652" s="28" t="s">
        <v>2556</v>
      </c>
      <c r="Y652" s="28"/>
      <c r="Z652" s="29" t="s">
        <v>37</v>
      </c>
    </row>
    <row r="653" spans="1:26" ht="30" customHeight="1" thickBot="1" x14ac:dyDescent="0.25">
      <c r="A653" s="17">
        <f t="shared" si="21"/>
        <v>652</v>
      </c>
      <c r="B653" s="18" t="s">
        <v>25</v>
      </c>
      <c r="C653" s="19">
        <v>3820160210323</v>
      </c>
      <c r="D653" s="19">
        <v>454</v>
      </c>
      <c r="E653" s="20">
        <v>42941</v>
      </c>
      <c r="F653" s="20">
        <v>46593</v>
      </c>
      <c r="G653" s="21">
        <v>31837</v>
      </c>
      <c r="H653" s="22">
        <f t="shared" ca="1" si="20"/>
        <v>39</v>
      </c>
      <c r="I653" s="19" t="s">
        <v>26</v>
      </c>
      <c r="J653" s="18" t="s">
        <v>27</v>
      </c>
      <c r="K653" s="18"/>
      <c r="L653" s="23" t="s">
        <v>785</v>
      </c>
      <c r="M653" s="23" t="s">
        <v>2557</v>
      </c>
      <c r="N653" s="23" t="s">
        <v>1499</v>
      </c>
      <c r="O653" s="18">
        <v>1</v>
      </c>
      <c r="P653" s="24"/>
      <c r="Q653" s="25">
        <v>42507</v>
      </c>
      <c r="R653" s="13">
        <v>0</v>
      </c>
      <c r="S653" s="26" t="str">
        <f>VLOOKUP(C653,'[1]Bazaar Salary'!$B$6:$J$1193,9,0)</f>
        <v>01220010045750560016</v>
      </c>
      <c r="T653" s="25" t="s">
        <v>32</v>
      </c>
      <c r="U653" s="25" t="s">
        <v>386</v>
      </c>
      <c r="V653" s="25" t="s">
        <v>1356</v>
      </c>
      <c r="W653" s="27" t="s">
        <v>2558</v>
      </c>
      <c r="X653" s="28" t="s">
        <v>2559</v>
      </c>
      <c r="Y653" s="28"/>
      <c r="Z653" s="29" t="s">
        <v>37</v>
      </c>
    </row>
    <row r="654" spans="1:26" ht="30" customHeight="1" thickBot="1" x14ac:dyDescent="0.25">
      <c r="A654" s="17">
        <f t="shared" si="21"/>
        <v>653</v>
      </c>
      <c r="B654" s="18" t="s">
        <v>25</v>
      </c>
      <c r="C654" s="19">
        <v>3820158498441</v>
      </c>
      <c r="D654" s="19">
        <v>1535</v>
      </c>
      <c r="E654" s="20">
        <v>43601</v>
      </c>
      <c r="F654" s="20">
        <v>47254</v>
      </c>
      <c r="G654" s="21">
        <v>33970</v>
      </c>
      <c r="H654" s="22">
        <f t="shared" ca="1" si="20"/>
        <v>33</v>
      </c>
      <c r="I654" s="19" t="s">
        <v>26</v>
      </c>
      <c r="J654" s="18" t="s">
        <v>27</v>
      </c>
      <c r="K654" s="18"/>
      <c r="L654" s="23" t="s">
        <v>2560</v>
      </c>
      <c r="M654" s="23" t="s">
        <v>707</v>
      </c>
      <c r="N654" s="23" t="s">
        <v>1499</v>
      </c>
      <c r="O654" s="18">
        <v>1</v>
      </c>
      <c r="P654" s="24"/>
      <c r="Q654" s="25">
        <v>45748</v>
      </c>
      <c r="R654" s="13">
        <v>0</v>
      </c>
      <c r="S654" s="26" t="str">
        <f>VLOOKUP(C654,'[1]Bazaar Salary'!$B$6:$J$1193,9,0)</f>
        <v>01220010117837200017</v>
      </c>
      <c r="T654" s="25" t="s">
        <v>32</v>
      </c>
      <c r="U654" s="25" t="s">
        <v>386</v>
      </c>
      <c r="V654" s="25" t="s">
        <v>1093</v>
      </c>
      <c r="W654" s="27" t="s">
        <v>2561</v>
      </c>
      <c r="X654" s="28" t="s">
        <v>2562</v>
      </c>
      <c r="Y654" s="28"/>
      <c r="Z654" s="29" t="s">
        <v>37</v>
      </c>
    </row>
    <row r="655" spans="1:26" ht="30" customHeight="1" thickBot="1" x14ac:dyDescent="0.25">
      <c r="A655" s="17">
        <f t="shared" si="21"/>
        <v>654</v>
      </c>
      <c r="B655" s="18" t="s">
        <v>25</v>
      </c>
      <c r="C655" s="19">
        <v>3840493212441</v>
      </c>
      <c r="D655" s="19">
        <v>1646</v>
      </c>
      <c r="E655" s="21">
        <v>43322</v>
      </c>
      <c r="F655" s="21">
        <v>46975</v>
      </c>
      <c r="G655" s="21">
        <v>35892</v>
      </c>
      <c r="H655" s="22">
        <f t="shared" ca="1" si="20"/>
        <v>28</v>
      </c>
      <c r="I655" s="18" t="s">
        <v>26</v>
      </c>
      <c r="J655" s="18" t="s">
        <v>27</v>
      </c>
      <c r="K655" s="23"/>
      <c r="L655" s="24" t="s">
        <v>2563</v>
      </c>
      <c r="M655" s="33" t="s">
        <v>68</v>
      </c>
      <c r="N655" s="23" t="s">
        <v>1499</v>
      </c>
      <c r="O655" s="18">
        <v>1</v>
      </c>
      <c r="P655" s="24"/>
      <c r="Q655" s="25">
        <v>45748</v>
      </c>
      <c r="R655" s="13">
        <v>0</v>
      </c>
      <c r="S655" s="26" t="str">
        <f>VLOOKUP(C655,'[1]Bazaar Salary'!$B$6:$J$1193,9,0)</f>
        <v>08470010133724670016</v>
      </c>
      <c r="T655" s="25" t="s">
        <v>32</v>
      </c>
      <c r="U655" s="25" t="s">
        <v>386</v>
      </c>
      <c r="V655" s="25" t="s">
        <v>1047</v>
      </c>
      <c r="W655" s="33" t="s">
        <v>2564</v>
      </c>
      <c r="X655" s="28" t="s">
        <v>2565</v>
      </c>
      <c r="Y655" s="28"/>
      <c r="Z655" s="29" t="s">
        <v>37</v>
      </c>
    </row>
    <row r="656" spans="1:26" ht="30" customHeight="1" thickBot="1" x14ac:dyDescent="0.25">
      <c r="A656" s="17">
        <f t="shared" si="21"/>
        <v>655</v>
      </c>
      <c r="B656" s="18" t="s">
        <v>25</v>
      </c>
      <c r="C656" s="19">
        <v>3820141567655</v>
      </c>
      <c r="D656" s="19">
        <v>458</v>
      </c>
      <c r="E656" s="20">
        <v>42709</v>
      </c>
      <c r="F656" s="20">
        <v>46361</v>
      </c>
      <c r="G656" s="21">
        <v>33678</v>
      </c>
      <c r="H656" s="22">
        <f t="shared" ca="1" si="20"/>
        <v>34</v>
      </c>
      <c r="I656" s="19" t="s">
        <v>26</v>
      </c>
      <c r="J656" s="18" t="s">
        <v>27</v>
      </c>
      <c r="K656" s="18"/>
      <c r="L656" s="23" t="s">
        <v>2566</v>
      </c>
      <c r="M656" s="23" t="s">
        <v>2554</v>
      </c>
      <c r="N656" s="23" t="s">
        <v>1499</v>
      </c>
      <c r="O656" s="18">
        <v>1</v>
      </c>
      <c r="P656" s="24"/>
      <c r="Q656" s="25">
        <v>42948</v>
      </c>
      <c r="R656" s="13">
        <v>0</v>
      </c>
      <c r="S656" s="26" t="str">
        <f>VLOOKUP(C656,'[1]Bazaar Salary'!$B$6:$J$1193,9,0)</f>
        <v>01220010045793440011</v>
      </c>
      <c r="T656" s="25" t="s">
        <v>32</v>
      </c>
      <c r="U656" s="25" t="s">
        <v>386</v>
      </c>
      <c r="V656" s="25" t="s">
        <v>1535</v>
      </c>
      <c r="W656" s="27" t="s">
        <v>2567</v>
      </c>
      <c r="X656" s="28" t="s">
        <v>2568</v>
      </c>
      <c r="Y656" s="28"/>
      <c r="Z656" s="29" t="s">
        <v>37</v>
      </c>
    </row>
    <row r="657" spans="1:26" ht="30" customHeight="1" thickBot="1" x14ac:dyDescent="0.25">
      <c r="A657" s="17">
        <f t="shared" si="21"/>
        <v>656</v>
      </c>
      <c r="B657" s="18" t="s">
        <v>25</v>
      </c>
      <c r="C657" s="19">
        <v>3840411189915</v>
      </c>
      <c r="D657" s="19">
        <v>1478</v>
      </c>
      <c r="E657" s="20">
        <v>45550</v>
      </c>
      <c r="F657" s="20">
        <v>49202</v>
      </c>
      <c r="G657" s="21">
        <v>33125</v>
      </c>
      <c r="H657" s="22">
        <f t="shared" ca="1" si="20"/>
        <v>35</v>
      </c>
      <c r="I657" s="19" t="s">
        <v>26</v>
      </c>
      <c r="J657" s="18" t="s">
        <v>27</v>
      </c>
      <c r="K657" s="18"/>
      <c r="L657" s="23" t="s">
        <v>2569</v>
      </c>
      <c r="M657" s="23" t="s">
        <v>2570</v>
      </c>
      <c r="N657" s="23" t="s">
        <v>1499</v>
      </c>
      <c r="O657" s="18">
        <v>1</v>
      </c>
      <c r="P657" s="24"/>
      <c r="Q657" s="25">
        <v>45748</v>
      </c>
      <c r="R657" s="13">
        <v>0</v>
      </c>
      <c r="S657" s="26" t="str">
        <f>VLOOKUP(C657,'[1]Bazaar Salary'!$B$6:$J$1193,9,0)</f>
        <v>52320020104200540019</v>
      </c>
      <c r="T657" s="25" t="s">
        <v>32</v>
      </c>
      <c r="U657" s="25" t="s">
        <v>386</v>
      </c>
      <c r="V657" s="25" t="s">
        <v>884</v>
      </c>
      <c r="W657" s="27" t="s">
        <v>2571</v>
      </c>
      <c r="X657" s="28" t="s">
        <v>2572</v>
      </c>
      <c r="Y657" s="28"/>
      <c r="Z657" s="29" t="s">
        <v>37</v>
      </c>
    </row>
    <row r="658" spans="1:26" ht="30" customHeight="1" thickBot="1" x14ac:dyDescent="0.25">
      <c r="A658" s="17">
        <f t="shared" si="21"/>
        <v>657</v>
      </c>
      <c r="B658" s="18" t="s">
        <v>25</v>
      </c>
      <c r="C658" s="19">
        <v>3840493929145</v>
      </c>
      <c r="D658" s="19">
        <v>1645</v>
      </c>
      <c r="E658" s="21">
        <v>44607</v>
      </c>
      <c r="F658" s="21">
        <v>48259</v>
      </c>
      <c r="G658" s="21">
        <v>31413</v>
      </c>
      <c r="H658" s="22">
        <f t="shared" ca="1" si="20"/>
        <v>40</v>
      </c>
      <c r="I658" s="18" t="s">
        <v>26</v>
      </c>
      <c r="J658" s="18" t="s">
        <v>27</v>
      </c>
      <c r="K658" s="23"/>
      <c r="L658" s="24" t="s">
        <v>2210</v>
      </c>
      <c r="M658" s="33" t="s">
        <v>2573</v>
      </c>
      <c r="N658" s="23" t="s">
        <v>1499</v>
      </c>
      <c r="O658" s="18">
        <v>1</v>
      </c>
      <c r="P658" s="24"/>
      <c r="Q658" s="25">
        <v>45748</v>
      </c>
      <c r="R658" s="13">
        <v>0</v>
      </c>
      <c r="S658" s="26" t="str">
        <f>VLOOKUP(C658,'[1]Bazaar Salary'!$B$6:$J$1193,9,0)</f>
        <v>08470010133722380018</v>
      </c>
      <c r="T658" s="25" t="s">
        <v>32</v>
      </c>
      <c r="U658" s="25" t="s">
        <v>386</v>
      </c>
      <c r="V658" s="25" t="s">
        <v>1093</v>
      </c>
      <c r="W658" s="33" t="s">
        <v>2574</v>
      </c>
      <c r="X658" s="28" t="s">
        <v>2575</v>
      </c>
      <c r="Y658" s="28"/>
      <c r="Z658" s="29" t="s">
        <v>37</v>
      </c>
    </row>
    <row r="659" spans="1:26" ht="30" customHeight="1" thickBot="1" x14ac:dyDescent="0.25">
      <c r="A659" s="17">
        <f t="shared" si="21"/>
        <v>658</v>
      </c>
      <c r="B659" s="18" t="s">
        <v>25</v>
      </c>
      <c r="C659" s="19">
        <v>3840477196163</v>
      </c>
      <c r="D659" s="19">
        <v>1345</v>
      </c>
      <c r="E659" s="20">
        <v>45322</v>
      </c>
      <c r="F659" s="20">
        <v>48975</v>
      </c>
      <c r="G659" s="21">
        <v>34943</v>
      </c>
      <c r="H659" s="22">
        <f t="shared" ca="1" si="20"/>
        <v>30</v>
      </c>
      <c r="I659" s="19" t="s">
        <v>26</v>
      </c>
      <c r="J659" s="18" t="s">
        <v>27</v>
      </c>
      <c r="K659" s="18"/>
      <c r="L659" s="23" t="s">
        <v>2576</v>
      </c>
      <c r="M659" s="23" t="s">
        <v>2577</v>
      </c>
      <c r="N659" s="23" t="s">
        <v>1499</v>
      </c>
      <c r="O659" s="18">
        <v>1</v>
      </c>
      <c r="P659" s="24"/>
      <c r="Q659" s="25">
        <v>45748</v>
      </c>
      <c r="R659" s="13">
        <v>0</v>
      </c>
      <c r="S659" s="26" t="str">
        <f>VLOOKUP(C659,'[1]Bazaar Salary'!$B$6:$J$1193,9,0)</f>
        <v>07980010089841740016</v>
      </c>
      <c r="T659" s="25" t="s">
        <v>32</v>
      </c>
      <c r="U659" s="25" t="s">
        <v>386</v>
      </c>
      <c r="V659" s="25" t="s">
        <v>1356</v>
      </c>
      <c r="W659" s="27" t="s">
        <v>2578</v>
      </c>
      <c r="X659" s="28" t="s">
        <v>2579</v>
      </c>
      <c r="Y659" s="28"/>
      <c r="Z659" s="29" t="s">
        <v>37</v>
      </c>
    </row>
    <row r="660" spans="1:26" ht="30" customHeight="1" thickBot="1" x14ac:dyDescent="0.25">
      <c r="A660" s="17">
        <f t="shared" si="21"/>
        <v>659</v>
      </c>
      <c r="B660" s="18" t="s">
        <v>25</v>
      </c>
      <c r="C660" s="19">
        <v>3820111841567</v>
      </c>
      <c r="D660" s="19">
        <v>457</v>
      </c>
      <c r="E660" s="20">
        <v>44184</v>
      </c>
      <c r="F660" s="20">
        <v>47836</v>
      </c>
      <c r="G660" s="21">
        <v>35779</v>
      </c>
      <c r="H660" s="22">
        <f t="shared" ca="1" si="20"/>
        <v>28</v>
      </c>
      <c r="I660" s="19" t="s">
        <v>26</v>
      </c>
      <c r="J660" s="18" t="s">
        <v>27</v>
      </c>
      <c r="K660" s="18"/>
      <c r="L660" s="23" t="s">
        <v>2580</v>
      </c>
      <c r="M660" s="23" t="s">
        <v>1549</v>
      </c>
      <c r="N660" s="23" t="s">
        <v>1499</v>
      </c>
      <c r="O660" s="18">
        <v>1</v>
      </c>
      <c r="P660" s="24"/>
      <c r="Q660" s="25">
        <v>42948</v>
      </c>
      <c r="R660" s="13">
        <v>0</v>
      </c>
      <c r="S660" s="26" t="str">
        <f>VLOOKUP(C660,'[1]Bazaar Salary'!$B$6:$J$1193,9,0)</f>
        <v>01220010045753920014</v>
      </c>
      <c r="T660" s="25" t="s">
        <v>32</v>
      </c>
      <c r="U660" s="25" t="s">
        <v>386</v>
      </c>
      <c r="V660" s="25" t="s">
        <v>1356</v>
      </c>
      <c r="W660" s="27" t="s">
        <v>2581</v>
      </c>
      <c r="X660" s="28" t="s">
        <v>2582</v>
      </c>
      <c r="Y660" s="28"/>
      <c r="Z660" s="29" t="s">
        <v>37</v>
      </c>
    </row>
    <row r="661" spans="1:26" ht="30" customHeight="1" thickBot="1" x14ac:dyDescent="0.25">
      <c r="A661" s="17">
        <f t="shared" si="21"/>
        <v>660</v>
      </c>
      <c r="B661" s="18" t="s">
        <v>25</v>
      </c>
      <c r="C661" s="19">
        <v>3820147710653</v>
      </c>
      <c r="D661" s="19">
        <v>1492</v>
      </c>
      <c r="E661" s="20">
        <v>42280</v>
      </c>
      <c r="F661" s="20">
        <v>45933</v>
      </c>
      <c r="G661" s="21">
        <v>31061</v>
      </c>
      <c r="H661" s="22">
        <f t="shared" ca="1" si="20"/>
        <v>41</v>
      </c>
      <c r="I661" s="19" t="s">
        <v>26</v>
      </c>
      <c r="J661" s="18" t="s">
        <v>27</v>
      </c>
      <c r="K661" s="18"/>
      <c r="L661" s="23" t="s">
        <v>1354</v>
      </c>
      <c r="M661" s="23" t="s">
        <v>2583</v>
      </c>
      <c r="N661" s="23" t="s">
        <v>1499</v>
      </c>
      <c r="O661" s="18">
        <v>1</v>
      </c>
      <c r="P661" s="24"/>
      <c r="Q661" s="25">
        <v>45748</v>
      </c>
      <c r="R661" s="13">
        <v>0</v>
      </c>
      <c r="S661" s="26" t="str">
        <f>VLOOKUP(C661,'[1]Bazaar Salary'!$B$6:$J$1193,9,0)</f>
        <v>01220010105295330014</v>
      </c>
      <c r="T661" s="25" t="s">
        <v>32</v>
      </c>
      <c r="U661" s="25" t="s">
        <v>386</v>
      </c>
      <c r="V661" s="25" t="s">
        <v>1093</v>
      </c>
      <c r="W661" s="27" t="s">
        <v>2584</v>
      </c>
      <c r="X661" s="28" t="s">
        <v>2585</v>
      </c>
      <c r="Y661" s="28"/>
      <c r="Z661" s="29" t="s">
        <v>37</v>
      </c>
    </row>
    <row r="662" spans="1:26" ht="30" customHeight="1" thickBot="1" x14ac:dyDescent="0.25">
      <c r="A662" s="17">
        <f t="shared" si="21"/>
        <v>661</v>
      </c>
      <c r="B662" s="18" t="s">
        <v>25</v>
      </c>
      <c r="C662" s="19">
        <v>3220151420599</v>
      </c>
      <c r="D662" s="19">
        <v>1633</v>
      </c>
      <c r="E662" s="20">
        <v>44369</v>
      </c>
      <c r="F662" s="20">
        <v>48021</v>
      </c>
      <c r="G662" s="21">
        <v>32940</v>
      </c>
      <c r="H662" s="22">
        <f t="shared" ca="1" si="20"/>
        <v>36</v>
      </c>
      <c r="I662" s="19" t="s">
        <v>26</v>
      </c>
      <c r="J662" s="18" t="s">
        <v>27</v>
      </c>
      <c r="K662" s="18"/>
      <c r="L662" s="23" t="s">
        <v>1384</v>
      </c>
      <c r="M662" s="23" t="s">
        <v>2586</v>
      </c>
      <c r="N662" s="23" t="s">
        <v>1488</v>
      </c>
      <c r="O662" s="18">
        <v>1</v>
      </c>
      <c r="P662" s="24"/>
      <c r="Q662" s="25">
        <v>45748</v>
      </c>
      <c r="R662" s="13">
        <v>0</v>
      </c>
      <c r="S662" s="26" t="str">
        <f>VLOOKUP(C662,'[1]Bazaar Salary'!$B$6:$J$1193,9,0)</f>
        <v>00600010131074810010</v>
      </c>
      <c r="T662" s="25" t="s">
        <v>32</v>
      </c>
      <c r="U662" s="25" t="s">
        <v>391</v>
      </c>
      <c r="V662" s="25" t="s">
        <v>1093</v>
      </c>
      <c r="W662" s="27" t="s">
        <v>2587</v>
      </c>
      <c r="X662" s="28" t="s">
        <v>2588</v>
      </c>
      <c r="Y662" s="28"/>
      <c r="Z662" s="29" t="s">
        <v>37</v>
      </c>
    </row>
    <row r="663" spans="1:26" ht="30" customHeight="1" thickBot="1" x14ac:dyDescent="0.25">
      <c r="A663" s="17">
        <f t="shared" si="21"/>
        <v>662</v>
      </c>
      <c r="B663" s="18" t="s">
        <v>25</v>
      </c>
      <c r="C663" s="19">
        <v>3810121295261</v>
      </c>
      <c r="D663" s="19">
        <v>1406</v>
      </c>
      <c r="E663" s="20">
        <v>44379</v>
      </c>
      <c r="F663" s="20">
        <v>48031</v>
      </c>
      <c r="G663" s="21">
        <v>37781</v>
      </c>
      <c r="H663" s="22">
        <f t="shared" ca="1" si="20"/>
        <v>23</v>
      </c>
      <c r="I663" s="18" t="s">
        <v>912</v>
      </c>
      <c r="J663" s="18" t="s">
        <v>27</v>
      </c>
      <c r="K663" s="18"/>
      <c r="L663" s="23" t="s">
        <v>2589</v>
      </c>
      <c r="M663" s="23" t="s">
        <v>2590</v>
      </c>
      <c r="N663" s="23" t="s">
        <v>1488</v>
      </c>
      <c r="O663" s="18">
        <v>1</v>
      </c>
      <c r="P663" s="24"/>
      <c r="Q663" s="25">
        <v>45748</v>
      </c>
      <c r="R663" s="13">
        <v>0</v>
      </c>
      <c r="S663" s="26" t="str">
        <f>VLOOKUP(C663,'[1]Bazaar Salary'!$B$6:$J$1193,9,0)</f>
        <v>05030010095977710011</v>
      </c>
      <c r="T663" s="25" t="s">
        <v>32</v>
      </c>
      <c r="U663" s="25" t="s">
        <v>391</v>
      </c>
      <c r="V663" s="25" t="s">
        <v>1356</v>
      </c>
      <c r="W663" s="27" t="s">
        <v>2591</v>
      </c>
      <c r="X663" s="28" t="s">
        <v>2592</v>
      </c>
      <c r="Y663" s="28"/>
      <c r="Z663" s="29" t="s">
        <v>37</v>
      </c>
    </row>
    <row r="664" spans="1:26" ht="30" customHeight="1" thickBot="1" x14ac:dyDescent="0.25">
      <c r="A664" s="17">
        <f t="shared" si="21"/>
        <v>663</v>
      </c>
      <c r="B664" s="18" t="s">
        <v>25</v>
      </c>
      <c r="C664" s="19">
        <v>3220337509037</v>
      </c>
      <c r="D664" s="19">
        <v>1539</v>
      </c>
      <c r="E664" s="20">
        <v>43771</v>
      </c>
      <c r="F664" s="20">
        <v>47424</v>
      </c>
      <c r="G664" s="21">
        <v>36758</v>
      </c>
      <c r="H664" s="22">
        <f t="shared" ca="1" si="20"/>
        <v>25</v>
      </c>
      <c r="I664" s="19" t="s">
        <v>26</v>
      </c>
      <c r="J664" s="18" t="s">
        <v>27</v>
      </c>
      <c r="K664" s="18"/>
      <c r="L664" s="30" t="s">
        <v>1121</v>
      </c>
      <c r="M664" s="30" t="s">
        <v>1035</v>
      </c>
      <c r="N664" s="23" t="s">
        <v>1488</v>
      </c>
      <c r="O664" s="18">
        <v>1</v>
      </c>
      <c r="P664" s="24"/>
      <c r="Q664" s="25">
        <v>45748</v>
      </c>
      <c r="R664" s="13">
        <v>0</v>
      </c>
      <c r="S664" s="26" t="str">
        <f>VLOOKUP(C664,'[1]Bazaar Salary'!$B$6:$J$1193,9,0)</f>
        <v>51400020117273410016</v>
      </c>
      <c r="T664" s="25" t="s">
        <v>32</v>
      </c>
      <c r="U664" s="25" t="s">
        <v>391</v>
      </c>
      <c r="V664" s="25" t="s">
        <v>1093</v>
      </c>
      <c r="W664" s="24" t="s">
        <v>2593</v>
      </c>
      <c r="X664" s="28" t="s">
        <v>2594</v>
      </c>
      <c r="Y664" s="28"/>
      <c r="Z664" s="29" t="s">
        <v>37</v>
      </c>
    </row>
    <row r="665" spans="1:26" ht="30" customHeight="1" thickBot="1" x14ac:dyDescent="0.25">
      <c r="A665" s="17">
        <f t="shared" si="21"/>
        <v>664</v>
      </c>
      <c r="B665" s="18" t="s">
        <v>25</v>
      </c>
      <c r="C665" s="19">
        <v>3220336094571</v>
      </c>
      <c r="D665" s="19">
        <v>583</v>
      </c>
      <c r="E665" s="20">
        <v>43444</v>
      </c>
      <c r="F665" s="20">
        <v>47097</v>
      </c>
      <c r="G665" s="21">
        <v>35231</v>
      </c>
      <c r="H665" s="22">
        <f t="shared" ca="1" si="20"/>
        <v>30</v>
      </c>
      <c r="I665" s="19" t="s">
        <v>26</v>
      </c>
      <c r="J665" s="18" t="s">
        <v>27</v>
      </c>
      <c r="K665" s="18"/>
      <c r="L665" s="23" t="s">
        <v>2595</v>
      </c>
      <c r="M665" s="23" t="s">
        <v>2596</v>
      </c>
      <c r="N665" s="23" t="s">
        <v>1488</v>
      </c>
      <c r="O665" s="18">
        <v>1</v>
      </c>
      <c r="P665" s="24"/>
      <c r="Q665" s="25">
        <v>42615</v>
      </c>
      <c r="R665" s="13">
        <v>0</v>
      </c>
      <c r="S665" s="26" t="str">
        <f>VLOOKUP(C665,'[1]Bazaar Salary'!$B$6:$J$1193,9,0)</f>
        <v>51400020045717150015</v>
      </c>
      <c r="T665" s="25" t="s">
        <v>32</v>
      </c>
      <c r="U665" s="25" t="s">
        <v>391</v>
      </c>
      <c r="V665" s="25" t="s">
        <v>1093</v>
      </c>
      <c r="W665" s="27" t="s">
        <v>2597</v>
      </c>
      <c r="X665" s="28" t="s">
        <v>2598</v>
      </c>
      <c r="Y665" s="28"/>
      <c r="Z665" s="29" t="s">
        <v>37</v>
      </c>
    </row>
    <row r="666" spans="1:26" ht="30" customHeight="1" thickBot="1" x14ac:dyDescent="0.25">
      <c r="A666" s="17">
        <f t="shared" si="21"/>
        <v>665</v>
      </c>
      <c r="B666" s="18" t="s">
        <v>25</v>
      </c>
      <c r="C666" s="19">
        <v>3220249646143</v>
      </c>
      <c r="D666" s="19">
        <v>801</v>
      </c>
      <c r="E666" s="20">
        <v>43095</v>
      </c>
      <c r="F666" s="20">
        <v>46750</v>
      </c>
      <c r="G666" s="21">
        <v>28166</v>
      </c>
      <c r="H666" s="22">
        <f t="shared" ca="1" si="20"/>
        <v>49</v>
      </c>
      <c r="I666" s="19" t="s">
        <v>26</v>
      </c>
      <c r="J666" s="18" t="s">
        <v>27</v>
      </c>
      <c r="K666" s="18"/>
      <c r="L666" s="23" t="s">
        <v>2599</v>
      </c>
      <c r="M666" s="23" t="s">
        <v>2600</v>
      </c>
      <c r="N666" s="23" t="s">
        <v>1499</v>
      </c>
      <c r="O666" s="18">
        <v>1</v>
      </c>
      <c r="P666" s="24"/>
      <c r="Q666" s="25">
        <v>43150</v>
      </c>
      <c r="R666" s="13">
        <v>0</v>
      </c>
      <c r="S666" s="26" t="str">
        <f>VLOOKUP(C666,'[1]Bazaar Salary'!$B$6:$J$1193,9,0)</f>
        <v>09630010050270660012</v>
      </c>
      <c r="T666" s="25" t="s">
        <v>32</v>
      </c>
      <c r="U666" s="25" t="s">
        <v>391</v>
      </c>
      <c r="V666" s="25" t="s">
        <v>1356</v>
      </c>
      <c r="W666" s="27" t="s">
        <v>2601</v>
      </c>
      <c r="X666" s="28" t="s">
        <v>2602</v>
      </c>
      <c r="Y666" s="28"/>
      <c r="Z666" s="29" t="s">
        <v>37</v>
      </c>
    </row>
    <row r="667" spans="1:26" ht="30" customHeight="1" thickBot="1" x14ac:dyDescent="0.25">
      <c r="A667" s="17">
        <f t="shared" si="21"/>
        <v>666</v>
      </c>
      <c r="B667" s="18" t="s">
        <v>25</v>
      </c>
      <c r="C667" s="19">
        <v>3220365431613</v>
      </c>
      <c r="D667" s="19">
        <v>497</v>
      </c>
      <c r="E667" s="20">
        <v>42270</v>
      </c>
      <c r="F667" s="20">
        <v>45923</v>
      </c>
      <c r="G667" s="21">
        <v>35650</v>
      </c>
      <c r="H667" s="22">
        <f t="shared" ca="1" si="20"/>
        <v>28</v>
      </c>
      <c r="I667" s="19" t="s">
        <v>26</v>
      </c>
      <c r="J667" s="18" t="s">
        <v>27</v>
      </c>
      <c r="K667" s="18"/>
      <c r="L667" s="23" t="s">
        <v>2603</v>
      </c>
      <c r="M667" s="23" t="s">
        <v>2604</v>
      </c>
      <c r="N667" s="23" t="s">
        <v>1499</v>
      </c>
      <c r="O667" s="18">
        <v>1</v>
      </c>
      <c r="P667" s="24"/>
      <c r="Q667" s="25">
        <v>42615</v>
      </c>
      <c r="R667" s="13">
        <v>0</v>
      </c>
      <c r="S667" s="26" t="str">
        <f>VLOOKUP(C667,'[1]Bazaar Salary'!$B$6:$J$1193,9,0)</f>
        <v>51400020045875180029</v>
      </c>
      <c r="T667" s="25" t="s">
        <v>32</v>
      </c>
      <c r="U667" s="25" t="s">
        <v>391</v>
      </c>
      <c r="V667" s="25" t="s">
        <v>1356</v>
      </c>
      <c r="W667" s="27" t="s">
        <v>2605</v>
      </c>
      <c r="X667" s="28" t="s">
        <v>2606</v>
      </c>
      <c r="Y667" s="28"/>
      <c r="Z667" s="29" t="s">
        <v>37</v>
      </c>
    </row>
    <row r="668" spans="1:26" ht="30" customHeight="1" thickBot="1" x14ac:dyDescent="0.25">
      <c r="A668" s="17">
        <f t="shared" si="21"/>
        <v>667</v>
      </c>
      <c r="B668" s="18" t="s">
        <v>25</v>
      </c>
      <c r="C668" s="19">
        <v>3220372974793</v>
      </c>
      <c r="D668" s="19">
        <v>500</v>
      </c>
      <c r="E668" s="20">
        <v>45055</v>
      </c>
      <c r="F668" s="20">
        <v>48708</v>
      </c>
      <c r="G668" s="21">
        <v>34079</v>
      </c>
      <c r="H668" s="22">
        <f t="shared" ca="1" si="20"/>
        <v>33</v>
      </c>
      <c r="I668" s="19" t="s">
        <v>26</v>
      </c>
      <c r="J668" s="18" t="s">
        <v>27</v>
      </c>
      <c r="K668" s="18"/>
      <c r="L668" s="23" t="s">
        <v>2210</v>
      </c>
      <c r="M668" s="23" t="s">
        <v>2554</v>
      </c>
      <c r="N668" s="23" t="s">
        <v>1499</v>
      </c>
      <c r="O668" s="18">
        <v>1</v>
      </c>
      <c r="P668" s="24"/>
      <c r="Q668" s="25">
        <v>43115</v>
      </c>
      <c r="R668" s="13">
        <v>0</v>
      </c>
      <c r="S668" s="26" t="str">
        <f>VLOOKUP(C668,'[1]Bazaar Salary'!$B$6:$J$1193,9,0)</f>
        <v>09630010049493230011</v>
      </c>
      <c r="T668" s="25" t="s">
        <v>32</v>
      </c>
      <c r="U668" s="25" t="s">
        <v>391</v>
      </c>
      <c r="V668" s="25" t="s">
        <v>1356</v>
      </c>
      <c r="W668" s="27" t="s">
        <v>2607</v>
      </c>
      <c r="X668" s="28" t="s">
        <v>2608</v>
      </c>
      <c r="Y668" s="28"/>
      <c r="Z668" s="29" t="s">
        <v>37</v>
      </c>
    </row>
    <row r="669" spans="1:26" ht="30" customHeight="1" thickBot="1" x14ac:dyDescent="0.25">
      <c r="A669" s="17">
        <f t="shared" si="21"/>
        <v>668</v>
      </c>
      <c r="B669" s="18" t="s">
        <v>25</v>
      </c>
      <c r="C669" s="19">
        <v>3220380826167</v>
      </c>
      <c r="D669" s="19">
        <v>494</v>
      </c>
      <c r="E669" s="20">
        <v>42158</v>
      </c>
      <c r="F669" s="20">
        <v>45811</v>
      </c>
      <c r="G669" s="21">
        <v>34912</v>
      </c>
      <c r="H669" s="22">
        <f t="shared" ca="1" si="20"/>
        <v>30</v>
      </c>
      <c r="I669" s="19" t="s">
        <v>26</v>
      </c>
      <c r="J669" s="18" t="s">
        <v>27</v>
      </c>
      <c r="K669" s="18"/>
      <c r="L669" s="23" t="s">
        <v>319</v>
      </c>
      <c r="M669" s="23" t="s">
        <v>2609</v>
      </c>
      <c r="N669" s="23" t="s">
        <v>1499</v>
      </c>
      <c r="O669" s="18">
        <v>1</v>
      </c>
      <c r="P669" s="24"/>
      <c r="Q669" s="25">
        <v>42616</v>
      </c>
      <c r="R669" s="13">
        <v>0</v>
      </c>
      <c r="S669" s="26" t="str">
        <f>VLOOKUP(C669,'[1]Bazaar Salary'!$B$6:$J$1193,9,0)</f>
        <v>00720010045857400010</v>
      </c>
      <c r="T669" s="25" t="s">
        <v>32</v>
      </c>
      <c r="U669" s="25" t="s">
        <v>391</v>
      </c>
      <c r="V669" s="25" t="s">
        <v>1093</v>
      </c>
      <c r="W669" s="27" t="s">
        <v>2610</v>
      </c>
      <c r="X669" s="28" t="s">
        <v>2611</v>
      </c>
      <c r="Y669" s="28"/>
      <c r="Z669" s="29" t="s">
        <v>37</v>
      </c>
    </row>
    <row r="670" spans="1:26" ht="30" customHeight="1" thickBot="1" x14ac:dyDescent="0.25">
      <c r="A670" s="17">
        <f t="shared" si="21"/>
        <v>669</v>
      </c>
      <c r="B670" s="18" t="s">
        <v>25</v>
      </c>
      <c r="C670" s="19">
        <v>3220221679901</v>
      </c>
      <c r="D670" s="19">
        <v>499</v>
      </c>
      <c r="E670" s="20">
        <v>43355</v>
      </c>
      <c r="F670" s="20">
        <v>47008</v>
      </c>
      <c r="G670" s="21">
        <v>32210</v>
      </c>
      <c r="H670" s="22">
        <f t="shared" ca="1" si="20"/>
        <v>38</v>
      </c>
      <c r="I670" s="19" t="s">
        <v>26</v>
      </c>
      <c r="J670" s="18" t="s">
        <v>27</v>
      </c>
      <c r="K670" s="18"/>
      <c r="L670" s="23" t="s">
        <v>2612</v>
      </c>
      <c r="M670" s="23" t="s">
        <v>769</v>
      </c>
      <c r="N670" s="23" t="s">
        <v>1499</v>
      </c>
      <c r="O670" s="18">
        <v>1</v>
      </c>
      <c r="P670" s="24"/>
      <c r="Q670" s="25">
        <v>42645</v>
      </c>
      <c r="R670" s="13">
        <v>0</v>
      </c>
      <c r="S670" s="26" t="str">
        <f>VLOOKUP(C670,'[1]Bazaar Salary'!$B$6:$J$1193,9,0)</f>
        <v>51400020045887370022</v>
      </c>
      <c r="T670" s="25" t="s">
        <v>32</v>
      </c>
      <c r="U670" s="25" t="s">
        <v>391</v>
      </c>
      <c r="V670" s="25" t="s">
        <v>1356</v>
      </c>
      <c r="W670" s="27" t="s">
        <v>2613</v>
      </c>
      <c r="X670" s="28" t="s">
        <v>2614</v>
      </c>
      <c r="Y670" s="28"/>
      <c r="Z670" s="29" t="s">
        <v>37</v>
      </c>
    </row>
    <row r="671" spans="1:26" ht="30" customHeight="1" thickBot="1" x14ac:dyDescent="0.25">
      <c r="A671" s="17">
        <f t="shared" si="21"/>
        <v>670</v>
      </c>
      <c r="B671" s="18" t="s">
        <v>25</v>
      </c>
      <c r="C671" s="19">
        <v>3510327009991</v>
      </c>
      <c r="D671" s="19">
        <v>1144</v>
      </c>
      <c r="E671" s="20">
        <v>42947</v>
      </c>
      <c r="F671" s="20">
        <v>46599</v>
      </c>
      <c r="G671" s="21">
        <v>28204</v>
      </c>
      <c r="H671" s="22">
        <f t="shared" ca="1" si="20"/>
        <v>49</v>
      </c>
      <c r="I671" s="19" t="s">
        <v>26</v>
      </c>
      <c r="J671" s="18" t="s">
        <v>27</v>
      </c>
      <c r="K671" s="18"/>
      <c r="L671" s="23" t="s">
        <v>2615</v>
      </c>
      <c r="M671" s="23" t="s">
        <v>2616</v>
      </c>
      <c r="N671" s="23" t="s">
        <v>1551</v>
      </c>
      <c r="O671" s="18">
        <v>1</v>
      </c>
      <c r="P671" s="24"/>
      <c r="Q671" s="25">
        <v>43678</v>
      </c>
      <c r="R671" s="13">
        <v>0</v>
      </c>
      <c r="S671" s="26" t="str">
        <f>VLOOKUP(C671,'[1]Bazaar Salary'!$B$6:$J$1193,9,0)</f>
        <v>08390010051908890018</v>
      </c>
      <c r="T671" s="25" t="s">
        <v>32</v>
      </c>
      <c r="U671" s="25" t="s">
        <v>237</v>
      </c>
      <c r="V671" s="25" t="s">
        <v>1093</v>
      </c>
      <c r="W671" s="27" t="s">
        <v>2617</v>
      </c>
      <c r="X671" s="28" t="s">
        <v>2618</v>
      </c>
      <c r="Y671" s="28"/>
      <c r="Z671" s="29" t="s">
        <v>37</v>
      </c>
    </row>
    <row r="672" spans="1:26" ht="30" customHeight="1" thickBot="1" x14ac:dyDescent="0.25">
      <c r="A672" s="17">
        <f t="shared" si="21"/>
        <v>671</v>
      </c>
      <c r="B672" s="18" t="s">
        <v>25</v>
      </c>
      <c r="C672" s="19">
        <v>3620371488901</v>
      </c>
      <c r="D672" s="19">
        <v>1151</v>
      </c>
      <c r="E672" s="20">
        <v>45320</v>
      </c>
      <c r="F672" s="20">
        <v>48973</v>
      </c>
      <c r="G672" s="21">
        <v>30682</v>
      </c>
      <c r="H672" s="22">
        <f t="shared" ca="1" si="20"/>
        <v>42</v>
      </c>
      <c r="I672" s="19" t="s">
        <v>26</v>
      </c>
      <c r="J672" s="18" t="s">
        <v>27</v>
      </c>
      <c r="K672" s="18"/>
      <c r="L672" s="23" t="s">
        <v>2619</v>
      </c>
      <c r="M672" s="23" t="s">
        <v>2620</v>
      </c>
      <c r="N672" s="23" t="s">
        <v>1488</v>
      </c>
      <c r="O672" s="18">
        <v>1</v>
      </c>
      <c r="P672" s="24"/>
      <c r="Q672" s="25">
        <v>43678</v>
      </c>
      <c r="R672" s="13">
        <v>0</v>
      </c>
      <c r="S672" s="26" t="str">
        <f>VLOOKUP(C672,'[1]Bazaar Salary'!$B$6:$J$1193,9,0)</f>
        <v>08390010052172960017</v>
      </c>
      <c r="T672" s="25" t="s">
        <v>32</v>
      </c>
      <c r="U672" s="25" t="s">
        <v>237</v>
      </c>
      <c r="V672" s="25" t="s">
        <v>1535</v>
      </c>
      <c r="W672" s="27" t="s">
        <v>2621</v>
      </c>
      <c r="X672" s="28" t="s">
        <v>2622</v>
      </c>
      <c r="Y672" s="28"/>
      <c r="Z672" s="29" t="s">
        <v>37</v>
      </c>
    </row>
    <row r="673" spans="1:26" ht="30" customHeight="1" thickBot="1" x14ac:dyDescent="0.25">
      <c r="A673" s="17">
        <f t="shared" si="21"/>
        <v>672</v>
      </c>
      <c r="B673" s="18" t="s">
        <v>25</v>
      </c>
      <c r="C673" s="19">
        <v>3620376593425</v>
      </c>
      <c r="D673" s="19">
        <v>1153</v>
      </c>
      <c r="E673" s="20">
        <v>43532</v>
      </c>
      <c r="F673" s="20">
        <v>47185</v>
      </c>
      <c r="G673" s="21">
        <v>32768</v>
      </c>
      <c r="H673" s="22">
        <f t="shared" ca="1" si="20"/>
        <v>36</v>
      </c>
      <c r="I673" s="18" t="s">
        <v>912</v>
      </c>
      <c r="J673" s="18" t="s">
        <v>27</v>
      </c>
      <c r="K673" s="18"/>
      <c r="L673" s="23" t="s">
        <v>2623</v>
      </c>
      <c r="M673" s="23" t="s">
        <v>1003</v>
      </c>
      <c r="N673" s="23" t="s">
        <v>1488</v>
      </c>
      <c r="O673" s="18">
        <v>1</v>
      </c>
      <c r="P673" s="24"/>
      <c r="Q673" s="25">
        <v>44317</v>
      </c>
      <c r="R673" s="13">
        <v>0</v>
      </c>
      <c r="S673" s="26" t="str">
        <f>VLOOKUP(C673,'[1]Bazaar Salary'!$B$6:$J$1193,9,0)</f>
        <v>08390010059610340010</v>
      </c>
      <c r="T673" s="25" t="s">
        <v>32</v>
      </c>
      <c r="U673" s="25" t="s">
        <v>237</v>
      </c>
      <c r="V673" s="25" t="s">
        <v>1356</v>
      </c>
      <c r="W673" s="27" t="s">
        <v>2624</v>
      </c>
      <c r="X673" s="28" t="s">
        <v>2625</v>
      </c>
      <c r="Y673" s="28"/>
      <c r="Z673" s="29" t="s">
        <v>37</v>
      </c>
    </row>
    <row r="674" spans="1:26" ht="30" customHeight="1" thickBot="1" x14ac:dyDescent="0.25">
      <c r="A674" s="17">
        <f t="shared" si="21"/>
        <v>673</v>
      </c>
      <c r="B674" s="18" t="s">
        <v>25</v>
      </c>
      <c r="C674" s="19">
        <v>3120201691769</v>
      </c>
      <c r="D674" s="19">
        <v>1287</v>
      </c>
      <c r="E674" s="20">
        <v>44382</v>
      </c>
      <c r="F674" s="20">
        <v>48034</v>
      </c>
      <c r="G674" s="21">
        <v>35291</v>
      </c>
      <c r="H674" s="22">
        <f t="shared" ca="1" si="20"/>
        <v>29</v>
      </c>
      <c r="I674" s="19" t="s">
        <v>26</v>
      </c>
      <c r="J674" s="18" t="s">
        <v>27</v>
      </c>
      <c r="K674" s="18"/>
      <c r="L674" s="23" t="s">
        <v>2626</v>
      </c>
      <c r="M674" s="23" t="s">
        <v>1562</v>
      </c>
      <c r="N674" s="23" t="s">
        <v>1488</v>
      </c>
      <c r="O674" s="18">
        <v>1</v>
      </c>
      <c r="P674" s="24"/>
      <c r="Q674" s="25">
        <v>45748</v>
      </c>
      <c r="R674" s="13">
        <v>0</v>
      </c>
      <c r="S674" s="26" t="str">
        <f>VLOOKUP(C674,'[1]Bazaar Salary'!$B$6:$J$1193,9,0)</f>
        <v>09630010080010280017</v>
      </c>
      <c r="T674" s="25" t="s">
        <v>32</v>
      </c>
      <c r="U674" s="25" t="s">
        <v>237</v>
      </c>
      <c r="V674" s="25" t="s">
        <v>1093</v>
      </c>
      <c r="W674" s="27" t="s">
        <v>2627</v>
      </c>
      <c r="X674" s="28" t="s">
        <v>2628</v>
      </c>
      <c r="Y674" s="28"/>
      <c r="Z674" s="29" t="s">
        <v>37</v>
      </c>
    </row>
    <row r="675" spans="1:26" ht="30" customHeight="1" thickBot="1" x14ac:dyDescent="0.25">
      <c r="A675" s="17">
        <f t="shared" si="21"/>
        <v>674</v>
      </c>
      <c r="B675" s="18" t="s">
        <v>25</v>
      </c>
      <c r="C675" s="19">
        <v>3620399806593</v>
      </c>
      <c r="D675" s="19">
        <v>1511</v>
      </c>
      <c r="E675" s="20">
        <v>45023</v>
      </c>
      <c r="F675" s="20">
        <v>48676</v>
      </c>
      <c r="G675" s="21">
        <v>30317</v>
      </c>
      <c r="H675" s="22">
        <f t="shared" ca="1" si="20"/>
        <v>43</v>
      </c>
      <c r="I675" s="19" t="s">
        <v>26</v>
      </c>
      <c r="J675" s="18" t="s">
        <v>27</v>
      </c>
      <c r="K675" s="18"/>
      <c r="L675" s="23" t="s">
        <v>2629</v>
      </c>
      <c r="M675" s="23" t="s">
        <v>703</v>
      </c>
      <c r="N675" s="23" t="s">
        <v>1488</v>
      </c>
      <c r="O675" s="18">
        <v>1</v>
      </c>
      <c r="P675" s="24"/>
      <c r="Q675" s="25">
        <v>45748</v>
      </c>
      <c r="R675" s="13">
        <v>0</v>
      </c>
      <c r="S675" s="26" t="str">
        <f>VLOOKUP(C675,'[1]Bazaar Salary'!$B$6:$J$1193,9,0)</f>
        <v>08390010109484750015</v>
      </c>
      <c r="T675" s="25" t="s">
        <v>32</v>
      </c>
      <c r="U675" s="25" t="s">
        <v>237</v>
      </c>
      <c r="V675" s="25" t="s">
        <v>1093</v>
      </c>
      <c r="W675" s="27" t="s">
        <v>2630</v>
      </c>
      <c r="X675" s="28" t="s">
        <v>2631</v>
      </c>
      <c r="Y675" s="28"/>
      <c r="Z675" s="29" t="s">
        <v>37</v>
      </c>
    </row>
    <row r="676" spans="1:26" ht="30" customHeight="1" thickBot="1" x14ac:dyDescent="0.25">
      <c r="A676" s="17">
        <f t="shared" si="21"/>
        <v>675</v>
      </c>
      <c r="B676" s="18" t="s">
        <v>25</v>
      </c>
      <c r="C676" s="19">
        <v>3620318012663</v>
      </c>
      <c r="D676" s="19">
        <v>1148</v>
      </c>
      <c r="E676" s="20">
        <v>44387</v>
      </c>
      <c r="F676" s="20">
        <v>48039</v>
      </c>
      <c r="G676" s="21">
        <v>34413</v>
      </c>
      <c r="H676" s="22">
        <f t="shared" ca="1" si="20"/>
        <v>32</v>
      </c>
      <c r="I676" s="19" t="s">
        <v>26</v>
      </c>
      <c r="J676" s="18" t="s">
        <v>27</v>
      </c>
      <c r="K676" s="18"/>
      <c r="L676" s="23" t="s">
        <v>2632</v>
      </c>
      <c r="M676" s="23" t="s">
        <v>2633</v>
      </c>
      <c r="N676" s="23" t="s">
        <v>1499</v>
      </c>
      <c r="O676" s="18">
        <v>1</v>
      </c>
      <c r="P676" s="24"/>
      <c r="Q676" s="25">
        <v>43678</v>
      </c>
      <c r="R676" s="13">
        <v>0</v>
      </c>
      <c r="S676" s="26" t="str">
        <f>VLOOKUP(C676,'[1]Bazaar Salary'!$B$6:$J$1193,9,0)</f>
        <v>08390010057387250018</v>
      </c>
      <c r="T676" s="25" t="s">
        <v>32</v>
      </c>
      <c r="U676" s="25" t="s">
        <v>237</v>
      </c>
      <c r="V676" s="25" t="s">
        <v>884</v>
      </c>
      <c r="W676" s="27" t="s">
        <v>2634</v>
      </c>
      <c r="X676" s="28" t="s">
        <v>2635</v>
      </c>
      <c r="Y676" s="28"/>
      <c r="Z676" s="29" t="s">
        <v>37</v>
      </c>
    </row>
    <row r="677" spans="1:26" ht="30" customHeight="1" thickBot="1" x14ac:dyDescent="0.25">
      <c r="A677" s="17">
        <f t="shared" si="21"/>
        <v>676</v>
      </c>
      <c r="B677" s="18" t="s">
        <v>25</v>
      </c>
      <c r="C677" s="19">
        <v>3620261986899</v>
      </c>
      <c r="D677" s="19">
        <v>1145</v>
      </c>
      <c r="E677" s="20">
        <v>43864</v>
      </c>
      <c r="F677" s="20">
        <v>47517</v>
      </c>
      <c r="G677" s="21">
        <v>28126</v>
      </c>
      <c r="H677" s="22">
        <f t="shared" ca="1" si="20"/>
        <v>49</v>
      </c>
      <c r="I677" s="19" t="s">
        <v>26</v>
      </c>
      <c r="J677" s="18" t="s">
        <v>27</v>
      </c>
      <c r="K677" s="18"/>
      <c r="L677" s="23" t="s">
        <v>2636</v>
      </c>
      <c r="M677" s="23" t="s">
        <v>2637</v>
      </c>
      <c r="N677" s="23" t="s">
        <v>1499</v>
      </c>
      <c r="O677" s="18">
        <v>1</v>
      </c>
      <c r="P677" s="24"/>
      <c r="Q677" s="25">
        <v>43678</v>
      </c>
      <c r="R677" s="13">
        <v>0</v>
      </c>
      <c r="S677" s="26" t="str">
        <f>VLOOKUP(C677,'[1]Bazaar Salary'!$B$6:$J$1193,9,0)</f>
        <v>08390010052355420014</v>
      </c>
      <c r="T677" s="25" t="s">
        <v>32</v>
      </c>
      <c r="U677" s="25" t="s">
        <v>237</v>
      </c>
      <c r="V677" s="25" t="s">
        <v>1356</v>
      </c>
      <c r="W677" s="27" t="s">
        <v>2638</v>
      </c>
      <c r="X677" s="28" t="s">
        <v>2639</v>
      </c>
      <c r="Y677" s="28"/>
      <c r="Z677" s="29" t="s">
        <v>37</v>
      </c>
    </row>
    <row r="678" spans="1:26" ht="30" customHeight="1" thickBot="1" x14ac:dyDescent="0.25">
      <c r="A678" s="17">
        <f t="shared" si="21"/>
        <v>677</v>
      </c>
      <c r="B678" s="18" t="s">
        <v>25</v>
      </c>
      <c r="C678" s="19">
        <v>3620352197501</v>
      </c>
      <c r="D678" s="19">
        <v>1147</v>
      </c>
      <c r="E678" s="20">
        <v>45352</v>
      </c>
      <c r="F678" s="20">
        <v>49004</v>
      </c>
      <c r="G678" s="21">
        <v>34225</v>
      </c>
      <c r="H678" s="22">
        <f t="shared" ca="1" si="20"/>
        <v>32</v>
      </c>
      <c r="I678" s="19" t="s">
        <v>26</v>
      </c>
      <c r="J678" s="18" t="s">
        <v>27</v>
      </c>
      <c r="K678" s="18"/>
      <c r="L678" s="23" t="s">
        <v>2640</v>
      </c>
      <c r="M678" s="23" t="s">
        <v>2641</v>
      </c>
      <c r="N678" s="23" t="s">
        <v>1499</v>
      </c>
      <c r="O678" s="18">
        <v>1</v>
      </c>
      <c r="P678" s="24"/>
      <c r="Q678" s="25">
        <v>43678</v>
      </c>
      <c r="R678" s="13">
        <v>0</v>
      </c>
      <c r="S678" s="26" t="str">
        <f>VLOOKUP(C678,'[1]Bazaar Salary'!$B$6:$J$1193,9,0)</f>
        <v>08390010052163010013</v>
      </c>
      <c r="T678" s="25" t="s">
        <v>32</v>
      </c>
      <c r="U678" s="25" t="s">
        <v>237</v>
      </c>
      <c r="V678" s="25" t="s">
        <v>1535</v>
      </c>
      <c r="W678" s="27" t="s">
        <v>2642</v>
      </c>
      <c r="X678" s="28" t="s">
        <v>2643</v>
      </c>
      <c r="Y678" s="28"/>
      <c r="Z678" s="29" t="s">
        <v>37</v>
      </c>
    </row>
    <row r="679" spans="1:26" ht="30" customHeight="1" thickBot="1" x14ac:dyDescent="0.25">
      <c r="A679" s="17">
        <f t="shared" si="21"/>
        <v>678</v>
      </c>
      <c r="B679" s="18" t="s">
        <v>25</v>
      </c>
      <c r="C679" s="19">
        <v>3620295400155</v>
      </c>
      <c r="D679" s="19">
        <v>1292</v>
      </c>
      <c r="E679" s="20">
        <v>43573</v>
      </c>
      <c r="F679" s="20">
        <v>47226</v>
      </c>
      <c r="G679" s="21">
        <v>36883</v>
      </c>
      <c r="H679" s="22">
        <f t="shared" ca="1" si="20"/>
        <v>25</v>
      </c>
      <c r="I679" s="19" t="s">
        <v>26</v>
      </c>
      <c r="J679" s="18" t="s">
        <v>27</v>
      </c>
      <c r="K679" s="18"/>
      <c r="L679" s="23" t="s">
        <v>2644</v>
      </c>
      <c r="M679" s="23" t="s">
        <v>2645</v>
      </c>
      <c r="N679" s="23" t="s">
        <v>1499</v>
      </c>
      <c r="O679" s="18">
        <v>1</v>
      </c>
      <c r="P679" s="24"/>
      <c r="Q679" s="25">
        <v>45748</v>
      </c>
      <c r="R679" s="13">
        <v>0</v>
      </c>
      <c r="S679" s="26" t="str">
        <f>VLOOKUP(C679,'[1]Bazaar Salary'!$B$6:$J$1193,9,0)</f>
        <v>08390010081781560012</v>
      </c>
      <c r="T679" s="25" t="s">
        <v>32</v>
      </c>
      <c r="U679" s="25" t="s">
        <v>237</v>
      </c>
      <c r="V679" s="25" t="s">
        <v>1093</v>
      </c>
      <c r="W679" s="27" t="s">
        <v>2646</v>
      </c>
      <c r="X679" s="28" t="s">
        <v>2647</v>
      </c>
      <c r="Y679" s="28"/>
      <c r="Z679" s="29" t="s">
        <v>37</v>
      </c>
    </row>
    <row r="680" spans="1:26" ht="30" customHeight="1" thickBot="1" x14ac:dyDescent="0.25">
      <c r="A680" s="17">
        <f t="shared" si="21"/>
        <v>679</v>
      </c>
      <c r="B680" s="18" t="s">
        <v>25</v>
      </c>
      <c r="C680" s="19">
        <v>3620221935655</v>
      </c>
      <c r="D680" s="19">
        <v>1297</v>
      </c>
      <c r="E680" s="20">
        <v>43426</v>
      </c>
      <c r="F680" s="20">
        <v>47079</v>
      </c>
      <c r="G680" s="21">
        <v>36545</v>
      </c>
      <c r="H680" s="22">
        <f t="shared" ca="1" si="20"/>
        <v>26</v>
      </c>
      <c r="I680" s="19" t="s">
        <v>26</v>
      </c>
      <c r="J680" s="18" t="s">
        <v>27</v>
      </c>
      <c r="K680" s="18"/>
      <c r="L680" s="23" t="s">
        <v>2648</v>
      </c>
      <c r="M680" s="23" t="s">
        <v>1384</v>
      </c>
      <c r="N680" s="23" t="s">
        <v>1499</v>
      </c>
      <c r="O680" s="18">
        <v>1</v>
      </c>
      <c r="P680" s="24"/>
      <c r="Q680" s="25">
        <v>45748</v>
      </c>
      <c r="R680" s="13">
        <v>0</v>
      </c>
      <c r="S680" s="26" t="str">
        <f>VLOOKUP(C680,'[1]Bazaar Salary'!$B$6:$J$1193,9,0)</f>
        <v>08390010081748210018</v>
      </c>
      <c r="T680" s="25" t="s">
        <v>32</v>
      </c>
      <c r="U680" s="25" t="s">
        <v>237</v>
      </c>
      <c r="V680" s="25" t="s">
        <v>1093</v>
      </c>
      <c r="W680" s="27" t="s">
        <v>2649</v>
      </c>
      <c r="X680" s="28" t="s">
        <v>2650</v>
      </c>
      <c r="Y680" s="28"/>
      <c r="Z680" s="29" t="s">
        <v>37</v>
      </c>
    </row>
    <row r="681" spans="1:26" ht="30" customHeight="1" thickBot="1" x14ac:dyDescent="0.25">
      <c r="A681" s="17">
        <f t="shared" si="21"/>
        <v>680</v>
      </c>
      <c r="B681" s="18" t="s">
        <v>25</v>
      </c>
      <c r="C681" s="19">
        <v>3620395923993</v>
      </c>
      <c r="D681" s="19">
        <v>1293</v>
      </c>
      <c r="E681" s="20">
        <v>42395</v>
      </c>
      <c r="F681" s="20">
        <v>46048</v>
      </c>
      <c r="G681" s="21">
        <v>35643</v>
      </c>
      <c r="H681" s="22">
        <f t="shared" ca="1" si="20"/>
        <v>28</v>
      </c>
      <c r="I681" s="19" t="s">
        <v>26</v>
      </c>
      <c r="J681" s="18" t="s">
        <v>27</v>
      </c>
      <c r="K681" s="18"/>
      <c r="L681" s="23" t="s">
        <v>2651</v>
      </c>
      <c r="M681" s="23" t="s">
        <v>2652</v>
      </c>
      <c r="N681" s="23" t="s">
        <v>1499</v>
      </c>
      <c r="O681" s="18">
        <v>1</v>
      </c>
      <c r="P681" s="24"/>
      <c r="Q681" s="25">
        <v>45748</v>
      </c>
      <c r="R681" s="13">
        <v>0</v>
      </c>
      <c r="S681" s="26" t="str">
        <f>VLOOKUP(C681,'[1]Bazaar Salary'!$B$6:$J$1193,9,0)</f>
        <v>08390010081752080017</v>
      </c>
      <c r="T681" s="25" t="s">
        <v>32</v>
      </c>
      <c r="U681" s="25" t="s">
        <v>237</v>
      </c>
      <c r="V681" s="25" t="s">
        <v>1093</v>
      </c>
      <c r="W681" s="27" t="s">
        <v>2653</v>
      </c>
      <c r="X681" s="28" t="s">
        <v>2654</v>
      </c>
      <c r="Y681" s="28"/>
      <c r="Z681" s="29" t="s">
        <v>37</v>
      </c>
    </row>
    <row r="682" spans="1:26" ht="30" customHeight="1" thickBot="1" x14ac:dyDescent="0.25">
      <c r="A682" s="17">
        <f t="shared" si="21"/>
        <v>681</v>
      </c>
      <c r="B682" s="18" t="s">
        <v>25</v>
      </c>
      <c r="C682" s="19">
        <v>3620303533753</v>
      </c>
      <c r="D682" s="19">
        <v>1296</v>
      </c>
      <c r="E682" s="20">
        <v>42324</v>
      </c>
      <c r="F682" s="20">
        <v>45977</v>
      </c>
      <c r="G682" s="21">
        <v>34335</v>
      </c>
      <c r="H682" s="22">
        <f t="shared" ca="1" si="20"/>
        <v>32</v>
      </c>
      <c r="I682" s="19" t="s">
        <v>26</v>
      </c>
      <c r="J682" s="18" t="s">
        <v>27</v>
      </c>
      <c r="K682" s="18"/>
      <c r="L682" s="23" t="s">
        <v>1364</v>
      </c>
      <c r="M682" s="23" t="s">
        <v>890</v>
      </c>
      <c r="N682" s="23" t="s">
        <v>1499</v>
      </c>
      <c r="O682" s="18">
        <v>1</v>
      </c>
      <c r="P682" s="24"/>
      <c r="Q682" s="25">
        <v>45748</v>
      </c>
      <c r="R682" s="13">
        <v>0</v>
      </c>
      <c r="S682" s="26" t="str">
        <f>VLOOKUP(C682,'[1]Bazaar Salary'!$B$6:$J$1193,9,0)</f>
        <v>08390010062348550015</v>
      </c>
      <c r="T682" s="25" t="s">
        <v>32</v>
      </c>
      <c r="U682" s="25" t="s">
        <v>237</v>
      </c>
      <c r="V682" s="25" t="s">
        <v>1093</v>
      </c>
      <c r="W682" s="27" t="s">
        <v>2655</v>
      </c>
      <c r="X682" s="28" t="s">
        <v>2656</v>
      </c>
      <c r="Y682" s="28"/>
      <c r="Z682" s="29" t="s">
        <v>37</v>
      </c>
    </row>
    <row r="683" spans="1:26" ht="30" customHeight="1" thickBot="1" x14ac:dyDescent="0.25">
      <c r="A683" s="17">
        <f t="shared" si="21"/>
        <v>682</v>
      </c>
      <c r="B683" s="18" t="s">
        <v>25</v>
      </c>
      <c r="C683" s="19">
        <v>3620295740143</v>
      </c>
      <c r="D683" s="19">
        <v>1558</v>
      </c>
      <c r="E683" s="20">
        <v>44006</v>
      </c>
      <c r="F683" s="20">
        <v>47658</v>
      </c>
      <c r="G683" s="21">
        <v>36892</v>
      </c>
      <c r="H683" s="22">
        <f t="shared" ca="1" si="20"/>
        <v>25</v>
      </c>
      <c r="I683" s="19" t="s">
        <v>26</v>
      </c>
      <c r="J683" s="18" t="s">
        <v>27</v>
      </c>
      <c r="K683" s="18"/>
      <c r="L683" s="23" t="s">
        <v>68</v>
      </c>
      <c r="M683" s="23" t="s">
        <v>1158</v>
      </c>
      <c r="N683" s="23" t="s">
        <v>1499</v>
      </c>
      <c r="O683" s="18">
        <v>1</v>
      </c>
      <c r="P683" s="24"/>
      <c r="Q683" s="25">
        <v>45748</v>
      </c>
      <c r="R683" s="13">
        <v>0</v>
      </c>
      <c r="S683" s="26" t="str">
        <f>VLOOKUP(C683,'[1]Bazaar Salary'!$B$6:$J$1193,9,0)</f>
        <v>08390010120558180018</v>
      </c>
      <c r="T683" s="25" t="s">
        <v>32</v>
      </c>
      <c r="U683" s="25" t="s">
        <v>237</v>
      </c>
      <c r="V683" s="25" t="s">
        <v>1093</v>
      </c>
      <c r="W683" s="27" t="s">
        <v>2657</v>
      </c>
      <c r="X683" s="28" t="s">
        <v>2658</v>
      </c>
      <c r="Y683" s="28"/>
      <c r="Z683" s="29" t="s">
        <v>37</v>
      </c>
    </row>
    <row r="684" spans="1:26" ht="30" customHeight="1" thickBot="1" x14ac:dyDescent="0.25">
      <c r="A684" s="17">
        <f t="shared" si="21"/>
        <v>683</v>
      </c>
      <c r="B684" s="18" t="s">
        <v>25</v>
      </c>
      <c r="C684" s="19">
        <v>3830106038973</v>
      </c>
      <c r="D684" s="19">
        <v>1398</v>
      </c>
      <c r="E684" s="20">
        <v>44121</v>
      </c>
      <c r="F684" s="20">
        <v>47773</v>
      </c>
      <c r="G684" s="21">
        <v>37301</v>
      </c>
      <c r="H684" s="22">
        <f t="shared" ca="1" si="20"/>
        <v>24</v>
      </c>
      <c r="I684" s="19" t="s">
        <v>26</v>
      </c>
      <c r="J684" s="18" t="s">
        <v>27</v>
      </c>
      <c r="K684" s="18"/>
      <c r="L684" s="23" t="s">
        <v>2659</v>
      </c>
      <c r="M684" s="23" t="s">
        <v>2660</v>
      </c>
      <c r="N684" s="23" t="s">
        <v>1551</v>
      </c>
      <c r="O684" s="18">
        <v>1</v>
      </c>
      <c r="P684" s="24"/>
      <c r="Q684" s="25">
        <v>45748</v>
      </c>
      <c r="R684" s="13">
        <v>0</v>
      </c>
      <c r="S684" s="26" t="str">
        <f>VLOOKUP(C684,'[1]Bazaar Salary'!$B$6:$J$1193,9,0)</f>
        <v>02630010100861640010</v>
      </c>
      <c r="T684" s="25" t="s">
        <v>32</v>
      </c>
      <c r="U684" s="25" t="s">
        <v>805</v>
      </c>
      <c r="V684" s="25" t="s">
        <v>884</v>
      </c>
      <c r="W684" s="27" t="s">
        <v>2661</v>
      </c>
      <c r="X684" s="28" t="s">
        <v>2662</v>
      </c>
      <c r="Y684" s="28"/>
      <c r="Z684" s="29" t="s">
        <v>37</v>
      </c>
    </row>
    <row r="685" spans="1:26" ht="30" customHeight="1" thickBot="1" x14ac:dyDescent="0.25">
      <c r="A685" s="17">
        <f t="shared" si="21"/>
        <v>684</v>
      </c>
      <c r="B685" s="18" t="s">
        <v>25</v>
      </c>
      <c r="C685" s="19">
        <v>3830210994935</v>
      </c>
      <c r="D685" s="19">
        <v>1544</v>
      </c>
      <c r="E685" s="20">
        <v>44456</v>
      </c>
      <c r="F685" s="20">
        <v>48108</v>
      </c>
      <c r="G685" s="21">
        <v>29768</v>
      </c>
      <c r="H685" s="22">
        <f t="shared" ca="1" si="20"/>
        <v>44</v>
      </c>
      <c r="I685" s="19" t="s">
        <v>26</v>
      </c>
      <c r="J685" s="18" t="s">
        <v>27</v>
      </c>
      <c r="K685" s="18"/>
      <c r="L685" s="23" t="s">
        <v>2663</v>
      </c>
      <c r="M685" s="23" t="s">
        <v>2664</v>
      </c>
      <c r="N685" s="23" t="s">
        <v>1488</v>
      </c>
      <c r="O685" s="18">
        <v>1</v>
      </c>
      <c r="P685" s="24"/>
      <c r="Q685" s="25">
        <v>45748</v>
      </c>
      <c r="R685" s="13">
        <v>0</v>
      </c>
      <c r="S685" s="26" t="str">
        <f>VLOOKUP(C685,'[1]Bazaar Salary'!$B$6:$J$1193,9,0)</f>
        <v>02670010118361630016</v>
      </c>
      <c r="T685" s="25" t="s">
        <v>32</v>
      </c>
      <c r="U685" s="25" t="s">
        <v>805</v>
      </c>
      <c r="V685" s="25" t="s">
        <v>1356</v>
      </c>
      <c r="W685" s="27" t="s">
        <v>2665</v>
      </c>
      <c r="X685" s="28" t="s">
        <v>2666</v>
      </c>
      <c r="Y685" s="28"/>
      <c r="Z685" s="29" t="s">
        <v>37</v>
      </c>
    </row>
    <row r="686" spans="1:26" ht="30" customHeight="1" thickBot="1" x14ac:dyDescent="0.25">
      <c r="A686" s="17">
        <f t="shared" si="21"/>
        <v>685</v>
      </c>
      <c r="B686" s="18" t="s">
        <v>25</v>
      </c>
      <c r="C686" s="19">
        <v>3830366352233</v>
      </c>
      <c r="D686" s="19">
        <v>1382</v>
      </c>
      <c r="E686" s="20">
        <v>44153</v>
      </c>
      <c r="F686" s="20">
        <v>47805</v>
      </c>
      <c r="G686" s="21">
        <v>37347</v>
      </c>
      <c r="H686" s="22">
        <f t="shared" ca="1" si="20"/>
        <v>24</v>
      </c>
      <c r="I686" s="19" t="s">
        <v>26</v>
      </c>
      <c r="J686" s="18" t="s">
        <v>27</v>
      </c>
      <c r="K686" s="18"/>
      <c r="L686" s="23" t="s">
        <v>2667</v>
      </c>
      <c r="M686" s="23" t="s">
        <v>1864</v>
      </c>
      <c r="N686" s="23" t="s">
        <v>1488</v>
      </c>
      <c r="O686" s="18">
        <v>1</v>
      </c>
      <c r="P686" s="24"/>
      <c r="Q686" s="25">
        <v>45748</v>
      </c>
      <c r="R686" s="13">
        <v>0</v>
      </c>
      <c r="S686" s="26" t="str">
        <f>VLOOKUP(C686,'[1]Bazaar Salary'!$B$6:$J$1193,9,0)</f>
        <v>02630010100868900014</v>
      </c>
      <c r="T686" s="25" t="s">
        <v>32</v>
      </c>
      <c r="U686" s="25" t="s">
        <v>805</v>
      </c>
      <c r="V686" s="25" t="s">
        <v>884</v>
      </c>
      <c r="W686" s="27" t="s">
        <v>2668</v>
      </c>
      <c r="X686" s="28" t="s">
        <v>2669</v>
      </c>
      <c r="Y686" s="28"/>
      <c r="Z686" s="29" t="s">
        <v>37</v>
      </c>
    </row>
    <row r="687" spans="1:26" ht="30" customHeight="1" thickBot="1" x14ac:dyDescent="0.25">
      <c r="A687" s="17">
        <f t="shared" si="21"/>
        <v>686</v>
      </c>
      <c r="B687" s="18" t="s">
        <v>25</v>
      </c>
      <c r="C687" s="19">
        <v>3830260971063</v>
      </c>
      <c r="D687" s="19">
        <v>1679</v>
      </c>
      <c r="E687" s="21">
        <v>44834</v>
      </c>
      <c r="F687" s="21">
        <v>48487</v>
      </c>
      <c r="G687" s="21">
        <v>38158</v>
      </c>
      <c r="H687" s="22">
        <f t="shared" ca="1" si="20"/>
        <v>21</v>
      </c>
      <c r="I687" s="18" t="s">
        <v>26</v>
      </c>
      <c r="J687" s="18" t="s">
        <v>27</v>
      </c>
      <c r="K687" s="23"/>
      <c r="L687" s="24" t="s">
        <v>2670</v>
      </c>
      <c r="M687" s="33" t="s">
        <v>2671</v>
      </c>
      <c r="N687" s="23" t="s">
        <v>1488</v>
      </c>
      <c r="O687" s="18">
        <v>1</v>
      </c>
      <c r="P687" s="24"/>
      <c r="Q687" s="25">
        <v>45748</v>
      </c>
      <c r="R687" s="13">
        <v>0</v>
      </c>
      <c r="S687" s="26" t="str">
        <f>VLOOKUP(C687,'[1]Bazaar Salary'!$B$6:$J$1193,9,0)</f>
        <v>02630010135158110018</v>
      </c>
      <c r="T687" s="25" t="s">
        <v>32</v>
      </c>
      <c r="U687" s="25" t="s">
        <v>805</v>
      </c>
      <c r="V687" s="25" t="s">
        <v>1093</v>
      </c>
      <c r="W687" s="33" t="s">
        <v>2672</v>
      </c>
      <c r="X687" s="28" t="s">
        <v>2673</v>
      </c>
      <c r="Y687" s="28"/>
      <c r="Z687" s="29" t="s">
        <v>37</v>
      </c>
    </row>
    <row r="688" spans="1:26" ht="30" customHeight="1" thickBot="1" x14ac:dyDescent="0.25">
      <c r="A688" s="17">
        <f t="shared" si="21"/>
        <v>687</v>
      </c>
      <c r="B688" s="18" t="s">
        <v>25</v>
      </c>
      <c r="C688" s="19">
        <v>3830365773013</v>
      </c>
      <c r="D688" s="19">
        <v>1383</v>
      </c>
      <c r="E688" s="20">
        <v>44568</v>
      </c>
      <c r="F688" s="20">
        <v>48220</v>
      </c>
      <c r="G688" s="21">
        <v>37824</v>
      </c>
      <c r="H688" s="22">
        <f t="shared" ca="1" si="20"/>
        <v>22</v>
      </c>
      <c r="I688" s="19" t="s">
        <v>26</v>
      </c>
      <c r="J688" s="18" t="s">
        <v>27</v>
      </c>
      <c r="K688" s="18"/>
      <c r="L688" s="23" t="s">
        <v>29</v>
      </c>
      <c r="M688" s="23" t="s">
        <v>2674</v>
      </c>
      <c r="N688" s="23" t="s">
        <v>1488</v>
      </c>
      <c r="O688" s="18">
        <v>1</v>
      </c>
      <c r="P688" s="24"/>
      <c r="Q688" s="25">
        <v>45748</v>
      </c>
      <c r="R688" s="13">
        <v>0</v>
      </c>
      <c r="S688" s="26" t="str">
        <f>VLOOKUP(C688,'[1]Bazaar Salary'!$B$6:$J$1193,9,0)</f>
        <v>02630010100945360012</v>
      </c>
      <c r="T688" s="25" t="s">
        <v>32</v>
      </c>
      <c r="U688" s="25" t="s">
        <v>805</v>
      </c>
      <c r="V688" s="25" t="s">
        <v>884</v>
      </c>
      <c r="W688" s="27" t="s">
        <v>2675</v>
      </c>
      <c r="X688" s="28" t="s">
        <v>2676</v>
      </c>
      <c r="Y688" s="28"/>
      <c r="Z688" s="29" t="s">
        <v>37</v>
      </c>
    </row>
    <row r="689" spans="1:26" ht="30" customHeight="1" thickBot="1" x14ac:dyDescent="0.25">
      <c r="A689" s="17">
        <f t="shared" si="21"/>
        <v>688</v>
      </c>
      <c r="B689" s="18" t="s">
        <v>25</v>
      </c>
      <c r="C689" s="19">
        <v>3830331160567</v>
      </c>
      <c r="D689" s="19">
        <v>1143</v>
      </c>
      <c r="E689" s="20">
        <v>44616</v>
      </c>
      <c r="F689" s="20">
        <v>48268</v>
      </c>
      <c r="G689" s="21">
        <v>34370</v>
      </c>
      <c r="H689" s="22">
        <f t="shared" ca="1" si="20"/>
        <v>32</v>
      </c>
      <c r="I689" s="19" t="s">
        <v>26</v>
      </c>
      <c r="J689" s="18" t="s">
        <v>27</v>
      </c>
      <c r="K689" s="18"/>
      <c r="L689" s="23" t="s">
        <v>2677</v>
      </c>
      <c r="M689" s="23" t="s">
        <v>1032</v>
      </c>
      <c r="N689" s="23" t="s">
        <v>1499</v>
      </c>
      <c r="O689" s="18">
        <v>1</v>
      </c>
      <c r="P689" s="24"/>
      <c r="Q689" s="25">
        <v>43678</v>
      </c>
      <c r="R689" s="13">
        <v>0</v>
      </c>
      <c r="S689" s="26" t="str">
        <f>VLOOKUP(C689,'[1]Bazaar Salary'!$B$6:$J$1193,9,0)</f>
        <v>01220010063219130010</v>
      </c>
      <c r="T689" s="25" t="s">
        <v>32</v>
      </c>
      <c r="U689" s="25" t="s">
        <v>805</v>
      </c>
      <c r="V689" s="25" t="s">
        <v>884</v>
      </c>
      <c r="W689" s="27" t="s">
        <v>2678</v>
      </c>
      <c r="X689" s="28" t="s">
        <v>2679</v>
      </c>
      <c r="Y689" s="28"/>
      <c r="Z689" s="29" t="s">
        <v>37</v>
      </c>
    </row>
    <row r="690" spans="1:26" ht="30" customHeight="1" thickBot="1" x14ac:dyDescent="0.25">
      <c r="A690" s="17">
        <f t="shared" si="21"/>
        <v>689</v>
      </c>
      <c r="B690" s="18" t="s">
        <v>25</v>
      </c>
      <c r="C690" s="19">
        <v>3830274124325</v>
      </c>
      <c r="D690" s="19">
        <v>1629</v>
      </c>
      <c r="E690" s="20">
        <v>43508</v>
      </c>
      <c r="F690" s="20">
        <v>47161</v>
      </c>
      <c r="G690" s="21">
        <v>36875</v>
      </c>
      <c r="H690" s="22">
        <f t="shared" ca="1" si="20"/>
        <v>25</v>
      </c>
      <c r="I690" s="19" t="s">
        <v>26</v>
      </c>
      <c r="J690" s="18" t="s">
        <v>27</v>
      </c>
      <c r="K690" s="18"/>
      <c r="L690" s="23" t="s">
        <v>2680</v>
      </c>
      <c r="M690" s="23" t="s">
        <v>804</v>
      </c>
      <c r="N690" s="23" t="s">
        <v>1499</v>
      </c>
      <c r="O690" s="18">
        <v>1</v>
      </c>
      <c r="P690" s="24"/>
      <c r="Q690" s="25">
        <v>45748</v>
      </c>
      <c r="R690" s="13">
        <v>0</v>
      </c>
      <c r="S690" s="26" t="str">
        <f>VLOOKUP(C690,'[1]Bazaar Salary'!$B$6:$J$1193,9,0)</f>
        <v>02630010132094400010</v>
      </c>
      <c r="T690" s="25" t="s">
        <v>32</v>
      </c>
      <c r="U690" s="25" t="s">
        <v>805</v>
      </c>
      <c r="V690" s="25" t="s">
        <v>884</v>
      </c>
      <c r="W690" s="38" t="s">
        <v>2681</v>
      </c>
      <c r="X690" s="28" t="s">
        <v>2682</v>
      </c>
      <c r="Y690" s="28"/>
      <c r="Z690" s="29" t="s">
        <v>37</v>
      </c>
    </row>
    <row r="691" spans="1:26" ht="30" customHeight="1" thickBot="1" x14ac:dyDescent="0.25">
      <c r="A691" s="17">
        <f t="shared" si="21"/>
        <v>690</v>
      </c>
      <c r="B691" s="18" t="s">
        <v>25</v>
      </c>
      <c r="C691" s="19">
        <v>3830156148315</v>
      </c>
      <c r="D691" s="19">
        <v>1413</v>
      </c>
      <c r="E691" s="20">
        <v>44015</v>
      </c>
      <c r="F691" s="20">
        <v>47667</v>
      </c>
      <c r="G691" s="21">
        <v>33854</v>
      </c>
      <c r="H691" s="22">
        <f t="shared" ca="1" si="20"/>
        <v>33</v>
      </c>
      <c r="I691" s="19" t="s">
        <v>26</v>
      </c>
      <c r="J691" s="18" t="s">
        <v>27</v>
      </c>
      <c r="K691" s="18"/>
      <c r="L691" s="23" t="s">
        <v>2683</v>
      </c>
      <c r="M691" s="23" t="s">
        <v>2684</v>
      </c>
      <c r="N691" s="23" t="s">
        <v>1499</v>
      </c>
      <c r="O691" s="18">
        <v>1</v>
      </c>
      <c r="P691" s="24"/>
      <c r="Q691" s="25">
        <v>45748</v>
      </c>
      <c r="R691" s="13">
        <v>0</v>
      </c>
      <c r="S691" s="26" t="str">
        <f>VLOOKUP(C691,'[1]Bazaar Salary'!$B$6:$J$1193,9,0)</f>
        <v>07390010053391050019</v>
      </c>
      <c r="T691" s="25" t="s">
        <v>32</v>
      </c>
      <c r="U691" s="25" t="s">
        <v>805</v>
      </c>
      <c r="V691" s="25" t="s">
        <v>1356</v>
      </c>
      <c r="W691" s="27" t="s">
        <v>2685</v>
      </c>
      <c r="X691" s="28" t="s">
        <v>2686</v>
      </c>
      <c r="Y691" s="28"/>
      <c r="Z691" s="29" t="s">
        <v>37</v>
      </c>
    </row>
    <row r="692" spans="1:26" ht="30" customHeight="1" thickBot="1" x14ac:dyDescent="0.25">
      <c r="A692" s="17">
        <f t="shared" si="21"/>
        <v>691</v>
      </c>
      <c r="B692" s="18" t="s">
        <v>25</v>
      </c>
      <c r="C692" s="19">
        <v>3830312901113</v>
      </c>
      <c r="D692" s="19">
        <v>1575</v>
      </c>
      <c r="E692" s="20">
        <v>44308</v>
      </c>
      <c r="F692" s="20">
        <v>47960</v>
      </c>
      <c r="G692" s="21">
        <v>37517</v>
      </c>
      <c r="H692" s="22">
        <f t="shared" ca="1" si="20"/>
        <v>23</v>
      </c>
      <c r="I692" s="19" t="s">
        <v>26</v>
      </c>
      <c r="J692" s="18" t="s">
        <v>27</v>
      </c>
      <c r="K692" s="18"/>
      <c r="L692" s="23" t="s">
        <v>2687</v>
      </c>
      <c r="M692" s="23" t="s">
        <v>2688</v>
      </c>
      <c r="N692" s="23" t="s">
        <v>1499</v>
      </c>
      <c r="O692" s="18">
        <v>1</v>
      </c>
      <c r="P692" s="24"/>
      <c r="Q692" s="25">
        <v>45748</v>
      </c>
      <c r="R692" s="13">
        <v>0</v>
      </c>
      <c r="S692" s="26" t="str">
        <f>VLOOKUP(C692,'[1]Bazaar Salary'!$B$6:$J$1193,9,0)</f>
        <v>02630010124183180014</v>
      </c>
      <c r="T692" s="25" t="s">
        <v>32</v>
      </c>
      <c r="U692" s="25" t="s">
        <v>805</v>
      </c>
      <c r="V692" s="25" t="s">
        <v>1093</v>
      </c>
      <c r="W692" s="27" t="s">
        <v>2689</v>
      </c>
      <c r="X692" s="28" t="s">
        <v>2690</v>
      </c>
      <c r="Y692" s="28"/>
      <c r="Z692" s="29" t="s">
        <v>37</v>
      </c>
    </row>
    <row r="693" spans="1:26" ht="30" customHeight="1" thickBot="1" x14ac:dyDescent="0.25">
      <c r="A693" s="17">
        <f t="shared" si="21"/>
        <v>692</v>
      </c>
      <c r="B693" s="18" t="s">
        <v>25</v>
      </c>
      <c r="C693" s="19">
        <v>3830208620673</v>
      </c>
      <c r="D693" s="19">
        <v>1454</v>
      </c>
      <c r="E693" s="20">
        <v>45072</v>
      </c>
      <c r="F693" s="20">
        <v>48725</v>
      </c>
      <c r="G693" s="21">
        <v>34083</v>
      </c>
      <c r="H693" s="22">
        <f t="shared" ca="1" si="20"/>
        <v>33</v>
      </c>
      <c r="I693" s="19" t="s">
        <v>26</v>
      </c>
      <c r="J693" s="18" t="s">
        <v>27</v>
      </c>
      <c r="K693" s="18"/>
      <c r="L693" s="23" t="s">
        <v>2691</v>
      </c>
      <c r="M693" s="23" t="s">
        <v>2692</v>
      </c>
      <c r="N693" s="23" t="s">
        <v>1499</v>
      </c>
      <c r="O693" s="18">
        <v>1</v>
      </c>
      <c r="P693" s="24"/>
      <c r="Q693" s="25">
        <v>45748</v>
      </c>
      <c r="R693" s="13">
        <v>0</v>
      </c>
      <c r="S693" s="26" t="str">
        <f>VLOOKUP(C693,'[1]Bazaar Salary'!$B$6:$J$1193,9,0)</f>
        <v>02630010101576460018</v>
      </c>
      <c r="T693" s="25" t="s">
        <v>32</v>
      </c>
      <c r="U693" s="25" t="s">
        <v>805</v>
      </c>
      <c r="V693" s="25" t="s">
        <v>1093</v>
      </c>
      <c r="W693" s="27" t="s">
        <v>2693</v>
      </c>
      <c r="X693" s="28" t="s">
        <v>2694</v>
      </c>
      <c r="Y693" s="28"/>
      <c r="Z693" s="29" t="s">
        <v>37</v>
      </c>
    </row>
    <row r="694" spans="1:26" ht="30" customHeight="1" thickBot="1" x14ac:dyDescent="0.25">
      <c r="A694" s="17">
        <f t="shared" si="21"/>
        <v>693</v>
      </c>
      <c r="B694" s="18" t="s">
        <v>25</v>
      </c>
      <c r="C694" s="19">
        <v>3830259838995</v>
      </c>
      <c r="D694" s="19">
        <v>1699</v>
      </c>
      <c r="E694" s="20">
        <v>44508</v>
      </c>
      <c r="F694" s="20">
        <v>48160</v>
      </c>
      <c r="G694" s="21">
        <v>33185</v>
      </c>
      <c r="H694" s="22">
        <f t="shared" ca="1" si="20"/>
        <v>35</v>
      </c>
      <c r="I694" s="19" t="s">
        <v>26</v>
      </c>
      <c r="J694" s="18" t="s">
        <v>27</v>
      </c>
      <c r="K694" s="18"/>
      <c r="L694" s="23" t="s">
        <v>2695</v>
      </c>
      <c r="M694" s="23" t="s">
        <v>2696</v>
      </c>
      <c r="N694" s="23" t="s">
        <v>1499</v>
      </c>
      <c r="O694" s="18">
        <v>1</v>
      </c>
      <c r="P694" s="24"/>
      <c r="Q694" s="25">
        <v>45748</v>
      </c>
      <c r="R694" s="13">
        <v>0</v>
      </c>
      <c r="S694" s="26" t="str">
        <f>VLOOKUP(C694,'[1]Bazaar Salary'!$B$6:$J$1193,9,0)</f>
        <v>02630010136881910016</v>
      </c>
      <c r="T694" s="25" t="s">
        <v>32</v>
      </c>
      <c r="U694" s="25" t="s">
        <v>805</v>
      </c>
      <c r="V694" s="25" t="s">
        <v>320</v>
      </c>
      <c r="W694" s="27" t="s">
        <v>2697</v>
      </c>
      <c r="X694" s="28" t="s">
        <v>2698</v>
      </c>
      <c r="Y694" s="28"/>
      <c r="Z694" s="29" t="s">
        <v>37</v>
      </c>
    </row>
    <row r="695" spans="1:26" ht="30" customHeight="1" thickBot="1" x14ac:dyDescent="0.25">
      <c r="A695" s="17">
        <f t="shared" si="21"/>
        <v>694</v>
      </c>
      <c r="B695" s="18" t="s">
        <v>25</v>
      </c>
      <c r="C695" s="19">
        <v>3830382751073</v>
      </c>
      <c r="D695" s="19">
        <v>1249</v>
      </c>
      <c r="E695" s="20">
        <v>44386</v>
      </c>
      <c r="F695" s="20">
        <v>48038</v>
      </c>
      <c r="G695" s="21">
        <v>33332</v>
      </c>
      <c r="H695" s="22">
        <f t="shared" ca="1" si="20"/>
        <v>35</v>
      </c>
      <c r="I695" s="19" t="s">
        <v>26</v>
      </c>
      <c r="J695" s="18" t="s">
        <v>27</v>
      </c>
      <c r="K695" s="18"/>
      <c r="L695" s="23" t="s">
        <v>2699</v>
      </c>
      <c r="M695" s="23" t="s">
        <v>2700</v>
      </c>
      <c r="N695" s="23" t="s">
        <v>1499</v>
      </c>
      <c r="O695" s="18">
        <v>1</v>
      </c>
      <c r="P695" s="24"/>
      <c r="Q695" s="25">
        <v>44317</v>
      </c>
      <c r="R695" s="13">
        <v>0</v>
      </c>
      <c r="S695" s="26" t="str">
        <f>VLOOKUP(C695,'[1]Bazaar Salary'!$B$6:$J$1193,9,0)</f>
        <v>12820010074336720019</v>
      </c>
      <c r="T695" s="25" t="s">
        <v>32</v>
      </c>
      <c r="U695" s="25" t="s">
        <v>805</v>
      </c>
      <c r="V695" s="25" t="s">
        <v>884</v>
      </c>
      <c r="W695" s="27" t="s">
        <v>2701</v>
      </c>
      <c r="X695" s="28" t="s">
        <v>2702</v>
      </c>
      <c r="Y695" s="28"/>
      <c r="Z695" s="29" t="s">
        <v>37</v>
      </c>
    </row>
    <row r="696" spans="1:26" ht="30" customHeight="1" thickBot="1" x14ac:dyDescent="0.25">
      <c r="A696" s="17">
        <f t="shared" si="21"/>
        <v>695</v>
      </c>
      <c r="B696" s="18" t="s">
        <v>25</v>
      </c>
      <c r="C696" s="19">
        <v>3830214295955</v>
      </c>
      <c r="D696" s="19">
        <v>1412</v>
      </c>
      <c r="E696" s="20">
        <v>44116</v>
      </c>
      <c r="F696" s="20">
        <v>47768</v>
      </c>
      <c r="G696" s="21">
        <v>32301</v>
      </c>
      <c r="H696" s="22">
        <f t="shared" ca="1" si="20"/>
        <v>38</v>
      </c>
      <c r="I696" s="19" t="s">
        <v>26</v>
      </c>
      <c r="J696" s="18" t="s">
        <v>27</v>
      </c>
      <c r="K696" s="18"/>
      <c r="L696" s="23" t="s">
        <v>2703</v>
      </c>
      <c r="M696" s="23" t="s">
        <v>2704</v>
      </c>
      <c r="N696" s="23" t="s">
        <v>1499</v>
      </c>
      <c r="O696" s="18">
        <v>1</v>
      </c>
      <c r="P696" s="24"/>
      <c r="Q696" s="25">
        <v>45748</v>
      </c>
      <c r="R696" s="13">
        <v>0</v>
      </c>
      <c r="S696" s="26" t="str">
        <f>VLOOKUP(C696,'[1]Bazaar Salary'!$B$6:$J$1193,9,0)</f>
        <v>02670010017714400021</v>
      </c>
      <c r="T696" s="25" t="s">
        <v>32</v>
      </c>
      <c r="U696" s="25" t="s">
        <v>805</v>
      </c>
      <c r="V696" s="25" t="s">
        <v>1093</v>
      </c>
      <c r="W696" s="27" t="s">
        <v>2705</v>
      </c>
      <c r="X696" s="28" t="s">
        <v>2706</v>
      </c>
      <c r="Y696" s="28"/>
      <c r="Z696" s="29" t="s">
        <v>37</v>
      </c>
    </row>
    <row r="697" spans="1:26" ht="30" customHeight="1" thickBot="1" x14ac:dyDescent="0.25">
      <c r="A697" s="17">
        <f t="shared" si="21"/>
        <v>696</v>
      </c>
      <c r="B697" s="18" t="s">
        <v>25</v>
      </c>
      <c r="C697" s="19">
        <v>3830132364659</v>
      </c>
      <c r="D697" s="19">
        <v>1409</v>
      </c>
      <c r="E697" s="20">
        <v>42591</v>
      </c>
      <c r="F697" s="20">
        <v>46243</v>
      </c>
      <c r="G697" s="21">
        <v>27842</v>
      </c>
      <c r="H697" s="22">
        <f t="shared" ca="1" si="20"/>
        <v>50</v>
      </c>
      <c r="I697" s="19" t="s">
        <v>26</v>
      </c>
      <c r="J697" s="18" t="s">
        <v>27</v>
      </c>
      <c r="K697" s="18"/>
      <c r="L697" s="23" t="s">
        <v>2707</v>
      </c>
      <c r="M697" s="23" t="s">
        <v>2708</v>
      </c>
      <c r="N697" s="23" t="s">
        <v>1499</v>
      </c>
      <c r="O697" s="18">
        <v>1</v>
      </c>
      <c r="P697" s="24"/>
      <c r="Q697" s="25">
        <v>45748</v>
      </c>
      <c r="R697" s="13">
        <v>0</v>
      </c>
      <c r="S697" s="26" t="str">
        <f>VLOOKUP(C697,'[1]Bazaar Salary'!$B$6:$J$1193,9,0)</f>
        <v>02630010100797170016</v>
      </c>
      <c r="T697" s="25" t="s">
        <v>32</v>
      </c>
      <c r="U697" s="25" t="s">
        <v>805</v>
      </c>
      <c r="V697" s="25" t="s">
        <v>884</v>
      </c>
      <c r="W697" s="27" t="s">
        <v>2709</v>
      </c>
      <c r="X697" s="32" t="s">
        <v>2710</v>
      </c>
      <c r="Y697" s="28"/>
      <c r="Z697" s="29" t="s">
        <v>37</v>
      </c>
    </row>
    <row r="698" spans="1:26" ht="30" customHeight="1" thickBot="1" x14ac:dyDescent="0.25">
      <c r="A698" s="17">
        <f t="shared" si="21"/>
        <v>697</v>
      </c>
      <c r="B698" s="18" t="s">
        <v>25</v>
      </c>
      <c r="C698" s="19">
        <v>3830164015367</v>
      </c>
      <c r="D698" s="19">
        <v>1380</v>
      </c>
      <c r="E698" s="20">
        <v>43327</v>
      </c>
      <c r="F698" s="20">
        <v>46980</v>
      </c>
      <c r="G698" s="21">
        <v>36309</v>
      </c>
      <c r="H698" s="22">
        <f t="shared" ca="1" si="20"/>
        <v>27</v>
      </c>
      <c r="I698" s="19" t="s">
        <v>26</v>
      </c>
      <c r="J698" s="18" t="s">
        <v>27</v>
      </c>
      <c r="K698" s="18"/>
      <c r="L698" s="23" t="s">
        <v>2711</v>
      </c>
      <c r="M698" s="23" t="s">
        <v>2712</v>
      </c>
      <c r="N698" s="23" t="s">
        <v>1499</v>
      </c>
      <c r="O698" s="18">
        <v>1</v>
      </c>
      <c r="P698" s="24"/>
      <c r="Q698" s="25">
        <v>45748</v>
      </c>
      <c r="R698" s="13">
        <v>0</v>
      </c>
      <c r="S698" s="26" t="str">
        <f>VLOOKUP(C698,'[1]Bazaar Salary'!$B$6:$J$1193,9,0)</f>
        <v>02630010100804380013</v>
      </c>
      <c r="T698" s="25" t="s">
        <v>32</v>
      </c>
      <c r="U698" s="25" t="s">
        <v>805</v>
      </c>
      <c r="V698" s="25" t="s">
        <v>320</v>
      </c>
      <c r="W698" s="27" t="s">
        <v>2713</v>
      </c>
      <c r="X698" s="28" t="s">
        <v>2714</v>
      </c>
      <c r="Y698" s="28"/>
      <c r="Z698" s="29" t="s">
        <v>37</v>
      </c>
    </row>
    <row r="699" spans="1:26" ht="30" customHeight="1" thickBot="1" x14ac:dyDescent="0.25">
      <c r="A699" s="17">
        <f t="shared" si="21"/>
        <v>698</v>
      </c>
      <c r="B699" s="18" t="s">
        <v>25</v>
      </c>
      <c r="C699" s="19">
        <v>3310248185475</v>
      </c>
      <c r="D699" s="19">
        <v>1356</v>
      </c>
      <c r="E699" s="20">
        <v>45141</v>
      </c>
      <c r="F699" s="20">
        <v>48794</v>
      </c>
      <c r="G699" s="21">
        <v>33970</v>
      </c>
      <c r="H699" s="22">
        <f t="shared" ca="1" si="20"/>
        <v>33</v>
      </c>
      <c r="I699" s="18" t="s">
        <v>912</v>
      </c>
      <c r="J699" s="18" t="s">
        <v>27</v>
      </c>
      <c r="K699" s="18"/>
      <c r="L699" s="23" t="s">
        <v>2349</v>
      </c>
      <c r="M699" s="23" t="s">
        <v>2715</v>
      </c>
      <c r="N699" s="23" t="s">
        <v>1488</v>
      </c>
      <c r="O699" s="18">
        <v>1</v>
      </c>
      <c r="P699" s="24"/>
      <c r="Q699" s="25">
        <v>42767</v>
      </c>
      <c r="R699" s="13">
        <v>0</v>
      </c>
      <c r="S699" s="26" t="str">
        <f>VLOOKUP(C699,'[1]Bazaar Salary'!$B$6:$J$1193,9,0)</f>
        <v>00660010060006760010</v>
      </c>
      <c r="T699" s="25" t="s">
        <v>32</v>
      </c>
      <c r="U699" s="25" t="s">
        <v>809</v>
      </c>
      <c r="V699" s="25" t="s">
        <v>1535</v>
      </c>
      <c r="W699" s="27" t="s">
        <v>2716</v>
      </c>
      <c r="X699" s="28" t="s">
        <v>2717</v>
      </c>
      <c r="Y699" s="28"/>
      <c r="Z699" s="29" t="s">
        <v>37</v>
      </c>
    </row>
    <row r="700" spans="1:26" ht="30" customHeight="1" thickBot="1" x14ac:dyDescent="0.25">
      <c r="A700" s="17">
        <f t="shared" si="21"/>
        <v>699</v>
      </c>
      <c r="B700" s="18" t="s">
        <v>25</v>
      </c>
      <c r="C700" s="19">
        <v>3230318689601</v>
      </c>
      <c r="D700" s="19">
        <v>1672</v>
      </c>
      <c r="E700" s="21">
        <v>44936</v>
      </c>
      <c r="F700" s="21">
        <v>48589</v>
      </c>
      <c r="G700" s="21">
        <v>36721</v>
      </c>
      <c r="H700" s="22">
        <f t="shared" ca="1" si="20"/>
        <v>25</v>
      </c>
      <c r="I700" s="18" t="s">
        <v>912</v>
      </c>
      <c r="J700" s="18" t="s">
        <v>27</v>
      </c>
      <c r="K700" s="23"/>
      <c r="L700" s="24" t="s">
        <v>2718</v>
      </c>
      <c r="M700" s="33" t="s">
        <v>2719</v>
      </c>
      <c r="N700" s="23" t="s">
        <v>1488</v>
      </c>
      <c r="O700" s="18">
        <v>1</v>
      </c>
      <c r="P700" s="24"/>
      <c r="Q700" s="25">
        <v>45748</v>
      </c>
      <c r="R700" s="13">
        <v>0</v>
      </c>
      <c r="S700" s="26" t="str">
        <f>VLOOKUP(C700,'[1]Bazaar Salary'!$B$6:$J$1193,9,0)</f>
        <v>02880010067709940023</v>
      </c>
      <c r="T700" s="25" t="s">
        <v>32</v>
      </c>
      <c r="U700" s="25" t="s">
        <v>404</v>
      </c>
      <c r="V700" s="25" t="s">
        <v>1093</v>
      </c>
      <c r="W700" s="33" t="s">
        <v>2720</v>
      </c>
      <c r="X700" s="28" t="s">
        <v>2721</v>
      </c>
      <c r="Y700" s="28"/>
      <c r="Z700" s="29" t="s">
        <v>37</v>
      </c>
    </row>
    <row r="701" spans="1:26" ht="30" customHeight="1" thickBot="1" x14ac:dyDescent="0.25">
      <c r="A701" s="17">
        <f t="shared" si="21"/>
        <v>700</v>
      </c>
      <c r="B701" s="18" t="s">
        <v>25</v>
      </c>
      <c r="C701" s="19">
        <v>3230399077205</v>
      </c>
      <c r="D701" s="19">
        <v>1753</v>
      </c>
      <c r="E701" s="20">
        <v>45188</v>
      </c>
      <c r="F701" s="20">
        <v>48841</v>
      </c>
      <c r="G701" s="21">
        <v>38565</v>
      </c>
      <c r="H701" s="22">
        <f t="shared" ca="1" si="20"/>
        <v>20</v>
      </c>
      <c r="I701" s="19" t="s">
        <v>26</v>
      </c>
      <c r="J701" s="18" t="s">
        <v>27</v>
      </c>
      <c r="K701" s="18"/>
      <c r="L701" s="23" t="s">
        <v>1150</v>
      </c>
      <c r="M701" s="23" t="s">
        <v>2722</v>
      </c>
      <c r="N701" s="23" t="s">
        <v>1499</v>
      </c>
      <c r="O701" s="18">
        <v>1</v>
      </c>
      <c r="P701" s="24"/>
      <c r="Q701" s="25">
        <v>45748</v>
      </c>
      <c r="R701" s="13">
        <v>0</v>
      </c>
      <c r="S701" s="26" t="str">
        <f>VLOOKUP(C701,'[1]Bazaar Salary'!$B$6:$J$1193,9,0)</f>
        <v>51340020138253050010</v>
      </c>
      <c r="T701" s="25" t="s">
        <v>32</v>
      </c>
      <c r="U701" s="25" t="s">
        <v>404</v>
      </c>
      <c r="V701" s="25" t="s">
        <v>1093</v>
      </c>
      <c r="W701" s="27" t="s">
        <v>2723</v>
      </c>
      <c r="X701" s="28" t="s">
        <v>2724</v>
      </c>
      <c r="Y701" s="28"/>
      <c r="Z701" s="29" t="s">
        <v>37</v>
      </c>
    </row>
    <row r="702" spans="1:26" ht="30" customHeight="1" thickBot="1" x14ac:dyDescent="0.25">
      <c r="A702" s="17">
        <f t="shared" si="21"/>
        <v>701</v>
      </c>
      <c r="B702" s="18" t="s">
        <v>25</v>
      </c>
      <c r="C702" s="19">
        <v>3520213056879</v>
      </c>
      <c r="D702" s="19">
        <v>1444</v>
      </c>
      <c r="E702" s="20">
        <v>44851</v>
      </c>
      <c r="F702" s="20">
        <v>48504</v>
      </c>
      <c r="G702" s="21">
        <v>33199</v>
      </c>
      <c r="H702" s="22">
        <f t="shared" ca="1" si="20"/>
        <v>35</v>
      </c>
      <c r="I702" s="18" t="s">
        <v>912</v>
      </c>
      <c r="J702" s="18" t="s">
        <v>27</v>
      </c>
      <c r="K702" s="18"/>
      <c r="L702" s="23" t="s">
        <v>2725</v>
      </c>
      <c r="M702" s="23" t="s">
        <v>2726</v>
      </c>
      <c r="N702" s="23" t="s">
        <v>1488</v>
      </c>
      <c r="O702" s="18">
        <v>1</v>
      </c>
      <c r="P702" s="24"/>
      <c r="Q702" s="25">
        <v>45748</v>
      </c>
      <c r="R702" s="13">
        <v>0</v>
      </c>
      <c r="S702" s="26" t="str">
        <f>VLOOKUP(C702,'[1]Bazaar Salary'!$B$6:$J$1193,9,0)</f>
        <v>10080010101654470011</v>
      </c>
      <c r="T702" s="25" t="s">
        <v>32</v>
      </c>
      <c r="U702" s="25" t="s">
        <v>2727</v>
      </c>
      <c r="V702" s="25" t="s">
        <v>1093</v>
      </c>
      <c r="W702" s="27" t="s">
        <v>2728</v>
      </c>
      <c r="X702" s="28" t="s">
        <v>2729</v>
      </c>
      <c r="Y702" s="28"/>
      <c r="Z702" s="29" t="s">
        <v>37</v>
      </c>
    </row>
    <row r="703" spans="1:26" ht="30" customHeight="1" thickBot="1" x14ac:dyDescent="0.25">
      <c r="A703" s="17">
        <f t="shared" si="21"/>
        <v>702</v>
      </c>
      <c r="B703" s="18" t="s">
        <v>25</v>
      </c>
      <c r="C703" s="19">
        <v>3410333012683</v>
      </c>
      <c r="D703" s="19">
        <v>1838</v>
      </c>
      <c r="E703" s="20">
        <v>43210</v>
      </c>
      <c r="F703" s="20">
        <v>46863</v>
      </c>
      <c r="G703" s="21">
        <v>35754</v>
      </c>
      <c r="H703" s="22">
        <f t="shared" ca="1" si="20"/>
        <v>28</v>
      </c>
      <c r="I703" s="19" t="s">
        <v>912</v>
      </c>
      <c r="J703" s="18" t="s">
        <v>27</v>
      </c>
      <c r="K703" s="18"/>
      <c r="L703" s="23" t="s">
        <v>2730</v>
      </c>
      <c r="M703" s="23" t="s">
        <v>2731</v>
      </c>
      <c r="N703" s="23" t="s">
        <v>1499</v>
      </c>
      <c r="O703" s="18">
        <v>1</v>
      </c>
      <c r="P703" s="24"/>
      <c r="Q703" s="25">
        <v>45748</v>
      </c>
      <c r="R703" s="13">
        <v>0</v>
      </c>
      <c r="S703" s="26" t="str">
        <f>VLOOKUP(C703,'[1]Bazaar Salary'!$B$6:$J$1193,9,0)</f>
        <v>02900010103542160014</v>
      </c>
      <c r="T703" s="25" t="s">
        <v>32</v>
      </c>
      <c r="U703" s="25" t="s">
        <v>2732</v>
      </c>
      <c r="V703" s="25" t="s">
        <v>1093</v>
      </c>
      <c r="W703" s="27" t="s">
        <v>2733</v>
      </c>
      <c r="X703" s="28" t="s">
        <v>2734</v>
      </c>
      <c r="Y703" s="28"/>
      <c r="Z703" s="29" t="s">
        <v>37</v>
      </c>
    </row>
    <row r="704" spans="1:26" ht="30" customHeight="1" thickBot="1" x14ac:dyDescent="0.25">
      <c r="A704" s="17">
        <f t="shared" si="21"/>
        <v>703</v>
      </c>
      <c r="B704" s="18" t="s">
        <v>25</v>
      </c>
      <c r="C704" s="19">
        <v>3530269685481</v>
      </c>
      <c r="D704" s="19">
        <v>1358</v>
      </c>
      <c r="E704" s="20">
        <v>44180</v>
      </c>
      <c r="F704" s="20">
        <v>47832</v>
      </c>
      <c r="G704" s="21">
        <v>35895</v>
      </c>
      <c r="H704" s="22">
        <f t="shared" ca="1" si="20"/>
        <v>28</v>
      </c>
      <c r="I704" s="19" t="s">
        <v>26</v>
      </c>
      <c r="J704" s="18" t="s">
        <v>27</v>
      </c>
      <c r="K704" s="18"/>
      <c r="L704" s="23" t="s">
        <v>2735</v>
      </c>
      <c r="M704" s="23" t="s">
        <v>2207</v>
      </c>
      <c r="N704" s="23" t="s">
        <v>1499</v>
      </c>
      <c r="O704" s="18">
        <v>1</v>
      </c>
      <c r="P704" s="24"/>
      <c r="Q704" s="25">
        <v>45748</v>
      </c>
      <c r="R704" s="13">
        <v>0</v>
      </c>
      <c r="S704" s="26" t="str">
        <f>VLOOKUP(C704,'[1]Bazaar Salary'!$B$6:$J$1193,9,0)</f>
        <v>09630010094123560019</v>
      </c>
      <c r="T704" s="25" t="s">
        <v>32</v>
      </c>
      <c r="U704" s="25" t="s">
        <v>242</v>
      </c>
      <c r="V704" s="25" t="s">
        <v>1093</v>
      </c>
      <c r="W704" s="27" t="s">
        <v>2736</v>
      </c>
      <c r="X704" s="28" t="s">
        <v>2737</v>
      </c>
      <c r="Y704" s="28"/>
      <c r="Z704" s="29" t="s">
        <v>37</v>
      </c>
    </row>
    <row r="705" spans="1:26" ht="30" customHeight="1" thickBot="1" x14ac:dyDescent="0.25">
      <c r="A705" s="17">
        <f t="shared" si="21"/>
        <v>704</v>
      </c>
      <c r="B705" s="18" t="s">
        <v>25</v>
      </c>
      <c r="C705" s="19">
        <v>3530290359439</v>
      </c>
      <c r="D705" s="19">
        <v>1851</v>
      </c>
      <c r="E705" s="20">
        <v>45161</v>
      </c>
      <c r="F705" s="20">
        <v>48814</v>
      </c>
      <c r="G705" s="21">
        <v>29768</v>
      </c>
      <c r="H705" s="22">
        <f t="shared" ca="1" si="20"/>
        <v>44</v>
      </c>
      <c r="I705" s="19" t="s">
        <v>26</v>
      </c>
      <c r="J705" s="18" t="s">
        <v>27</v>
      </c>
      <c r="K705" s="18"/>
      <c r="L705" s="23" t="s">
        <v>2738</v>
      </c>
      <c r="M705" s="23" t="s">
        <v>2739</v>
      </c>
      <c r="N705" s="23" t="s">
        <v>1499</v>
      </c>
      <c r="O705" s="18">
        <v>1</v>
      </c>
      <c r="P705" s="24"/>
      <c r="Q705" s="25">
        <v>45748</v>
      </c>
      <c r="R705" s="13">
        <v>0</v>
      </c>
      <c r="S705" s="26" t="str">
        <f>VLOOKUP(C705,'[1]Bazaar Salary'!$B$6:$J$1193,9,0)</f>
        <v>51010020141546110011</v>
      </c>
      <c r="T705" s="25" t="s">
        <v>32</v>
      </c>
      <c r="U705" s="25" t="s">
        <v>242</v>
      </c>
      <c r="V705" s="25" t="s">
        <v>1093</v>
      </c>
      <c r="W705" s="27" t="s">
        <v>2740</v>
      </c>
      <c r="X705" s="28" t="s">
        <v>2741</v>
      </c>
      <c r="Y705" s="28"/>
      <c r="Z705" s="29" t="s">
        <v>37</v>
      </c>
    </row>
    <row r="706" spans="1:26" ht="30" customHeight="1" thickBot="1" x14ac:dyDescent="0.25">
      <c r="A706" s="17">
        <f t="shared" si="21"/>
        <v>705</v>
      </c>
      <c r="B706" s="18" t="s">
        <v>25</v>
      </c>
      <c r="C706" s="19">
        <v>3640281643209</v>
      </c>
      <c r="D706" s="19">
        <v>1429</v>
      </c>
      <c r="E706" s="20">
        <v>42944</v>
      </c>
      <c r="F706" s="20">
        <v>46596</v>
      </c>
      <c r="G706" s="21">
        <v>31937</v>
      </c>
      <c r="H706" s="22">
        <f t="shared" ref="H706:H769" ca="1" si="22">INT((TODAY()-G706)/365)</f>
        <v>39</v>
      </c>
      <c r="I706" s="18" t="s">
        <v>912</v>
      </c>
      <c r="J706" s="18" t="s">
        <v>27</v>
      </c>
      <c r="K706" s="18"/>
      <c r="L706" s="23" t="s">
        <v>2742</v>
      </c>
      <c r="M706" s="23" t="s">
        <v>2743</v>
      </c>
      <c r="N706" s="23" t="s">
        <v>1488</v>
      </c>
      <c r="O706" s="18">
        <v>1</v>
      </c>
      <c r="P706" s="24"/>
      <c r="Q706" s="25">
        <v>45748</v>
      </c>
      <c r="R706" s="13">
        <v>0</v>
      </c>
      <c r="S706" s="26" t="str">
        <f>VLOOKUP(C706,'[1]Bazaar Salary'!$B$6:$J$1193,9,0)</f>
        <v>02980010101251610019</v>
      </c>
      <c r="T706" s="25" t="s">
        <v>32</v>
      </c>
      <c r="U706" s="25" t="s">
        <v>410</v>
      </c>
      <c r="V706" s="25" t="s">
        <v>1356</v>
      </c>
      <c r="W706" s="27" t="s">
        <v>2744</v>
      </c>
      <c r="X706" s="28" t="s">
        <v>2745</v>
      </c>
      <c r="Y706" s="28"/>
      <c r="Z706" s="29" t="s">
        <v>37</v>
      </c>
    </row>
    <row r="707" spans="1:26" ht="30" customHeight="1" thickBot="1" x14ac:dyDescent="0.25">
      <c r="A707" s="17">
        <f t="shared" si="21"/>
        <v>706</v>
      </c>
      <c r="B707" s="18" t="s">
        <v>25</v>
      </c>
      <c r="C707" s="19">
        <v>3640288460239</v>
      </c>
      <c r="D707" s="19">
        <v>1394</v>
      </c>
      <c r="E707" s="20">
        <v>45180</v>
      </c>
      <c r="F707" s="20">
        <v>48833</v>
      </c>
      <c r="G707" s="21">
        <v>34620</v>
      </c>
      <c r="H707" s="22">
        <f t="shared" ca="1" si="22"/>
        <v>31</v>
      </c>
      <c r="I707" s="18" t="s">
        <v>912</v>
      </c>
      <c r="J707" s="18" t="s">
        <v>27</v>
      </c>
      <c r="K707" s="18"/>
      <c r="L707" s="23" t="s">
        <v>2746</v>
      </c>
      <c r="M707" s="23" t="s">
        <v>2747</v>
      </c>
      <c r="N707" s="23" t="s">
        <v>1488</v>
      </c>
      <c r="O707" s="18">
        <v>1</v>
      </c>
      <c r="P707" s="24"/>
      <c r="Q707" s="25">
        <v>45748</v>
      </c>
      <c r="R707" s="13">
        <v>0</v>
      </c>
      <c r="S707" s="26" t="str">
        <f>VLOOKUP(C707,'[1]Bazaar Salary'!$B$6:$J$1193,9,0)</f>
        <v>02980010100968810010</v>
      </c>
      <c r="T707" s="25" t="s">
        <v>32</v>
      </c>
      <c r="U707" s="25" t="s">
        <v>410</v>
      </c>
      <c r="V707" s="25" t="s">
        <v>1356</v>
      </c>
      <c r="W707" s="27" t="s">
        <v>2748</v>
      </c>
      <c r="X707" s="28" t="s">
        <v>2749</v>
      </c>
      <c r="Y707" s="28"/>
      <c r="Z707" s="29" t="s">
        <v>37</v>
      </c>
    </row>
    <row r="708" spans="1:26" ht="30" customHeight="1" thickBot="1" x14ac:dyDescent="0.25">
      <c r="A708" s="17">
        <f t="shared" ref="A708:A771" si="23">A707+1</f>
        <v>707</v>
      </c>
      <c r="B708" s="18" t="s">
        <v>25</v>
      </c>
      <c r="C708" s="19">
        <v>3640277884473</v>
      </c>
      <c r="D708" s="19">
        <v>1391</v>
      </c>
      <c r="E708" s="20">
        <v>44991</v>
      </c>
      <c r="F708" s="20">
        <v>48644</v>
      </c>
      <c r="G708" s="21">
        <v>31504</v>
      </c>
      <c r="H708" s="22">
        <f t="shared" ca="1" si="22"/>
        <v>40</v>
      </c>
      <c r="I708" s="19" t="s">
        <v>26</v>
      </c>
      <c r="J708" s="18" t="s">
        <v>27</v>
      </c>
      <c r="K708" s="18"/>
      <c r="L708" s="23" t="s">
        <v>632</v>
      </c>
      <c r="M708" s="23" t="s">
        <v>2144</v>
      </c>
      <c r="N708" s="23" t="s">
        <v>1499</v>
      </c>
      <c r="O708" s="18">
        <v>1</v>
      </c>
      <c r="P708" s="24"/>
      <c r="Q708" s="25">
        <v>45748</v>
      </c>
      <c r="R708" s="13">
        <v>0</v>
      </c>
      <c r="S708" s="26" t="str">
        <f>VLOOKUP(C708,'[1]Bazaar Salary'!$B$6:$J$1193,9,0)</f>
        <v>02980010100937220014</v>
      </c>
      <c r="T708" s="25" t="s">
        <v>32</v>
      </c>
      <c r="U708" s="25" t="s">
        <v>410</v>
      </c>
      <c r="V708" s="25" t="s">
        <v>1356</v>
      </c>
      <c r="W708" s="27" t="s">
        <v>2750</v>
      </c>
      <c r="X708" s="28" t="s">
        <v>2751</v>
      </c>
      <c r="Y708" s="28"/>
      <c r="Z708" s="29" t="s">
        <v>37</v>
      </c>
    </row>
    <row r="709" spans="1:26" ht="30" customHeight="1" thickBot="1" x14ac:dyDescent="0.25">
      <c r="A709" s="17">
        <f t="shared" si="23"/>
        <v>708</v>
      </c>
      <c r="B709" s="18" t="s">
        <v>25</v>
      </c>
      <c r="C709" s="19">
        <v>3110126574839</v>
      </c>
      <c r="D709" s="19">
        <v>1781</v>
      </c>
      <c r="E709" s="20">
        <v>44077</v>
      </c>
      <c r="F709" s="20" t="s">
        <v>2752</v>
      </c>
      <c r="G709" s="21">
        <v>35169</v>
      </c>
      <c r="H709" s="22">
        <f t="shared" ca="1" si="22"/>
        <v>30</v>
      </c>
      <c r="I709" s="19" t="s">
        <v>26</v>
      </c>
      <c r="J709" s="18" t="s">
        <v>27</v>
      </c>
      <c r="K709" s="18"/>
      <c r="L709" s="23" t="s">
        <v>2753</v>
      </c>
      <c r="M709" s="23" t="s">
        <v>1928</v>
      </c>
      <c r="N709" s="23" t="s">
        <v>1499</v>
      </c>
      <c r="O709" s="18">
        <v>1</v>
      </c>
      <c r="P709" s="24"/>
      <c r="Q709" s="25">
        <v>45748</v>
      </c>
      <c r="R709" s="13">
        <v>0</v>
      </c>
      <c r="S709" s="26" t="str">
        <f>VLOOKUP(C709,'[1]Bazaar Salary'!$B$6:$J$1193,9,0)</f>
        <v>02980010140378480013</v>
      </c>
      <c r="T709" s="25" t="s">
        <v>32</v>
      </c>
      <c r="U709" s="25" t="s">
        <v>410</v>
      </c>
      <c r="V709" s="25" t="s">
        <v>1093</v>
      </c>
      <c r="W709" s="27" t="s">
        <v>2754</v>
      </c>
      <c r="X709" s="28" t="s">
        <v>2755</v>
      </c>
      <c r="Y709" s="28"/>
      <c r="Z709" s="29" t="s">
        <v>37</v>
      </c>
    </row>
    <row r="710" spans="1:26" ht="30" customHeight="1" thickBot="1" x14ac:dyDescent="0.25">
      <c r="A710" s="17">
        <f t="shared" si="23"/>
        <v>709</v>
      </c>
      <c r="B710" s="18" t="s">
        <v>25</v>
      </c>
      <c r="C710" s="19">
        <v>3110104561501</v>
      </c>
      <c r="D710" s="19">
        <v>1477</v>
      </c>
      <c r="E710" s="20">
        <v>43048</v>
      </c>
      <c r="F710" s="20">
        <v>46700</v>
      </c>
      <c r="G710" s="21">
        <v>31136</v>
      </c>
      <c r="H710" s="22">
        <f t="shared" ca="1" si="22"/>
        <v>41</v>
      </c>
      <c r="I710" s="19" t="s">
        <v>26</v>
      </c>
      <c r="J710" s="18" t="s">
        <v>27</v>
      </c>
      <c r="K710" s="18"/>
      <c r="L710" s="23" t="s">
        <v>1554</v>
      </c>
      <c r="M710" s="23" t="s">
        <v>703</v>
      </c>
      <c r="N710" s="23" t="s">
        <v>1499</v>
      </c>
      <c r="O710" s="18">
        <v>1</v>
      </c>
      <c r="P710" s="24"/>
      <c r="Q710" s="25">
        <v>45748</v>
      </c>
      <c r="R710" s="13">
        <v>0</v>
      </c>
      <c r="S710" s="26" t="str">
        <f>VLOOKUP(C710,'[1]Bazaar Salary'!$B$6:$J$1193,9,0)</f>
        <v>02980010103482510012</v>
      </c>
      <c r="T710" s="25" t="s">
        <v>32</v>
      </c>
      <c r="U710" s="25" t="s">
        <v>410</v>
      </c>
      <c r="V710" s="25" t="s">
        <v>1093</v>
      </c>
      <c r="W710" s="27" t="s">
        <v>2756</v>
      </c>
      <c r="X710" s="28" t="s">
        <v>2757</v>
      </c>
      <c r="Y710" s="28"/>
      <c r="Z710" s="29" t="s">
        <v>37</v>
      </c>
    </row>
    <row r="711" spans="1:26" ht="30" customHeight="1" thickBot="1" x14ac:dyDescent="0.25">
      <c r="A711" s="17">
        <f t="shared" si="23"/>
        <v>710</v>
      </c>
      <c r="B711" s="18" t="s">
        <v>25</v>
      </c>
      <c r="C711" s="19">
        <v>3640251132937</v>
      </c>
      <c r="D711" s="19">
        <v>1390</v>
      </c>
      <c r="E711" s="20">
        <v>42997</v>
      </c>
      <c r="F711" s="20">
        <v>46649</v>
      </c>
      <c r="G711" s="21">
        <v>31707</v>
      </c>
      <c r="H711" s="22">
        <f t="shared" ca="1" si="22"/>
        <v>39</v>
      </c>
      <c r="I711" s="19" t="s">
        <v>26</v>
      </c>
      <c r="J711" s="18" t="s">
        <v>27</v>
      </c>
      <c r="K711" s="18"/>
      <c r="L711" s="23" t="s">
        <v>2210</v>
      </c>
      <c r="M711" s="23" t="s">
        <v>2495</v>
      </c>
      <c r="N711" s="23" t="s">
        <v>1499</v>
      </c>
      <c r="O711" s="18">
        <v>1</v>
      </c>
      <c r="P711" s="24"/>
      <c r="Q711" s="25">
        <v>45748</v>
      </c>
      <c r="R711" s="13">
        <v>0</v>
      </c>
      <c r="S711" s="26" t="str">
        <f>VLOOKUP(C711,'[1]Bazaar Salary'!$B$6:$J$1193,9,0)</f>
        <v>05250010006093890010</v>
      </c>
      <c r="T711" s="25" t="s">
        <v>32</v>
      </c>
      <c r="U711" s="25" t="s">
        <v>410</v>
      </c>
      <c r="V711" s="25" t="s">
        <v>1093</v>
      </c>
      <c r="W711" s="27" t="s">
        <v>2758</v>
      </c>
      <c r="X711" s="28" t="s">
        <v>2759</v>
      </c>
      <c r="Y711" s="28"/>
      <c r="Z711" s="29" t="s">
        <v>37</v>
      </c>
    </row>
    <row r="712" spans="1:26" ht="30" customHeight="1" thickBot="1" x14ac:dyDescent="0.25">
      <c r="A712" s="17">
        <f t="shared" si="23"/>
        <v>711</v>
      </c>
      <c r="B712" s="18" t="s">
        <v>25</v>
      </c>
      <c r="C712" s="19">
        <v>3640135141799</v>
      </c>
      <c r="D712" s="19">
        <v>1798</v>
      </c>
      <c r="E712" s="20">
        <v>43298</v>
      </c>
      <c r="F712" s="20">
        <v>46951</v>
      </c>
      <c r="G712" s="21">
        <v>36170</v>
      </c>
      <c r="H712" s="22">
        <f t="shared" ca="1" si="22"/>
        <v>27</v>
      </c>
      <c r="I712" s="19" t="s">
        <v>26</v>
      </c>
      <c r="J712" s="18" t="s">
        <v>27</v>
      </c>
      <c r="K712" s="18"/>
      <c r="L712" s="23" t="s">
        <v>2760</v>
      </c>
      <c r="M712" s="23" t="s">
        <v>2761</v>
      </c>
      <c r="N712" s="23" t="s">
        <v>1499</v>
      </c>
      <c r="O712" s="18">
        <v>1</v>
      </c>
      <c r="P712" s="24"/>
      <c r="Q712" s="25">
        <v>45748</v>
      </c>
      <c r="R712" s="13">
        <v>0</v>
      </c>
      <c r="S712" s="26" t="str">
        <f>VLOOKUP(C712,'[1]Bazaar Salary'!$B$6:$J$1193,9,0)</f>
        <v>02980010140516990018</v>
      </c>
      <c r="T712" s="25" t="s">
        <v>32</v>
      </c>
      <c r="U712" s="25" t="s">
        <v>410</v>
      </c>
      <c r="V712" s="25" t="s">
        <v>1093</v>
      </c>
      <c r="W712" s="27" t="s">
        <v>738</v>
      </c>
      <c r="X712" s="28" t="s">
        <v>2762</v>
      </c>
      <c r="Y712" s="28"/>
      <c r="Z712" s="29" t="s">
        <v>37</v>
      </c>
    </row>
    <row r="713" spans="1:26" ht="30" customHeight="1" thickBot="1" x14ac:dyDescent="0.25">
      <c r="A713" s="17">
        <f t="shared" si="23"/>
        <v>712</v>
      </c>
      <c r="B713" s="18" t="s">
        <v>25</v>
      </c>
      <c r="C713" s="19">
        <v>3510266725973</v>
      </c>
      <c r="D713" s="19">
        <v>425</v>
      </c>
      <c r="E713" s="20">
        <v>44664</v>
      </c>
      <c r="F713" s="20">
        <v>48317</v>
      </c>
      <c r="G713" s="21">
        <v>34948</v>
      </c>
      <c r="H713" s="22">
        <f t="shared" ca="1" si="22"/>
        <v>30</v>
      </c>
      <c r="I713" s="19" t="s">
        <v>26</v>
      </c>
      <c r="J713" s="18" t="s">
        <v>27</v>
      </c>
      <c r="K713" s="18"/>
      <c r="L713" s="23" t="s">
        <v>2763</v>
      </c>
      <c r="M713" s="23" t="s">
        <v>578</v>
      </c>
      <c r="N713" s="23" t="s">
        <v>1499</v>
      </c>
      <c r="O713" s="18">
        <v>1</v>
      </c>
      <c r="P713" s="24"/>
      <c r="Q713" s="25">
        <v>43115</v>
      </c>
      <c r="R713" s="13">
        <v>0</v>
      </c>
      <c r="S713" s="26" t="str">
        <f>VLOOKUP(C713,'[1]Bazaar Salary'!$B$6:$J$1193,9,0)</f>
        <v>52060020049469940012</v>
      </c>
      <c r="T713" s="25" t="s">
        <v>32</v>
      </c>
      <c r="U713" s="25" t="s">
        <v>1166</v>
      </c>
      <c r="V713" s="25" t="s">
        <v>1093</v>
      </c>
      <c r="W713" s="27" t="s">
        <v>2764</v>
      </c>
      <c r="X713" s="28" t="s">
        <v>2765</v>
      </c>
      <c r="Y713" s="28"/>
      <c r="Z713" s="29" t="s">
        <v>37</v>
      </c>
    </row>
    <row r="714" spans="1:26" ht="30" customHeight="1" thickBot="1" x14ac:dyDescent="0.25">
      <c r="A714" s="17">
        <f t="shared" si="23"/>
        <v>713</v>
      </c>
      <c r="B714" s="18" t="s">
        <v>25</v>
      </c>
      <c r="C714" s="19">
        <v>3520247421985</v>
      </c>
      <c r="D714" s="19">
        <v>378</v>
      </c>
      <c r="E714" s="20">
        <v>42705</v>
      </c>
      <c r="F714" s="20">
        <v>46357</v>
      </c>
      <c r="G714" s="21">
        <v>27760</v>
      </c>
      <c r="H714" s="22">
        <f t="shared" ca="1" si="22"/>
        <v>50</v>
      </c>
      <c r="I714" s="19" t="s">
        <v>26</v>
      </c>
      <c r="J714" s="18" t="s">
        <v>27</v>
      </c>
      <c r="K714" s="18"/>
      <c r="L714" s="23" t="s">
        <v>1709</v>
      </c>
      <c r="M714" s="23" t="s">
        <v>711</v>
      </c>
      <c r="N714" s="23" t="s">
        <v>1551</v>
      </c>
      <c r="O714" s="18">
        <v>1</v>
      </c>
      <c r="P714" s="24"/>
      <c r="Q714" s="25">
        <v>41641</v>
      </c>
      <c r="R714" s="13">
        <v>0</v>
      </c>
      <c r="S714" s="26" t="str">
        <f>VLOOKUP(C714,'[1]Bazaar Salary'!$B$6:$J$1193,9,0)</f>
        <v>03910010045877050011</v>
      </c>
      <c r="T714" s="25" t="s">
        <v>32</v>
      </c>
      <c r="U714" s="25" t="s">
        <v>415</v>
      </c>
      <c r="V714" s="25" t="s">
        <v>1535</v>
      </c>
      <c r="W714" s="27" t="s">
        <v>2766</v>
      </c>
      <c r="X714" s="28" t="s">
        <v>2767</v>
      </c>
      <c r="Y714" s="28"/>
      <c r="Z714" s="29" t="s">
        <v>37</v>
      </c>
    </row>
    <row r="715" spans="1:26" ht="30" customHeight="1" thickBot="1" x14ac:dyDescent="0.25">
      <c r="A715" s="17">
        <f t="shared" si="23"/>
        <v>714</v>
      </c>
      <c r="B715" s="18" t="s">
        <v>25</v>
      </c>
      <c r="C715" s="19">
        <v>3520287811337</v>
      </c>
      <c r="D715" s="19">
        <v>1834</v>
      </c>
      <c r="E715" s="20">
        <v>41402</v>
      </c>
      <c r="F715" s="20">
        <v>45054</v>
      </c>
      <c r="G715" s="21">
        <v>29963</v>
      </c>
      <c r="H715" s="22">
        <f t="shared" ca="1" si="22"/>
        <v>44</v>
      </c>
      <c r="I715" s="19" t="s">
        <v>26</v>
      </c>
      <c r="J715" s="18" t="s">
        <v>27</v>
      </c>
      <c r="K715" s="18"/>
      <c r="L715" s="23" t="s">
        <v>1620</v>
      </c>
      <c r="M715" s="23" t="s">
        <v>1133</v>
      </c>
      <c r="N715" s="23" t="s">
        <v>1551</v>
      </c>
      <c r="O715" s="18">
        <v>1</v>
      </c>
      <c r="P715" s="24"/>
      <c r="Q715" s="25">
        <v>45748</v>
      </c>
      <c r="R715" s="13">
        <v>0</v>
      </c>
      <c r="S715" s="26" t="str">
        <f>VLOOKUP(C715,'[1]Bazaar Salary'!$B$6:$J$1193,9,0)</f>
        <v>03910010142697480012</v>
      </c>
      <c r="T715" s="25" t="s">
        <v>32</v>
      </c>
      <c r="U715" s="25" t="s">
        <v>415</v>
      </c>
      <c r="V715" s="25" t="s">
        <v>1093</v>
      </c>
      <c r="W715" s="27" t="s">
        <v>2768</v>
      </c>
      <c r="X715" s="28" t="s">
        <v>2769</v>
      </c>
      <c r="Y715" s="28"/>
      <c r="Z715" s="29" t="s">
        <v>37</v>
      </c>
    </row>
    <row r="716" spans="1:26" ht="30" customHeight="1" thickBot="1" x14ac:dyDescent="0.25">
      <c r="A716" s="17">
        <f t="shared" si="23"/>
        <v>715</v>
      </c>
      <c r="B716" s="18" t="s">
        <v>25</v>
      </c>
      <c r="C716" s="19">
        <v>3510238717687</v>
      </c>
      <c r="D716" s="19">
        <v>1701</v>
      </c>
      <c r="E716" s="20">
        <v>45519</v>
      </c>
      <c r="F716" s="20">
        <v>49171</v>
      </c>
      <c r="G716" s="21">
        <v>36520</v>
      </c>
      <c r="H716" s="22">
        <f t="shared" ca="1" si="22"/>
        <v>26</v>
      </c>
      <c r="I716" s="19" t="s">
        <v>26</v>
      </c>
      <c r="J716" s="18" t="s">
        <v>27</v>
      </c>
      <c r="K716" s="18"/>
      <c r="L716" s="23" t="s">
        <v>413</v>
      </c>
      <c r="M716" s="23" t="s">
        <v>711</v>
      </c>
      <c r="N716" s="23" t="s">
        <v>1488</v>
      </c>
      <c r="O716" s="18">
        <v>1</v>
      </c>
      <c r="P716" s="24"/>
      <c r="Q716" s="25">
        <v>45748</v>
      </c>
      <c r="R716" s="13">
        <v>0</v>
      </c>
      <c r="S716" s="26" t="str">
        <f>VLOOKUP(C716,'[1]Bazaar Salary'!$B$6:$J$1193,9,0)</f>
        <v>03910010136158160017</v>
      </c>
      <c r="T716" s="25" t="s">
        <v>32</v>
      </c>
      <c r="U716" s="25" t="s">
        <v>415</v>
      </c>
      <c r="V716" s="25" t="s">
        <v>1093</v>
      </c>
      <c r="W716" s="27" t="s">
        <v>2770</v>
      </c>
      <c r="X716" s="28" t="s">
        <v>1843</v>
      </c>
      <c r="Y716" s="28"/>
      <c r="Z716" s="29" t="s">
        <v>37</v>
      </c>
    </row>
    <row r="717" spans="1:26" ht="30" customHeight="1" thickBot="1" x14ac:dyDescent="0.25">
      <c r="A717" s="17">
        <f t="shared" si="23"/>
        <v>716</v>
      </c>
      <c r="B717" s="18" t="s">
        <v>25</v>
      </c>
      <c r="C717" s="19">
        <v>3510250046373</v>
      </c>
      <c r="D717" s="19">
        <v>538</v>
      </c>
      <c r="E717" s="20">
        <v>41920</v>
      </c>
      <c r="F717" s="20" t="s">
        <v>1734</v>
      </c>
      <c r="G717" s="21">
        <v>30504</v>
      </c>
      <c r="H717" s="22">
        <f t="shared" ca="1" si="22"/>
        <v>42</v>
      </c>
      <c r="I717" s="18" t="s">
        <v>912</v>
      </c>
      <c r="J717" s="18" t="s">
        <v>27</v>
      </c>
      <c r="K717" s="18"/>
      <c r="L717" s="23" t="s">
        <v>2028</v>
      </c>
      <c r="M717" s="23" t="s">
        <v>1949</v>
      </c>
      <c r="N717" s="23" t="s">
        <v>1488</v>
      </c>
      <c r="O717" s="18">
        <v>1</v>
      </c>
      <c r="P717" s="24"/>
      <c r="Q717" s="25">
        <v>41834</v>
      </c>
      <c r="R717" s="13">
        <v>0</v>
      </c>
      <c r="S717" s="26" t="str">
        <f>VLOOKUP(C717,'[1]Bazaar Salary'!$B$6:$J$1193,9,0)</f>
        <v>03910010045925900010</v>
      </c>
      <c r="T717" s="25" t="s">
        <v>32</v>
      </c>
      <c r="U717" s="25" t="s">
        <v>415</v>
      </c>
      <c r="V717" s="25" t="s">
        <v>1093</v>
      </c>
      <c r="W717" s="27" t="s">
        <v>2771</v>
      </c>
      <c r="X717" s="28" t="s">
        <v>2772</v>
      </c>
      <c r="Y717" s="28"/>
      <c r="Z717" s="29" t="s">
        <v>37</v>
      </c>
    </row>
    <row r="718" spans="1:26" ht="30" customHeight="1" thickBot="1" x14ac:dyDescent="0.25">
      <c r="A718" s="17">
        <f t="shared" si="23"/>
        <v>717</v>
      </c>
      <c r="B718" s="18" t="s">
        <v>25</v>
      </c>
      <c r="C718" s="19">
        <v>3520252489613</v>
      </c>
      <c r="D718" s="19">
        <v>1700</v>
      </c>
      <c r="E718" s="20">
        <v>43675</v>
      </c>
      <c r="F718" s="20">
        <v>47328</v>
      </c>
      <c r="G718" s="21">
        <v>36955</v>
      </c>
      <c r="H718" s="22">
        <f t="shared" ca="1" si="22"/>
        <v>25</v>
      </c>
      <c r="I718" s="19" t="s">
        <v>912</v>
      </c>
      <c r="J718" s="18" t="s">
        <v>27</v>
      </c>
      <c r="K718" s="18"/>
      <c r="L718" s="23" t="s">
        <v>2028</v>
      </c>
      <c r="M718" s="23" t="s">
        <v>2285</v>
      </c>
      <c r="N718" s="23" t="s">
        <v>1488</v>
      </c>
      <c r="O718" s="18">
        <v>1</v>
      </c>
      <c r="P718" s="24"/>
      <c r="Q718" s="25">
        <v>45748</v>
      </c>
      <c r="R718" s="13">
        <v>0</v>
      </c>
      <c r="S718" s="26" t="str">
        <f>VLOOKUP(C718,'[1]Bazaar Salary'!$B$6:$J$1193,9,0)</f>
        <v>03910010136159160011</v>
      </c>
      <c r="T718" s="25" t="s">
        <v>32</v>
      </c>
      <c r="U718" s="25" t="s">
        <v>415</v>
      </c>
      <c r="V718" s="25" t="s">
        <v>1093</v>
      </c>
      <c r="W718" s="27" t="s">
        <v>2773</v>
      </c>
      <c r="X718" s="28" t="s">
        <v>2774</v>
      </c>
      <c r="Y718" s="28"/>
      <c r="Z718" s="29" t="s">
        <v>37</v>
      </c>
    </row>
    <row r="719" spans="1:26" ht="30" customHeight="1" thickBot="1" x14ac:dyDescent="0.25">
      <c r="A719" s="17">
        <f t="shared" si="23"/>
        <v>718</v>
      </c>
      <c r="B719" s="18" t="s">
        <v>25</v>
      </c>
      <c r="C719" s="19">
        <v>3510406300276</v>
      </c>
      <c r="D719" s="19">
        <v>543</v>
      </c>
      <c r="E719" s="20">
        <v>44480</v>
      </c>
      <c r="F719" s="20">
        <v>48132</v>
      </c>
      <c r="G719" s="21">
        <v>28491</v>
      </c>
      <c r="H719" s="22">
        <f t="shared" ca="1" si="22"/>
        <v>48</v>
      </c>
      <c r="I719" s="18" t="s">
        <v>912</v>
      </c>
      <c r="J719" s="18" t="s">
        <v>66</v>
      </c>
      <c r="K719" s="18"/>
      <c r="L719" s="23" t="s">
        <v>2775</v>
      </c>
      <c r="M719" s="23" t="s">
        <v>2776</v>
      </c>
      <c r="N719" s="23" t="s">
        <v>1488</v>
      </c>
      <c r="O719" s="18">
        <v>1</v>
      </c>
      <c r="P719" s="24"/>
      <c r="Q719" s="25">
        <v>42466</v>
      </c>
      <c r="R719" s="13">
        <v>0</v>
      </c>
      <c r="S719" s="26" t="str">
        <f>VLOOKUP(C719,'[1]Bazaar Salary'!$B$6:$J$1193,9,0)</f>
        <v>03910010045916310010</v>
      </c>
      <c r="T719" s="25" t="s">
        <v>32</v>
      </c>
      <c r="U719" s="25" t="s">
        <v>415</v>
      </c>
      <c r="V719" s="25" t="s">
        <v>1093</v>
      </c>
      <c r="W719" s="27" t="s">
        <v>2777</v>
      </c>
      <c r="X719" s="28" t="s">
        <v>2778</v>
      </c>
      <c r="Y719" s="28"/>
      <c r="Z719" s="29" t="s">
        <v>37</v>
      </c>
    </row>
    <row r="720" spans="1:26" ht="30" customHeight="1" thickBot="1" x14ac:dyDescent="0.25">
      <c r="A720" s="17">
        <f t="shared" si="23"/>
        <v>719</v>
      </c>
      <c r="B720" s="18" t="s">
        <v>25</v>
      </c>
      <c r="C720" s="19">
        <v>3520289693277</v>
      </c>
      <c r="D720" s="19">
        <v>1518</v>
      </c>
      <c r="E720" s="20">
        <v>44405</v>
      </c>
      <c r="F720" s="20">
        <v>48057</v>
      </c>
      <c r="G720" s="21">
        <v>34707</v>
      </c>
      <c r="H720" s="22">
        <f t="shared" ca="1" si="22"/>
        <v>31</v>
      </c>
      <c r="I720" s="18" t="s">
        <v>912</v>
      </c>
      <c r="J720" s="18" t="s">
        <v>27</v>
      </c>
      <c r="K720" s="18"/>
      <c r="L720" s="23" t="s">
        <v>2779</v>
      </c>
      <c r="M720" s="23" t="s">
        <v>1565</v>
      </c>
      <c r="N720" s="23" t="s">
        <v>1488</v>
      </c>
      <c r="O720" s="18">
        <v>1</v>
      </c>
      <c r="P720" s="24"/>
      <c r="Q720" s="25">
        <v>45748</v>
      </c>
      <c r="R720" s="13">
        <v>0</v>
      </c>
      <c r="S720" s="26" t="str">
        <f>VLOOKUP(C720,'[1]Bazaar Salary'!$B$6:$J$1193,9,0)</f>
        <v>03910010102902470015</v>
      </c>
      <c r="T720" s="25" t="s">
        <v>32</v>
      </c>
      <c r="U720" s="25" t="s">
        <v>415</v>
      </c>
      <c r="V720" s="25" t="s">
        <v>1093</v>
      </c>
      <c r="W720" s="27" t="s">
        <v>2780</v>
      </c>
      <c r="X720" s="28" t="s">
        <v>2781</v>
      </c>
      <c r="Y720" s="28"/>
      <c r="Z720" s="29" t="s">
        <v>37</v>
      </c>
    </row>
    <row r="721" spans="1:26" ht="30" customHeight="1" thickBot="1" x14ac:dyDescent="0.25">
      <c r="A721" s="17">
        <f t="shared" si="23"/>
        <v>720</v>
      </c>
      <c r="B721" s="18" t="s">
        <v>25</v>
      </c>
      <c r="C721" s="19">
        <v>3520257275707</v>
      </c>
      <c r="D721" s="19">
        <v>1237</v>
      </c>
      <c r="E721" s="20">
        <v>42712</v>
      </c>
      <c r="F721" s="20">
        <v>46364</v>
      </c>
      <c r="G721" s="21">
        <v>35231</v>
      </c>
      <c r="H721" s="22">
        <f t="shared" ca="1" si="22"/>
        <v>30</v>
      </c>
      <c r="I721" s="18" t="s">
        <v>912</v>
      </c>
      <c r="J721" s="18" t="s">
        <v>27</v>
      </c>
      <c r="K721" s="18"/>
      <c r="L721" s="23" t="s">
        <v>2782</v>
      </c>
      <c r="M721" s="23" t="s">
        <v>2783</v>
      </c>
      <c r="N721" s="23" t="s">
        <v>1488</v>
      </c>
      <c r="O721" s="18">
        <v>1</v>
      </c>
      <c r="P721" s="24"/>
      <c r="Q721" s="25">
        <v>44317</v>
      </c>
      <c r="R721" s="13">
        <v>0</v>
      </c>
      <c r="S721" s="26" t="str">
        <f>VLOOKUP(C721,'[1]Bazaar Salary'!$B$6:$J$1193,9,0)</f>
        <v>03910010080283900014</v>
      </c>
      <c r="T721" s="25" t="s">
        <v>32</v>
      </c>
      <c r="U721" s="25" t="s">
        <v>415</v>
      </c>
      <c r="V721" s="25" t="s">
        <v>1093</v>
      </c>
      <c r="W721" s="27" t="s">
        <v>2784</v>
      </c>
      <c r="X721" s="28" t="s">
        <v>2785</v>
      </c>
      <c r="Y721" s="28"/>
      <c r="Z721" s="29" t="s">
        <v>37</v>
      </c>
    </row>
    <row r="722" spans="1:26" ht="30" customHeight="1" thickBot="1" x14ac:dyDescent="0.25">
      <c r="A722" s="17">
        <f t="shared" si="23"/>
        <v>721</v>
      </c>
      <c r="B722" s="18" t="s">
        <v>25</v>
      </c>
      <c r="C722" s="19">
        <v>3520224919761</v>
      </c>
      <c r="D722" s="19">
        <v>1236</v>
      </c>
      <c r="E722" s="20">
        <v>43557</v>
      </c>
      <c r="F722" s="20">
        <v>47210</v>
      </c>
      <c r="G722" s="21">
        <v>28126</v>
      </c>
      <c r="H722" s="22">
        <f t="shared" ca="1" si="22"/>
        <v>49</v>
      </c>
      <c r="I722" s="18" t="s">
        <v>912</v>
      </c>
      <c r="J722" s="18" t="s">
        <v>27</v>
      </c>
      <c r="K722" s="18"/>
      <c r="L722" s="23" t="s">
        <v>2786</v>
      </c>
      <c r="M722" s="23" t="s">
        <v>2787</v>
      </c>
      <c r="N722" s="23" t="s">
        <v>1488</v>
      </c>
      <c r="O722" s="18">
        <v>1</v>
      </c>
      <c r="P722" s="24"/>
      <c r="Q722" s="25">
        <v>44317</v>
      </c>
      <c r="R722" s="13">
        <v>0</v>
      </c>
      <c r="S722" s="26" t="str">
        <f>VLOOKUP(C722,'[1]Bazaar Salary'!$B$6:$J$1193,9,0)</f>
        <v>03910010080234310010</v>
      </c>
      <c r="T722" s="25" t="s">
        <v>32</v>
      </c>
      <c r="U722" s="25" t="s">
        <v>415</v>
      </c>
      <c r="V722" s="25" t="s">
        <v>1093</v>
      </c>
      <c r="W722" s="27" t="s">
        <v>2788</v>
      </c>
      <c r="X722" s="28" t="s">
        <v>2789</v>
      </c>
      <c r="Y722" s="28"/>
      <c r="Z722" s="29" t="s">
        <v>37</v>
      </c>
    </row>
    <row r="723" spans="1:26" ht="30" customHeight="1" thickBot="1" x14ac:dyDescent="0.25">
      <c r="A723" s="17">
        <f t="shared" si="23"/>
        <v>722</v>
      </c>
      <c r="B723" s="18" t="s">
        <v>25</v>
      </c>
      <c r="C723" s="19">
        <v>3520291802733</v>
      </c>
      <c r="D723" s="19">
        <v>541</v>
      </c>
      <c r="E723" s="20">
        <v>44333</v>
      </c>
      <c r="F723" s="20">
        <v>47985</v>
      </c>
      <c r="G723" s="21">
        <v>29587</v>
      </c>
      <c r="H723" s="22">
        <f t="shared" ca="1" si="22"/>
        <v>45</v>
      </c>
      <c r="I723" s="18" t="s">
        <v>912</v>
      </c>
      <c r="J723" s="18" t="s">
        <v>27</v>
      </c>
      <c r="K723" s="18"/>
      <c r="L723" s="23" t="s">
        <v>2790</v>
      </c>
      <c r="M723" s="23" t="s">
        <v>2791</v>
      </c>
      <c r="N723" s="23" t="s">
        <v>1488</v>
      </c>
      <c r="O723" s="18">
        <v>1</v>
      </c>
      <c r="P723" s="24"/>
      <c r="Q723" s="25">
        <v>42180</v>
      </c>
      <c r="R723" s="13">
        <v>0</v>
      </c>
      <c r="S723" s="26" t="str">
        <f>VLOOKUP(C723,'[1]Bazaar Salary'!$B$6:$J$1193,9,0)</f>
        <v>03910010045901540011</v>
      </c>
      <c r="T723" s="25" t="s">
        <v>32</v>
      </c>
      <c r="U723" s="25" t="s">
        <v>415</v>
      </c>
      <c r="V723" s="25" t="s">
        <v>1093</v>
      </c>
      <c r="W723" s="27" t="s">
        <v>2792</v>
      </c>
      <c r="X723" s="28" t="s">
        <v>2793</v>
      </c>
      <c r="Y723" s="28"/>
      <c r="Z723" s="29" t="s">
        <v>37</v>
      </c>
    </row>
    <row r="724" spans="1:26" ht="30" customHeight="1" thickBot="1" x14ac:dyDescent="0.25">
      <c r="A724" s="17">
        <f t="shared" si="23"/>
        <v>723</v>
      </c>
      <c r="B724" s="18" t="s">
        <v>25</v>
      </c>
      <c r="C724" s="19">
        <v>3520234781621</v>
      </c>
      <c r="D724" s="19">
        <v>1577</v>
      </c>
      <c r="E724" s="20">
        <v>44661</v>
      </c>
      <c r="F724" s="20">
        <v>48314</v>
      </c>
      <c r="G724" s="21">
        <v>38291</v>
      </c>
      <c r="H724" s="22">
        <f t="shared" ca="1" si="22"/>
        <v>21</v>
      </c>
      <c r="I724" s="19" t="s">
        <v>26</v>
      </c>
      <c r="J724" s="18" t="s">
        <v>27</v>
      </c>
      <c r="K724" s="18"/>
      <c r="L724" s="23" t="s">
        <v>994</v>
      </c>
      <c r="M724" s="23" t="s">
        <v>2794</v>
      </c>
      <c r="N724" s="23" t="s">
        <v>1499</v>
      </c>
      <c r="O724" s="18">
        <v>1</v>
      </c>
      <c r="P724" s="24"/>
      <c r="Q724" s="25">
        <v>45748</v>
      </c>
      <c r="R724" s="13">
        <v>0</v>
      </c>
      <c r="S724" s="26" t="str">
        <f>VLOOKUP(C724,'[1]Bazaar Salary'!$B$6:$J$1193,9,0)</f>
        <v>03910010125110730018</v>
      </c>
      <c r="T724" s="25" t="s">
        <v>32</v>
      </c>
      <c r="U724" s="25" t="s">
        <v>415</v>
      </c>
      <c r="V724" s="25" t="s">
        <v>1093</v>
      </c>
      <c r="W724" s="27" t="s">
        <v>2795</v>
      </c>
      <c r="X724" s="28" t="s">
        <v>2796</v>
      </c>
      <c r="Y724" s="28"/>
      <c r="Z724" s="29" t="s">
        <v>37</v>
      </c>
    </row>
    <row r="725" spans="1:26" ht="30" customHeight="1" thickBot="1" x14ac:dyDescent="0.25">
      <c r="A725" s="17">
        <f t="shared" si="23"/>
        <v>724</v>
      </c>
      <c r="B725" s="18" t="s">
        <v>25</v>
      </c>
      <c r="C725" s="19">
        <v>3520240866761</v>
      </c>
      <c r="D725" s="19"/>
      <c r="E725" s="20">
        <v>44088</v>
      </c>
      <c r="F725" s="20">
        <v>47740</v>
      </c>
      <c r="G725" s="21">
        <v>29086</v>
      </c>
      <c r="H725" s="22">
        <f t="shared" ca="1" si="22"/>
        <v>46</v>
      </c>
      <c r="I725" s="19" t="s">
        <v>26</v>
      </c>
      <c r="J725" s="18" t="s">
        <v>27</v>
      </c>
      <c r="K725" s="18"/>
      <c r="L725" s="23" t="s">
        <v>2797</v>
      </c>
      <c r="M725" s="23" t="s">
        <v>2798</v>
      </c>
      <c r="N725" s="23" t="s">
        <v>1499</v>
      </c>
      <c r="O725" s="18">
        <v>1</v>
      </c>
      <c r="P725" s="24"/>
      <c r="Q725" s="25">
        <v>45748</v>
      </c>
      <c r="R725" s="13">
        <v>0</v>
      </c>
      <c r="S725" s="26" t="str">
        <f>VLOOKUP(C725,'[1]Bazaar Salary'!$B$6:$J$1193,9,0)</f>
        <v>03910010141726930015</v>
      </c>
      <c r="T725" s="25" t="s">
        <v>32</v>
      </c>
      <c r="U725" s="25" t="s">
        <v>415</v>
      </c>
      <c r="V725" s="25" t="s">
        <v>1093</v>
      </c>
      <c r="W725" s="27" t="s">
        <v>2799</v>
      </c>
      <c r="X725" s="28" t="s">
        <v>2800</v>
      </c>
      <c r="Y725" s="28"/>
      <c r="Z725" s="29" t="s">
        <v>37</v>
      </c>
    </row>
    <row r="726" spans="1:26" ht="30" customHeight="1" thickBot="1" x14ac:dyDescent="0.25">
      <c r="A726" s="17">
        <f t="shared" si="23"/>
        <v>725</v>
      </c>
      <c r="B726" s="18" t="s">
        <v>25</v>
      </c>
      <c r="C726" s="19">
        <v>3510205829443</v>
      </c>
      <c r="D726" s="19">
        <v>376</v>
      </c>
      <c r="E726" s="20">
        <v>44428</v>
      </c>
      <c r="F726" s="20">
        <v>48080</v>
      </c>
      <c r="G726" s="21">
        <v>25640</v>
      </c>
      <c r="H726" s="22">
        <f t="shared" ca="1" si="22"/>
        <v>56</v>
      </c>
      <c r="I726" s="19" t="s">
        <v>26</v>
      </c>
      <c r="J726" s="18" t="s">
        <v>27</v>
      </c>
      <c r="K726" s="18"/>
      <c r="L726" s="23" t="s">
        <v>2801</v>
      </c>
      <c r="M726" s="23" t="s">
        <v>2802</v>
      </c>
      <c r="N726" s="23" t="s">
        <v>1499</v>
      </c>
      <c r="O726" s="18">
        <v>1</v>
      </c>
      <c r="P726" s="24"/>
      <c r="Q726" s="25">
        <v>41623</v>
      </c>
      <c r="R726" s="13">
        <v>0</v>
      </c>
      <c r="S726" s="26" t="str">
        <f>VLOOKUP(C726,'[1]Bazaar Salary'!$B$6:$J$1193,9,0)</f>
        <v>03910010045865720016</v>
      </c>
      <c r="T726" s="25" t="s">
        <v>32</v>
      </c>
      <c r="U726" s="25" t="s">
        <v>415</v>
      </c>
      <c r="V726" s="25" t="s">
        <v>884</v>
      </c>
      <c r="W726" s="27" t="s">
        <v>2803</v>
      </c>
      <c r="X726" s="28" t="s">
        <v>2804</v>
      </c>
      <c r="Y726" s="28"/>
      <c r="Z726" s="29" t="s">
        <v>37</v>
      </c>
    </row>
    <row r="727" spans="1:26" ht="30" customHeight="1" thickBot="1" x14ac:dyDescent="0.25">
      <c r="A727" s="17">
        <f t="shared" si="23"/>
        <v>726</v>
      </c>
      <c r="B727" s="18" t="s">
        <v>25</v>
      </c>
      <c r="C727" s="19">
        <v>3510258428729</v>
      </c>
      <c r="D727" s="19">
        <v>373</v>
      </c>
      <c r="E727" s="20">
        <v>43704</v>
      </c>
      <c r="F727" s="20">
        <v>47357</v>
      </c>
      <c r="G727" s="21">
        <v>32143</v>
      </c>
      <c r="H727" s="22">
        <f t="shared" ca="1" si="22"/>
        <v>38</v>
      </c>
      <c r="I727" s="19" t="s">
        <v>26</v>
      </c>
      <c r="J727" s="18" t="s">
        <v>27</v>
      </c>
      <c r="K727" s="18"/>
      <c r="L727" s="23" t="s">
        <v>2805</v>
      </c>
      <c r="M727" s="23" t="s">
        <v>894</v>
      </c>
      <c r="N727" s="23" t="s">
        <v>1499</v>
      </c>
      <c r="O727" s="18">
        <v>1</v>
      </c>
      <c r="P727" s="24"/>
      <c r="Q727" s="25">
        <v>41623</v>
      </c>
      <c r="R727" s="13">
        <v>0</v>
      </c>
      <c r="S727" s="26" t="str">
        <f>VLOOKUP(C727,'[1]Bazaar Salary'!$B$6:$J$1193,9,0)</f>
        <v>03910010045915730014</v>
      </c>
      <c r="T727" s="25" t="s">
        <v>32</v>
      </c>
      <c r="U727" s="25" t="s">
        <v>415</v>
      </c>
      <c r="V727" s="25" t="s">
        <v>1535</v>
      </c>
      <c r="W727" s="27" t="s">
        <v>2803</v>
      </c>
      <c r="X727" s="28" t="s">
        <v>2806</v>
      </c>
      <c r="Y727" s="28"/>
      <c r="Z727" s="29" t="s">
        <v>37</v>
      </c>
    </row>
    <row r="728" spans="1:26" ht="30" customHeight="1" thickBot="1" x14ac:dyDescent="0.25">
      <c r="A728" s="17">
        <f t="shared" si="23"/>
        <v>727</v>
      </c>
      <c r="B728" s="18" t="s">
        <v>25</v>
      </c>
      <c r="C728" s="19">
        <v>3520278212295</v>
      </c>
      <c r="D728" s="19">
        <v>372</v>
      </c>
      <c r="E728" s="20">
        <v>44572</v>
      </c>
      <c r="F728" s="20">
        <v>48224</v>
      </c>
      <c r="G728" s="21">
        <v>25004</v>
      </c>
      <c r="H728" s="22">
        <f t="shared" ca="1" si="22"/>
        <v>58</v>
      </c>
      <c r="I728" s="19" t="s">
        <v>26</v>
      </c>
      <c r="J728" s="18" t="s">
        <v>27</v>
      </c>
      <c r="K728" s="18"/>
      <c r="L728" s="23" t="s">
        <v>199</v>
      </c>
      <c r="M728" s="23" t="s">
        <v>2807</v>
      </c>
      <c r="N728" s="23" t="s">
        <v>1499</v>
      </c>
      <c r="O728" s="18">
        <v>1</v>
      </c>
      <c r="P728" s="24"/>
      <c r="Q728" s="25">
        <v>41623</v>
      </c>
      <c r="R728" s="13">
        <v>0</v>
      </c>
      <c r="S728" s="26" t="str">
        <f>VLOOKUP(C728,'[1]Bazaar Salary'!$B$6:$J$1193,9,0)</f>
        <v>03910010045898590012</v>
      </c>
      <c r="T728" s="25" t="s">
        <v>32</v>
      </c>
      <c r="U728" s="25" t="s">
        <v>415</v>
      </c>
      <c r="V728" s="25" t="s">
        <v>1535</v>
      </c>
      <c r="W728" s="27" t="s">
        <v>2808</v>
      </c>
      <c r="X728" s="28" t="s">
        <v>2809</v>
      </c>
      <c r="Y728" s="28"/>
      <c r="Z728" s="29" t="s">
        <v>37</v>
      </c>
    </row>
    <row r="729" spans="1:26" ht="30" customHeight="1" thickBot="1" x14ac:dyDescent="0.25">
      <c r="A729" s="17">
        <f t="shared" si="23"/>
        <v>728</v>
      </c>
      <c r="B729" s="18" t="s">
        <v>25</v>
      </c>
      <c r="C729" s="19">
        <v>3520266452109</v>
      </c>
      <c r="D729" s="19">
        <v>341</v>
      </c>
      <c r="E729" s="20">
        <v>42180</v>
      </c>
      <c r="F729" s="20">
        <v>45833</v>
      </c>
      <c r="G729" s="21">
        <v>27030</v>
      </c>
      <c r="H729" s="22">
        <f t="shared" ca="1" si="22"/>
        <v>52</v>
      </c>
      <c r="I729" s="19" t="s">
        <v>26</v>
      </c>
      <c r="J729" s="18" t="s">
        <v>27</v>
      </c>
      <c r="K729" s="18"/>
      <c r="L729" s="23" t="s">
        <v>711</v>
      </c>
      <c r="M729" s="23" t="s">
        <v>2810</v>
      </c>
      <c r="N729" s="23" t="s">
        <v>1499</v>
      </c>
      <c r="O729" s="18">
        <v>1</v>
      </c>
      <c r="P729" s="24"/>
      <c r="Q729" s="25">
        <v>42767</v>
      </c>
      <c r="R729" s="13">
        <v>0</v>
      </c>
      <c r="S729" s="26" t="str">
        <f>VLOOKUP(C729,'[1]Bazaar Salary'!$B$6:$J$1193,9,0)</f>
        <v>03910010045916600019</v>
      </c>
      <c r="T729" s="25" t="s">
        <v>32</v>
      </c>
      <c r="U729" s="25" t="s">
        <v>415</v>
      </c>
      <c r="V729" s="25" t="s">
        <v>1535</v>
      </c>
      <c r="W729" s="27" t="s">
        <v>2811</v>
      </c>
      <c r="X729" s="28" t="s">
        <v>2812</v>
      </c>
      <c r="Y729" s="28"/>
      <c r="Z729" s="29" t="s">
        <v>37</v>
      </c>
    </row>
    <row r="730" spans="1:26" ht="30" customHeight="1" thickBot="1" x14ac:dyDescent="0.25">
      <c r="A730" s="17">
        <f t="shared" si="23"/>
        <v>729</v>
      </c>
      <c r="B730" s="18" t="s">
        <v>25</v>
      </c>
      <c r="C730" s="19">
        <v>3520276236667</v>
      </c>
      <c r="D730" s="19" t="s">
        <v>542</v>
      </c>
      <c r="E730" s="21">
        <v>44473</v>
      </c>
      <c r="F730" s="21">
        <v>48125</v>
      </c>
      <c r="G730" s="21">
        <v>27498</v>
      </c>
      <c r="H730" s="22">
        <f t="shared" ca="1" si="22"/>
        <v>51</v>
      </c>
      <c r="I730" s="18" t="s">
        <v>26</v>
      </c>
      <c r="J730" s="18" t="s">
        <v>27</v>
      </c>
      <c r="K730" s="23"/>
      <c r="L730" s="24" t="s">
        <v>2813</v>
      </c>
      <c r="M730" s="33" t="s">
        <v>2814</v>
      </c>
      <c r="N730" s="23" t="s">
        <v>1499</v>
      </c>
      <c r="O730" s="18">
        <v>1</v>
      </c>
      <c r="P730" s="24"/>
      <c r="Q730" s="25">
        <v>45748</v>
      </c>
      <c r="R730" s="13">
        <v>0</v>
      </c>
      <c r="S730" s="26" t="str">
        <f>VLOOKUP(C730,'[1]Bazaar Salary'!$B$6:$J$1193,9,0)</f>
        <v>03910010134361510011</v>
      </c>
      <c r="T730" s="25" t="s">
        <v>32</v>
      </c>
      <c r="U730" s="25" t="s">
        <v>415</v>
      </c>
      <c r="V730" s="25" t="s">
        <v>1093</v>
      </c>
      <c r="W730" s="33" t="s">
        <v>2815</v>
      </c>
      <c r="X730" s="28" t="s">
        <v>2816</v>
      </c>
      <c r="Y730" s="28"/>
      <c r="Z730" s="29" t="s">
        <v>37</v>
      </c>
    </row>
    <row r="731" spans="1:26" ht="30" customHeight="1" thickBot="1" x14ac:dyDescent="0.25">
      <c r="A731" s="17">
        <f t="shared" si="23"/>
        <v>730</v>
      </c>
      <c r="B731" s="18" t="s">
        <v>25</v>
      </c>
      <c r="C731" s="19">
        <v>3520206732087</v>
      </c>
      <c r="D731" s="19">
        <v>375</v>
      </c>
      <c r="E731" s="20">
        <v>42178</v>
      </c>
      <c r="F731" s="20">
        <v>45831</v>
      </c>
      <c r="G731" s="21">
        <v>27395</v>
      </c>
      <c r="H731" s="22">
        <f t="shared" ca="1" si="22"/>
        <v>51</v>
      </c>
      <c r="I731" s="19" t="s">
        <v>26</v>
      </c>
      <c r="J731" s="18" t="s">
        <v>27</v>
      </c>
      <c r="K731" s="18"/>
      <c r="L731" s="23" t="s">
        <v>614</v>
      </c>
      <c r="M731" s="23" t="s">
        <v>2218</v>
      </c>
      <c r="N731" s="23" t="s">
        <v>1499</v>
      </c>
      <c r="O731" s="18">
        <v>1</v>
      </c>
      <c r="P731" s="24"/>
      <c r="Q731" s="25">
        <v>42466</v>
      </c>
      <c r="R731" s="13">
        <v>0</v>
      </c>
      <c r="S731" s="26" t="str">
        <f>VLOOKUP(C731,'[1]Bazaar Salary'!$B$6:$J$1193,9,0)</f>
        <v>03910010045841600010</v>
      </c>
      <c r="T731" s="25" t="s">
        <v>32</v>
      </c>
      <c r="U731" s="25" t="s">
        <v>415</v>
      </c>
      <c r="V731" s="25" t="s">
        <v>1535</v>
      </c>
      <c r="W731" s="27" t="s">
        <v>2817</v>
      </c>
      <c r="X731" s="28" t="s">
        <v>2818</v>
      </c>
      <c r="Y731" s="28"/>
      <c r="Z731" s="29" t="s">
        <v>37</v>
      </c>
    </row>
    <row r="732" spans="1:26" ht="30" customHeight="1" thickBot="1" x14ac:dyDescent="0.25">
      <c r="A732" s="17">
        <f t="shared" si="23"/>
        <v>731</v>
      </c>
      <c r="B732" s="18" t="s">
        <v>25</v>
      </c>
      <c r="C732" s="19">
        <v>3520222225165</v>
      </c>
      <c r="D732" s="19">
        <v>1612</v>
      </c>
      <c r="E732" s="20">
        <v>44804</v>
      </c>
      <c r="F732" s="20">
        <v>48457</v>
      </c>
      <c r="G732" s="21">
        <v>32144</v>
      </c>
      <c r="H732" s="22">
        <f t="shared" ca="1" si="22"/>
        <v>38</v>
      </c>
      <c r="I732" s="19" t="s">
        <v>26</v>
      </c>
      <c r="J732" s="18" t="s">
        <v>27</v>
      </c>
      <c r="K732" s="18"/>
      <c r="L732" s="23" t="s">
        <v>2819</v>
      </c>
      <c r="M732" s="23" t="s">
        <v>1133</v>
      </c>
      <c r="N732" s="23" t="s">
        <v>1499</v>
      </c>
      <c r="O732" s="18">
        <v>1</v>
      </c>
      <c r="P732" s="24"/>
      <c r="Q732" s="25">
        <v>45748</v>
      </c>
      <c r="R732" s="13">
        <v>0</v>
      </c>
      <c r="S732" s="26" t="str">
        <f>VLOOKUP(C732,'[1]Bazaar Salary'!$B$6:$J$1193,9,0)</f>
        <v>03910010132286380011</v>
      </c>
      <c r="T732" s="25" t="s">
        <v>32</v>
      </c>
      <c r="U732" s="25" t="s">
        <v>415</v>
      </c>
      <c r="V732" s="25" t="s">
        <v>1093</v>
      </c>
      <c r="W732" s="27" t="s">
        <v>2820</v>
      </c>
      <c r="X732" s="28" t="s">
        <v>2821</v>
      </c>
      <c r="Y732" s="28"/>
      <c r="Z732" s="29" t="s">
        <v>37</v>
      </c>
    </row>
    <row r="733" spans="1:26" ht="30" customHeight="1" thickBot="1" x14ac:dyDescent="0.25">
      <c r="A733" s="17">
        <f t="shared" si="23"/>
        <v>732</v>
      </c>
      <c r="B733" s="18" t="s">
        <v>25</v>
      </c>
      <c r="C733" s="19">
        <v>3510313462591</v>
      </c>
      <c r="D733" s="19">
        <v>1305</v>
      </c>
      <c r="E733" s="20">
        <v>43375</v>
      </c>
      <c r="F733" s="20">
        <v>47028</v>
      </c>
      <c r="G733" s="21">
        <v>28676</v>
      </c>
      <c r="H733" s="22">
        <f t="shared" ca="1" si="22"/>
        <v>47</v>
      </c>
      <c r="I733" s="19" t="s">
        <v>26</v>
      </c>
      <c r="J733" s="18" t="s">
        <v>27</v>
      </c>
      <c r="K733" s="18"/>
      <c r="L733" s="23" t="s">
        <v>1290</v>
      </c>
      <c r="M733" s="23" t="s">
        <v>307</v>
      </c>
      <c r="N733" s="23" t="s">
        <v>1499</v>
      </c>
      <c r="O733" s="18">
        <v>1</v>
      </c>
      <c r="P733" s="24"/>
      <c r="Q733" s="25">
        <v>45748</v>
      </c>
      <c r="R733" s="13">
        <v>0</v>
      </c>
      <c r="S733" s="26" t="str">
        <f>VLOOKUP(C733,'[1]Bazaar Salary'!$B$6:$J$1193,9,0)</f>
        <v>02040010084592340012</v>
      </c>
      <c r="T733" s="25" t="s">
        <v>32</v>
      </c>
      <c r="U733" s="25" t="s">
        <v>415</v>
      </c>
      <c r="V733" s="25" t="s">
        <v>1093</v>
      </c>
      <c r="W733" s="27" t="s">
        <v>2822</v>
      </c>
      <c r="X733" s="28" t="s">
        <v>2823</v>
      </c>
      <c r="Y733" s="28"/>
      <c r="Z733" s="29" t="s">
        <v>37</v>
      </c>
    </row>
    <row r="734" spans="1:26" ht="30" customHeight="1" thickBot="1" x14ac:dyDescent="0.25">
      <c r="A734" s="17">
        <f t="shared" si="23"/>
        <v>733</v>
      </c>
      <c r="B734" s="18" t="s">
        <v>25</v>
      </c>
      <c r="C734" s="19">
        <v>3520205372631</v>
      </c>
      <c r="D734" s="19">
        <v>1614</v>
      </c>
      <c r="E734" s="20">
        <v>44207</v>
      </c>
      <c r="F734" s="20">
        <v>47859</v>
      </c>
      <c r="G734" s="21">
        <v>37467</v>
      </c>
      <c r="H734" s="22">
        <f t="shared" ca="1" si="22"/>
        <v>23</v>
      </c>
      <c r="I734" s="19" t="s">
        <v>26</v>
      </c>
      <c r="J734" s="18" t="s">
        <v>27</v>
      </c>
      <c r="K734" s="18"/>
      <c r="L734" s="23" t="s">
        <v>2824</v>
      </c>
      <c r="M734" s="23" t="s">
        <v>2825</v>
      </c>
      <c r="N734" s="23" t="s">
        <v>1499</v>
      </c>
      <c r="O734" s="18">
        <v>1</v>
      </c>
      <c r="P734" s="24"/>
      <c r="Q734" s="25">
        <v>45748</v>
      </c>
      <c r="R734" s="13">
        <v>0</v>
      </c>
      <c r="S734" s="26" t="str">
        <f>VLOOKUP(C734,'[1]Bazaar Salary'!$B$6:$J$1193,9,0)</f>
        <v>01530010132532750016</v>
      </c>
      <c r="T734" s="25" t="s">
        <v>32</v>
      </c>
      <c r="U734" s="25" t="s">
        <v>415</v>
      </c>
      <c r="V734" s="25" t="s">
        <v>1093</v>
      </c>
      <c r="W734" s="27" t="s">
        <v>2826</v>
      </c>
      <c r="X734" s="28" t="s">
        <v>2827</v>
      </c>
      <c r="Y734" s="28"/>
      <c r="Z734" s="29" t="s">
        <v>37</v>
      </c>
    </row>
    <row r="735" spans="1:26" ht="30" customHeight="1" thickBot="1" x14ac:dyDescent="0.25">
      <c r="A735" s="17">
        <f t="shared" si="23"/>
        <v>734</v>
      </c>
      <c r="B735" s="18" t="s">
        <v>25</v>
      </c>
      <c r="C735" s="19">
        <v>3520205466947</v>
      </c>
      <c r="D735" s="19">
        <v>339</v>
      </c>
      <c r="E735" s="20">
        <v>44079</v>
      </c>
      <c r="F735" s="20">
        <v>47731</v>
      </c>
      <c r="G735" s="21">
        <v>31108</v>
      </c>
      <c r="H735" s="22">
        <f t="shared" ca="1" si="22"/>
        <v>41</v>
      </c>
      <c r="I735" s="19" t="s">
        <v>26</v>
      </c>
      <c r="J735" s="18" t="s">
        <v>27</v>
      </c>
      <c r="K735" s="18"/>
      <c r="L735" s="23" t="s">
        <v>1808</v>
      </c>
      <c r="M735" s="23" t="s">
        <v>1162</v>
      </c>
      <c r="N735" s="23" t="s">
        <v>1499</v>
      </c>
      <c r="O735" s="18">
        <v>1</v>
      </c>
      <c r="P735" s="24"/>
      <c r="Q735" s="25">
        <v>42287</v>
      </c>
      <c r="R735" s="13">
        <v>0</v>
      </c>
      <c r="S735" s="26" t="str">
        <f>VLOOKUP(C735,'[1]Bazaar Salary'!$B$6:$J$1193,9,0)</f>
        <v>03910010045799380012</v>
      </c>
      <c r="T735" s="25" t="s">
        <v>32</v>
      </c>
      <c r="U735" s="25" t="s">
        <v>415</v>
      </c>
      <c r="V735" s="25" t="s">
        <v>1701</v>
      </c>
      <c r="W735" s="27" t="s">
        <v>2766</v>
      </c>
      <c r="X735" s="28" t="s">
        <v>2828</v>
      </c>
      <c r="Y735" s="28"/>
      <c r="Z735" s="29" t="s">
        <v>37</v>
      </c>
    </row>
    <row r="736" spans="1:26" ht="30" customHeight="1" thickBot="1" x14ac:dyDescent="0.25">
      <c r="A736" s="17">
        <f t="shared" si="23"/>
        <v>735</v>
      </c>
      <c r="B736" s="18" t="s">
        <v>25</v>
      </c>
      <c r="C736" s="19">
        <v>3520217889907</v>
      </c>
      <c r="D736" s="19" t="s">
        <v>542</v>
      </c>
      <c r="E736" s="21">
        <v>45056</v>
      </c>
      <c r="F736" s="21">
        <v>48709</v>
      </c>
      <c r="G736" s="21">
        <v>30446</v>
      </c>
      <c r="H736" s="22">
        <f t="shared" ca="1" si="22"/>
        <v>43</v>
      </c>
      <c r="I736" s="18" t="s">
        <v>26</v>
      </c>
      <c r="J736" s="18" t="s">
        <v>27</v>
      </c>
      <c r="K736" s="23"/>
      <c r="L736" s="24" t="s">
        <v>2612</v>
      </c>
      <c r="M736" s="33" t="s">
        <v>307</v>
      </c>
      <c r="N736" s="23" t="s">
        <v>1499</v>
      </c>
      <c r="O736" s="18">
        <v>1</v>
      </c>
      <c r="P736" s="24"/>
      <c r="Q736" s="25">
        <v>45748</v>
      </c>
      <c r="R736" s="13">
        <v>0</v>
      </c>
      <c r="S736" s="26" t="str">
        <f>VLOOKUP(C736,'[1]Bazaar Salary'!$B$6:$J$1193,9,0)</f>
        <v>07660010135237320011</v>
      </c>
      <c r="T736" s="25" t="s">
        <v>32</v>
      </c>
      <c r="U736" s="25" t="s">
        <v>415</v>
      </c>
      <c r="V736" s="25" t="s">
        <v>1093</v>
      </c>
      <c r="W736" s="33" t="s">
        <v>2829</v>
      </c>
      <c r="X736" s="28" t="s">
        <v>2830</v>
      </c>
      <c r="Y736" s="28"/>
      <c r="Z736" s="29" t="s">
        <v>37</v>
      </c>
    </row>
    <row r="737" spans="1:26" ht="30" customHeight="1" thickBot="1" x14ac:dyDescent="0.25">
      <c r="A737" s="17">
        <f t="shared" si="23"/>
        <v>736</v>
      </c>
      <c r="B737" s="18" t="s">
        <v>25</v>
      </c>
      <c r="C737" s="19">
        <v>3520230865231</v>
      </c>
      <c r="D737" s="19">
        <v>530</v>
      </c>
      <c r="E737" s="20">
        <v>43491</v>
      </c>
      <c r="F737" s="20">
        <v>47144</v>
      </c>
      <c r="G737" s="21">
        <v>31935</v>
      </c>
      <c r="H737" s="22">
        <f t="shared" ca="1" si="22"/>
        <v>39</v>
      </c>
      <c r="I737" s="18" t="s">
        <v>912</v>
      </c>
      <c r="J737" s="18" t="s">
        <v>27</v>
      </c>
      <c r="K737" s="18"/>
      <c r="L737" s="23" t="s">
        <v>2831</v>
      </c>
      <c r="M737" s="23" t="s">
        <v>2832</v>
      </c>
      <c r="N737" s="23" t="s">
        <v>1488</v>
      </c>
      <c r="O737" s="18">
        <v>1</v>
      </c>
      <c r="P737" s="24"/>
      <c r="Q737" s="25">
        <v>42237</v>
      </c>
      <c r="R737" s="13">
        <v>0</v>
      </c>
      <c r="S737" s="26" t="str">
        <f>VLOOKUP(C737,'[1]Bazaar Salary'!$B$6:$J$1193,9,0)</f>
        <v>07040010045944370010</v>
      </c>
      <c r="T737" s="25" t="s">
        <v>32</v>
      </c>
      <c r="U737" s="25" t="s">
        <v>421</v>
      </c>
      <c r="V737" s="25" t="s">
        <v>1093</v>
      </c>
      <c r="W737" s="27" t="s">
        <v>2833</v>
      </c>
      <c r="X737" s="28" t="s">
        <v>2834</v>
      </c>
      <c r="Y737" s="28"/>
      <c r="Z737" s="29" t="s">
        <v>37</v>
      </c>
    </row>
    <row r="738" spans="1:26" ht="30" customHeight="1" thickBot="1" x14ac:dyDescent="0.25">
      <c r="A738" s="17">
        <f t="shared" si="23"/>
        <v>737</v>
      </c>
      <c r="B738" s="18" t="s">
        <v>25</v>
      </c>
      <c r="C738" s="19">
        <v>3740557735889</v>
      </c>
      <c r="D738" s="19">
        <v>570</v>
      </c>
      <c r="E738" s="20">
        <v>44616</v>
      </c>
      <c r="F738" s="20">
        <v>48268</v>
      </c>
      <c r="G738" s="21">
        <v>33094</v>
      </c>
      <c r="H738" s="22">
        <f t="shared" ca="1" si="22"/>
        <v>35</v>
      </c>
      <c r="I738" s="18" t="s">
        <v>912</v>
      </c>
      <c r="J738" s="18" t="s">
        <v>27</v>
      </c>
      <c r="K738" s="18"/>
      <c r="L738" s="23" t="s">
        <v>2835</v>
      </c>
      <c r="M738" s="23" t="s">
        <v>2836</v>
      </c>
      <c r="N738" s="23" t="s">
        <v>1488</v>
      </c>
      <c r="O738" s="18">
        <v>1</v>
      </c>
      <c r="P738" s="24"/>
      <c r="Q738" s="25">
        <v>42861</v>
      </c>
      <c r="R738" s="13">
        <v>0</v>
      </c>
      <c r="S738" s="26" t="str">
        <f>VLOOKUP(C738,'[1]Bazaar Salary'!$B$6:$J$1193,9,0)</f>
        <v>07550010046312790019</v>
      </c>
      <c r="T738" s="25" t="s">
        <v>32</v>
      </c>
      <c r="U738" s="25" t="s">
        <v>421</v>
      </c>
      <c r="V738" s="25" t="s">
        <v>1093</v>
      </c>
      <c r="W738" s="27" t="s">
        <v>2837</v>
      </c>
      <c r="X738" s="28" t="s">
        <v>2838</v>
      </c>
      <c r="Y738" s="28"/>
      <c r="Z738" s="29" t="s">
        <v>37</v>
      </c>
    </row>
    <row r="739" spans="1:26" ht="30" customHeight="1" thickBot="1" x14ac:dyDescent="0.25">
      <c r="A739" s="17">
        <f t="shared" si="23"/>
        <v>738</v>
      </c>
      <c r="B739" s="18" t="s">
        <v>25</v>
      </c>
      <c r="C739" s="19">
        <v>1330117418215</v>
      </c>
      <c r="D739" s="19">
        <v>1239</v>
      </c>
      <c r="E739" s="20">
        <v>44630</v>
      </c>
      <c r="F739" s="20">
        <v>48283</v>
      </c>
      <c r="G739" s="21">
        <v>27860</v>
      </c>
      <c r="H739" s="22">
        <f t="shared" ca="1" si="22"/>
        <v>50</v>
      </c>
      <c r="I739" s="19" t="s">
        <v>26</v>
      </c>
      <c r="J739" s="18" t="s">
        <v>27</v>
      </c>
      <c r="K739" s="18"/>
      <c r="L739" s="23" t="s">
        <v>1648</v>
      </c>
      <c r="M739" s="23" t="s">
        <v>2839</v>
      </c>
      <c r="N739" s="23" t="s">
        <v>1499</v>
      </c>
      <c r="O739" s="18">
        <v>1</v>
      </c>
      <c r="P739" s="24"/>
      <c r="Q739" s="25">
        <v>44317</v>
      </c>
      <c r="R739" s="13">
        <v>0</v>
      </c>
      <c r="S739" s="26" t="str">
        <f>VLOOKUP(C739,'[1]Bazaar Salary'!$B$6:$J$1193,9,0)</f>
        <v>07500010048681570015</v>
      </c>
      <c r="T739" s="25" t="s">
        <v>32</v>
      </c>
      <c r="U739" s="25" t="s">
        <v>421</v>
      </c>
      <c r="V739" s="25" t="s">
        <v>1890</v>
      </c>
      <c r="W739" s="27" t="s">
        <v>2840</v>
      </c>
      <c r="X739" s="28" t="s">
        <v>2841</v>
      </c>
      <c r="Y739" s="28"/>
      <c r="Z739" s="29" t="s">
        <v>37</v>
      </c>
    </row>
    <row r="740" spans="1:26" ht="30" customHeight="1" thickBot="1" x14ac:dyDescent="0.25">
      <c r="A740" s="17">
        <f t="shared" si="23"/>
        <v>739</v>
      </c>
      <c r="B740" s="18" t="s">
        <v>25</v>
      </c>
      <c r="C740" s="19">
        <v>3460405011195</v>
      </c>
      <c r="D740" s="19">
        <v>1156</v>
      </c>
      <c r="E740" s="20">
        <v>42009</v>
      </c>
      <c r="F740" s="20">
        <v>45662</v>
      </c>
      <c r="G740" s="21">
        <v>24513</v>
      </c>
      <c r="H740" s="22">
        <f t="shared" ca="1" si="22"/>
        <v>59</v>
      </c>
      <c r="I740" s="19" t="s">
        <v>26</v>
      </c>
      <c r="J740" s="18" t="s">
        <v>27</v>
      </c>
      <c r="K740" s="18"/>
      <c r="L740" s="23" t="s">
        <v>711</v>
      </c>
      <c r="M740" s="23" t="s">
        <v>2842</v>
      </c>
      <c r="N740" s="23" t="s">
        <v>1499</v>
      </c>
      <c r="O740" s="18">
        <v>1</v>
      </c>
      <c r="P740" s="24"/>
      <c r="Q740" s="25">
        <v>43678</v>
      </c>
      <c r="R740" s="13">
        <v>0</v>
      </c>
      <c r="S740" s="26" t="str">
        <f>VLOOKUP(C740,'[1]Bazaar Salary'!$B$6:$J$1193,9,0)</f>
        <v>05700010058260420011</v>
      </c>
      <c r="T740" s="25" t="s">
        <v>32</v>
      </c>
      <c r="U740" s="25" t="s">
        <v>421</v>
      </c>
      <c r="V740" s="25" t="s">
        <v>1093</v>
      </c>
      <c r="W740" s="27" t="s">
        <v>2843</v>
      </c>
      <c r="X740" s="28" t="s">
        <v>2844</v>
      </c>
      <c r="Y740" s="28"/>
      <c r="Z740" s="29" t="s">
        <v>37</v>
      </c>
    </row>
    <row r="741" spans="1:26" ht="30" customHeight="1" thickBot="1" x14ac:dyDescent="0.25">
      <c r="A741" s="17">
        <f t="shared" si="23"/>
        <v>740</v>
      </c>
      <c r="B741" s="18" t="s">
        <v>25</v>
      </c>
      <c r="C741" s="19">
        <v>4220157603389</v>
      </c>
      <c r="D741" s="19">
        <v>1184</v>
      </c>
      <c r="E741" s="20">
        <v>44105</v>
      </c>
      <c r="F741" s="20">
        <v>47757</v>
      </c>
      <c r="G741" s="21">
        <v>35827</v>
      </c>
      <c r="H741" s="22">
        <f t="shared" ca="1" si="22"/>
        <v>28</v>
      </c>
      <c r="I741" s="19" t="s">
        <v>26</v>
      </c>
      <c r="J741" s="18" t="s">
        <v>27</v>
      </c>
      <c r="K741" s="18"/>
      <c r="L741" s="23" t="s">
        <v>1917</v>
      </c>
      <c r="M741" s="23" t="s">
        <v>1928</v>
      </c>
      <c r="N741" s="23" t="s">
        <v>1499</v>
      </c>
      <c r="O741" s="18">
        <v>1</v>
      </c>
      <c r="P741" s="24"/>
      <c r="Q741" s="25">
        <v>44317</v>
      </c>
      <c r="R741" s="13">
        <v>0</v>
      </c>
      <c r="S741" s="26"/>
      <c r="T741" s="25"/>
      <c r="U741" s="25" t="s">
        <v>421</v>
      </c>
      <c r="V741" s="25" t="s">
        <v>1093</v>
      </c>
      <c r="W741" s="27" t="s">
        <v>2845</v>
      </c>
      <c r="X741" s="28" t="s">
        <v>2846</v>
      </c>
      <c r="Y741" s="28"/>
      <c r="Z741" s="29" t="s">
        <v>37</v>
      </c>
    </row>
    <row r="742" spans="1:26" ht="30" customHeight="1" thickBot="1" x14ac:dyDescent="0.25">
      <c r="A742" s="17">
        <f t="shared" si="23"/>
        <v>741</v>
      </c>
      <c r="B742" s="18" t="s">
        <v>25</v>
      </c>
      <c r="C742" s="19">
        <v>3520153060483</v>
      </c>
      <c r="D742" s="19">
        <v>362</v>
      </c>
      <c r="E742" s="20">
        <v>42768</v>
      </c>
      <c r="F742" s="20">
        <v>46420</v>
      </c>
      <c r="G742" s="21">
        <v>29221</v>
      </c>
      <c r="H742" s="22">
        <f t="shared" ca="1" si="22"/>
        <v>46</v>
      </c>
      <c r="I742" s="19" t="s">
        <v>26</v>
      </c>
      <c r="J742" s="18" t="s">
        <v>27</v>
      </c>
      <c r="K742" s="18"/>
      <c r="L742" s="23" t="s">
        <v>2847</v>
      </c>
      <c r="M742" s="23" t="s">
        <v>2848</v>
      </c>
      <c r="N742" s="23" t="s">
        <v>1499</v>
      </c>
      <c r="O742" s="18">
        <v>1</v>
      </c>
      <c r="P742" s="24"/>
      <c r="Q742" s="25">
        <v>41774</v>
      </c>
      <c r="R742" s="13">
        <v>0</v>
      </c>
      <c r="S742" s="26" t="str">
        <f>VLOOKUP(C742,'[1]Bazaar Salary'!$B$6:$J$1193,9,0)</f>
        <v>01260010045855960010</v>
      </c>
      <c r="T742" s="25" t="s">
        <v>32</v>
      </c>
      <c r="U742" s="25" t="s">
        <v>421</v>
      </c>
      <c r="V742" s="25" t="s">
        <v>1356</v>
      </c>
      <c r="W742" s="27" t="s">
        <v>2849</v>
      </c>
      <c r="X742" s="28" t="s">
        <v>2850</v>
      </c>
      <c r="Y742" s="28"/>
      <c r="Z742" s="29" t="s">
        <v>37</v>
      </c>
    </row>
    <row r="743" spans="1:26" ht="30" customHeight="1" thickBot="1" x14ac:dyDescent="0.25">
      <c r="A743" s="17">
        <f t="shared" si="23"/>
        <v>742</v>
      </c>
      <c r="B743" s="18" t="s">
        <v>25</v>
      </c>
      <c r="C743" s="19">
        <v>3520274902347</v>
      </c>
      <c r="D743" s="19">
        <v>521</v>
      </c>
      <c r="E743" s="20">
        <v>43108</v>
      </c>
      <c r="F743" s="20">
        <v>46760</v>
      </c>
      <c r="G743" s="21">
        <v>33404</v>
      </c>
      <c r="H743" s="22">
        <f t="shared" ca="1" si="22"/>
        <v>35</v>
      </c>
      <c r="I743" s="18" t="s">
        <v>912</v>
      </c>
      <c r="J743" s="18" t="s">
        <v>27</v>
      </c>
      <c r="K743" s="18"/>
      <c r="L743" s="23" t="s">
        <v>2851</v>
      </c>
      <c r="M743" s="23" t="s">
        <v>2852</v>
      </c>
      <c r="N743" s="23" t="s">
        <v>1488</v>
      </c>
      <c r="O743" s="18">
        <v>1</v>
      </c>
      <c r="P743" s="24"/>
      <c r="Q743" s="25">
        <v>42528</v>
      </c>
      <c r="R743" s="13">
        <v>0</v>
      </c>
      <c r="S743" s="26" t="str">
        <f>VLOOKUP(C743,'[1]Bazaar Salary'!$B$6:$J$1193,9,0)</f>
        <v>05400010045894200014</v>
      </c>
      <c r="T743" s="25" t="s">
        <v>32</v>
      </c>
      <c r="U743" s="25" t="s">
        <v>430</v>
      </c>
      <c r="V743" s="25" t="s">
        <v>1093</v>
      </c>
      <c r="W743" s="27" t="s">
        <v>2853</v>
      </c>
      <c r="X743" s="28" t="s">
        <v>2854</v>
      </c>
      <c r="Y743" s="28"/>
      <c r="Z743" s="29" t="s">
        <v>37</v>
      </c>
    </row>
    <row r="744" spans="1:26" ht="30" customHeight="1" thickBot="1" x14ac:dyDescent="0.25">
      <c r="A744" s="17">
        <f t="shared" si="23"/>
        <v>743</v>
      </c>
      <c r="B744" s="18" t="s">
        <v>25</v>
      </c>
      <c r="C744" s="19">
        <v>3520202853161</v>
      </c>
      <c r="D744" s="19">
        <v>1671</v>
      </c>
      <c r="E744" s="21">
        <v>43830</v>
      </c>
      <c r="F744" s="21">
        <v>47483</v>
      </c>
      <c r="G744" s="21">
        <v>37239</v>
      </c>
      <c r="H744" s="22">
        <f t="shared" ca="1" si="22"/>
        <v>24</v>
      </c>
      <c r="I744" s="18" t="s">
        <v>912</v>
      </c>
      <c r="J744" s="18" t="s">
        <v>27</v>
      </c>
      <c r="K744" s="23"/>
      <c r="L744" s="24" t="s">
        <v>2855</v>
      </c>
      <c r="M744" s="33" t="s">
        <v>2856</v>
      </c>
      <c r="N744" s="23" t="s">
        <v>1488</v>
      </c>
      <c r="O744" s="18">
        <v>1</v>
      </c>
      <c r="P744" s="24"/>
      <c r="Q744" s="25">
        <v>45748</v>
      </c>
      <c r="R744" s="13">
        <v>0</v>
      </c>
      <c r="S744" s="26" t="str">
        <f>VLOOKUP(C744,'[1]Bazaar Salary'!$B$6:$J$1193,9,0)</f>
        <v>09650010136342700013</v>
      </c>
      <c r="T744" s="25" t="s">
        <v>32</v>
      </c>
      <c r="U744" s="25" t="s">
        <v>430</v>
      </c>
      <c r="V744" s="25" t="s">
        <v>1093</v>
      </c>
      <c r="W744" s="33" t="s">
        <v>2857</v>
      </c>
      <c r="X744" s="28" t="s">
        <v>2858</v>
      </c>
      <c r="Y744" s="28"/>
      <c r="Z744" s="29" t="s">
        <v>37</v>
      </c>
    </row>
    <row r="745" spans="1:26" ht="30" customHeight="1" thickBot="1" x14ac:dyDescent="0.25">
      <c r="A745" s="17">
        <f t="shared" si="23"/>
        <v>744</v>
      </c>
      <c r="B745" s="18" t="s">
        <v>25</v>
      </c>
      <c r="C745" s="19">
        <v>3520208908365</v>
      </c>
      <c r="D745" s="19">
        <v>514</v>
      </c>
      <c r="E745" s="20">
        <v>45450</v>
      </c>
      <c r="F745" s="20">
        <v>49102</v>
      </c>
      <c r="G745" s="21">
        <v>26299</v>
      </c>
      <c r="H745" s="22">
        <f t="shared" ca="1" si="22"/>
        <v>54</v>
      </c>
      <c r="I745" s="18" t="s">
        <v>912</v>
      </c>
      <c r="J745" s="18" t="s">
        <v>27</v>
      </c>
      <c r="K745" s="18"/>
      <c r="L745" s="23" t="s">
        <v>2859</v>
      </c>
      <c r="M745" s="23" t="s">
        <v>2860</v>
      </c>
      <c r="N745" s="23" t="s">
        <v>1488</v>
      </c>
      <c r="O745" s="18">
        <v>1</v>
      </c>
      <c r="P745" s="24"/>
      <c r="Q745" s="25">
        <v>41978</v>
      </c>
      <c r="R745" s="13">
        <v>0</v>
      </c>
      <c r="S745" s="26" t="str">
        <f>VLOOKUP(C745,'[1]Bazaar Salary'!$B$6:$J$1193,9,0)</f>
        <v>09410010045978700010</v>
      </c>
      <c r="T745" s="25" t="s">
        <v>32</v>
      </c>
      <c r="U745" s="25" t="s">
        <v>430</v>
      </c>
      <c r="V745" s="25" t="s">
        <v>1093</v>
      </c>
      <c r="W745" s="27" t="s">
        <v>2861</v>
      </c>
      <c r="X745" s="28" t="s">
        <v>2862</v>
      </c>
      <c r="Y745" s="28"/>
      <c r="Z745" s="29" t="s">
        <v>37</v>
      </c>
    </row>
    <row r="746" spans="1:26" ht="30" customHeight="1" thickBot="1" x14ac:dyDescent="0.25">
      <c r="A746" s="17">
        <f t="shared" si="23"/>
        <v>745</v>
      </c>
      <c r="B746" s="18" t="s">
        <v>25</v>
      </c>
      <c r="C746" s="19">
        <v>3520202297597</v>
      </c>
      <c r="D746" s="19">
        <v>525</v>
      </c>
      <c r="E746" s="20">
        <v>43903</v>
      </c>
      <c r="F746" s="20">
        <v>47555</v>
      </c>
      <c r="G746" s="21">
        <v>32853</v>
      </c>
      <c r="H746" s="22">
        <f t="shared" ca="1" si="22"/>
        <v>36</v>
      </c>
      <c r="I746" s="18" t="s">
        <v>912</v>
      </c>
      <c r="J746" s="18" t="s">
        <v>27</v>
      </c>
      <c r="K746" s="18"/>
      <c r="L746" s="23" t="s">
        <v>2863</v>
      </c>
      <c r="M746" s="23" t="s">
        <v>2864</v>
      </c>
      <c r="N746" s="23" t="s">
        <v>1488</v>
      </c>
      <c r="O746" s="18">
        <v>1</v>
      </c>
      <c r="P746" s="24"/>
      <c r="Q746" s="25">
        <v>42229</v>
      </c>
      <c r="R746" s="13">
        <v>0</v>
      </c>
      <c r="S746" s="26" t="str">
        <f>VLOOKUP(C746,'[1]Bazaar Salary'!$B$6:$J$1193,9,0)</f>
        <v>02880010045915140017</v>
      </c>
      <c r="T746" s="25" t="s">
        <v>32</v>
      </c>
      <c r="U746" s="25" t="s">
        <v>430</v>
      </c>
      <c r="V746" s="25" t="s">
        <v>1535</v>
      </c>
      <c r="W746" s="27" t="s">
        <v>2865</v>
      </c>
      <c r="X746" s="28" t="s">
        <v>2866</v>
      </c>
      <c r="Y746" s="28"/>
      <c r="Z746" s="29" t="s">
        <v>37</v>
      </c>
    </row>
    <row r="747" spans="1:26" ht="30" customHeight="1" thickBot="1" x14ac:dyDescent="0.25">
      <c r="A747" s="17">
        <f t="shared" si="23"/>
        <v>746</v>
      </c>
      <c r="B747" s="18" t="s">
        <v>25</v>
      </c>
      <c r="C747" s="19">
        <v>3520503430437</v>
      </c>
      <c r="D747" s="19">
        <v>1324</v>
      </c>
      <c r="E747" s="20">
        <v>43536</v>
      </c>
      <c r="F747" s="20">
        <v>47189</v>
      </c>
      <c r="G747" s="21">
        <v>34803</v>
      </c>
      <c r="H747" s="22">
        <f t="shared" ca="1" si="22"/>
        <v>31</v>
      </c>
      <c r="I747" s="19" t="s">
        <v>26</v>
      </c>
      <c r="J747" s="18" t="s">
        <v>27</v>
      </c>
      <c r="K747" s="18"/>
      <c r="L747" s="23" t="s">
        <v>413</v>
      </c>
      <c r="M747" s="23" t="s">
        <v>1125</v>
      </c>
      <c r="N747" s="23" t="s">
        <v>1499</v>
      </c>
      <c r="O747" s="18">
        <v>1</v>
      </c>
      <c r="P747" s="24"/>
      <c r="Q747" s="25">
        <v>45748</v>
      </c>
      <c r="R747" s="13">
        <v>0</v>
      </c>
      <c r="S747" s="26" t="str">
        <f>VLOOKUP(C747,'[1]Bazaar Salary'!$B$6:$J$1193,9,0)</f>
        <v>51210020087905970017</v>
      </c>
      <c r="T747" s="25" t="s">
        <v>32</v>
      </c>
      <c r="U747" s="25" t="s">
        <v>430</v>
      </c>
      <c r="V747" s="25" t="s">
        <v>1356</v>
      </c>
      <c r="W747" s="27" t="s">
        <v>2867</v>
      </c>
      <c r="X747" s="28" t="s">
        <v>2868</v>
      </c>
      <c r="Y747" s="28"/>
      <c r="Z747" s="29" t="s">
        <v>37</v>
      </c>
    </row>
    <row r="748" spans="1:26" ht="30" customHeight="1" thickBot="1" x14ac:dyDescent="0.25">
      <c r="A748" s="17">
        <f t="shared" si="23"/>
        <v>747</v>
      </c>
      <c r="B748" s="18" t="s">
        <v>25</v>
      </c>
      <c r="C748" s="19">
        <v>3520290789313</v>
      </c>
      <c r="D748" s="19">
        <v>806</v>
      </c>
      <c r="E748" s="20">
        <v>43326</v>
      </c>
      <c r="F748" s="20" t="s">
        <v>196</v>
      </c>
      <c r="G748" s="21">
        <v>31974</v>
      </c>
      <c r="H748" s="22">
        <f t="shared" ca="1" si="22"/>
        <v>38</v>
      </c>
      <c r="I748" s="19" t="s">
        <v>26</v>
      </c>
      <c r="J748" s="18" t="s">
        <v>27</v>
      </c>
      <c r="K748" s="18" t="s">
        <v>197</v>
      </c>
      <c r="L748" s="23" t="s">
        <v>2869</v>
      </c>
      <c r="M748" s="23" t="s">
        <v>319</v>
      </c>
      <c r="N748" s="23" t="s">
        <v>1499</v>
      </c>
      <c r="O748" s="18">
        <v>1</v>
      </c>
      <c r="P748" s="24"/>
      <c r="Q748" s="25">
        <v>43637</v>
      </c>
      <c r="R748" s="13">
        <v>0</v>
      </c>
      <c r="S748" s="26" t="str">
        <f>VLOOKUP(C748,'[1]Bazaar Salary'!$B$6:$J$1193,9,0)</f>
        <v>02240010062378450017</v>
      </c>
      <c r="T748" s="25" t="s">
        <v>32</v>
      </c>
      <c r="U748" s="25" t="s">
        <v>430</v>
      </c>
      <c r="V748" s="25" t="s">
        <v>1093</v>
      </c>
      <c r="W748" s="27" t="s">
        <v>2870</v>
      </c>
      <c r="X748" s="28" t="s">
        <v>2871</v>
      </c>
      <c r="Y748" s="28"/>
      <c r="Z748" s="29" t="s">
        <v>37</v>
      </c>
    </row>
    <row r="749" spans="1:26" ht="30" customHeight="1" thickBot="1" x14ac:dyDescent="0.25">
      <c r="A749" s="17">
        <f t="shared" si="23"/>
        <v>748</v>
      </c>
      <c r="B749" s="18" t="s">
        <v>25</v>
      </c>
      <c r="C749" s="19">
        <v>3520255970449</v>
      </c>
      <c r="D749" s="19">
        <v>324</v>
      </c>
      <c r="E749" s="20">
        <v>42660</v>
      </c>
      <c r="F749" s="20">
        <v>46312</v>
      </c>
      <c r="G749" s="21">
        <v>35890</v>
      </c>
      <c r="H749" s="22">
        <f t="shared" ca="1" si="22"/>
        <v>28</v>
      </c>
      <c r="I749" s="19" t="s">
        <v>26</v>
      </c>
      <c r="J749" s="18" t="s">
        <v>27</v>
      </c>
      <c r="K749" s="18"/>
      <c r="L749" s="23" t="s">
        <v>2872</v>
      </c>
      <c r="M749" s="23" t="s">
        <v>2873</v>
      </c>
      <c r="N749" s="23" t="s">
        <v>1499</v>
      </c>
      <c r="O749" s="18">
        <v>1</v>
      </c>
      <c r="P749" s="24"/>
      <c r="Q749" s="25">
        <v>43116</v>
      </c>
      <c r="R749" s="13">
        <v>0</v>
      </c>
      <c r="S749" s="26" t="str">
        <f>VLOOKUP(C749,'[1]Bazaar Salary'!$B$6:$J$1193,9,0)</f>
        <v>09410010049378480019</v>
      </c>
      <c r="T749" s="25" t="s">
        <v>32</v>
      </c>
      <c r="U749" s="25" t="s">
        <v>430</v>
      </c>
      <c r="V749" s="25" t="s">
        <v>1356</v>
      </c>
      <c r="W749" s="27" t="s">
        <v>2874</v>
      </c>
      <c r="X749" s="28" t="s">
        <v>2875</v>
      </c>
      <c r="Y749" s="28"/>
      <c r="Z749" s="29" t="s">
        <v>37</v>
      </c>
    </row>
    <row r="750" spans="1:26" ht="30" customHeight="1" thickBot="1" x14ac:dyDescent="0.25">
      <c r="A750" s="17">
        <f t="shared" si="23"/>
        <v>749</v>
      </c>
      <c r="B750" s="18" t="s">
        <v>25</v>
      </c>
      <c r="C750" s="19">
        <v>3520276789205</v>
      </c>
      <c r="D750" s="19">
        <v>421</v>
      </c>
      <c r="E750" s="20">
        <v>44172</v>
      </c>
      <c r="F750" s="20">
        <v>47824</v>
      </c>
      <c r="G750" s="21">
        <v>33970</v>
      </c>
      <c r="H750" s="22">
        <f t="shared" ca="1" si="22"/>
        <v>33</v>
      </c>
      <c r="I750" s="19" t="s">
        <v>26</v>
      </c>
      <c r="J750" s="18" t="s">
        <v>27</v>
      </c>
      <c r="K750" s="18"/>
      <c r="L750" s="23" t="s">
        <v>380</v>
      </c>
      <c r="M750" s="23" t="s">
        <v>2876</v>
      </c>
      <c r="N750" s="23" t="s">
        <v>1499</v>
      </c>
      <c r="O750" s="18">
        <v>1</v>
      </c>
      <c r="P750" s="24"/>
      <c r="Q750" s="25">
        <v>42614</v>
      </c>
      <c r="R750" s="13">
        <v>0</v>
      </c>
      <c r="S750" s="26" t="str">
        <f>VLOOKUP(C750,'[1]Bazaar Salary'!$B$6:$J$1193,9,0)</f>
        <v>02880010028879120016</v>
      </c>
      <c r="T750" s="25" t="s">
        <v>32</v>
      </c>
      <c r="U750" s="25" t="s">
        <v>430</v>
      </c>
      <c r="V750" s="25" t="s">
        <v>1093</v>
      </c>
      <c r="W750" s="27" t="s">
        <v>2877</v>
      </c>
      <c r="X750" s="28" t="s">
        <v>2878</v>
      </c>
      <c r="Y750" s="28"/>
      <c r="Z750" s="29" t="s">
        <v>37</v>
      </c>
    </row>
    <row r="751" spans="1:26" ht="30" customHeight="1" thickBot="1" x14ac:dyDescent="0.25">
      <c r="A751" s="17">
        <f t="shared" si="23"/>
        <v>750</v>
      </c>
      <c r="B751" s="18" t="s">
        <v>25</v>
      </c>
      <c r="C751" s="19">
        <v>3520264894365</v>
      </c>
      <c r="D751" s="19">
        <v>805</v>
      </c>
      <c r="E751" s="20">
        <v>44160</v>
      </c>
      <c r="F751" s="20" t="s">
        <v>196</v>
      </c>
      <c r="G751" s="21">
        <v>34896</v>
      </c>
      <c r="H751" s="22">
        <f t="shared" ca="1" si="22"/>
        <v>30</v>
      </c>
      <c r="I751" s="19" t="s">
        <v>26</v>
      </c>
      <c r="J751" s="18" t="s">
        <v>27</v>
      </c>
      <c r="K751" s="18" t="s">
        <v>197</v>
      </c>
      <c r="L751" s="23" t="s">
        <v>2879</v>
      </c>
      <c r="M751" s="23" t="s">
        <v>2880</v>
      </c>
      <c r="N751" s="23" t="s">
        <v>1499</v>
      </c>
      <c r="O751" s="18">
        <v>1</v>
      </c>
      <c r="P751" s="24"/>
      <c r="Q751" s="25">
        <v>43628</v>
      </c>
      <c r="R751" s="13">
        <v>0</v>
      </c>
      <c r="S751" s="26" t="str">
        <f>VLOOKUP(C751,'[1]Bazaar Salary'!$B$6:$J$1193,9,0)</f>
        <v>09410010061468610014</v>
      </c>
      <c r="T751" s="25" t="s">
        <v>32</v>
      </c>
      <c r="U751" s="25" t="s">
        <v>430</v>
      </c>
      <c r="V751" s="25" t="s">
        <v>1093</v>
      </c>
      <c r="W751" s="27" t="s">
        <v>2881</v>
      </c>
      <c r="X751" s="28" t="s">
        <v>2882</v>
      </c>
      <c r="Y751" s="28"/>
      <c r="Z751" s="29" t="s">
        <v>37</v>
      </c>
    </row>
    <row r="752" spans="1:26" ht="30" customHeight="1" thickBot="1" x14ac:dyDescent="0.25">
      <c r="A752" s="17">
        <f t="shared" si="23"/>
        <v>751</v>
      </c>
      <c r="B752" s="18" t="s">
        <v>25</v>
      </c>
      <c r="C752" s="19">
        <v>3450229600399</v>
      </c>
      <c r="D752" s="19">
        <v>353</v>
      </c>
      <c r="E752" s="20">
        <v>42738</v>
      </c>
      <c r="F752" s="20">
        <v>46390</v>
      </c>
      <c r="G752" s="21">
        <v>31296</v>
      </c>
      <c r="H752" s="22">
        <f t="shared" ca="1" si="22"/>
        <v>40</v>
      </c>
      <c r="I752" s="19" t="s">
        <v>26</v>
      </c>
      <c r="J752" s="18" t="s">
        <v>27</v>
      </c>
      <c r="K752" s="18"/>
      <c r="L752" s="23" t="s">
        <v>1178</v>
      </c>
      <c r="M752" s="23" t="s">
        <v>1826</v>
      </c>
      <c r="N752" s="23" t="s">
        <v>1499</v>
      </c>
      <c r="O752" s="18">
        <v>1</v>
      </c>
      <c r="P752" s="24"/>
      <c r="Q752" s="25">
        <v>41997</v>
      </c>
      <c r="R752" s="13">
        <v>0</v>
      </c>
      <c r="S752" s="26" t="str">
        <f>VLOOKUP(C752,'[1]Bazaar Salary'!$B$6:$J$1193,9,0)</f>
        <v>07040010045992400010</v>
      </c>
      <c r="T752" s="25" t="s">
        <v>32</v>
      </c>
      <c r="U752" s="25" t="s">
        <v>430</v>
      </c>
      <c r="V752" s="25" t="s">
        <v>1356</v>
      </c>
      <c r="W752" s="27" t="s">
        <v>2883</v>
      </c>
      <c r="X752" s="28" t="s">
        <v>2884</v>
      </c>
      <c r="Y752" s="28"/>
      <c r="Z752" s="29" t="s">
        <v>37</v>
      </c>
    </row>
    <row r="753" spans="1:26" ht="30" customHeight="1" thickBot="1" x14ac:dyDescent="0.25">
      <c r="A753" s="17">
        <f t="shared" si="23"/>
        <v>752</v>
      </c>
      <c r="B753" s="18" t="s">
        <v>25</v>
      </c>
      <c r="C753" s="19">
        <v>4200034636643</v>
      </c>
      <c r="D753" s="19"/>
      <c r="E753" s="20">
        <v>43321</v>
      </c>
      <c r="F753" s="20">
        <v>46974</v>
      </c>
      <c r="G753" s="21">
        <v>36381</v>
      </c>
      <c r="H753" s="22">
        <f t="shared" ca="1" si="22"/>
        <v>26</v>
      </c>
      <c r="I753" s="19" t="s">
        <v>26</v>
      </c>
      <c r="J753" s="18" t="s">
        <v>27</v>
      </c>
      <c r="K753" s="18"/>
      <c r="L753" s="23" t="s">
        <v>2885</v>
      </c>
      <c r="M753" s="23" t="s">
        <v>2886</v>
      </c>
      <c r="N753" s="23" t="s">
        <v>1499</v>
      </c>
      <c r="O753" s="18">
        <v>1</v>
      </c>
      <c r="P753" s="24"/>
      <c r="Q753" s="25">
        <v>45748</v>
      </c>
      <c r="R753" s="13">
        <v>0</v>
      </c>
      <c r="S753" s="26" t="str">
        <f>VLOOKUP(C753,'[1]Bazaar Salary'!$B$6:$J$1193,9,0)</f>
        <v>10080010141640110014</v>
      </c>
      <c r="T753" s="25" t="s">
        <v>32</v>
      </c>
      <c r="U753" s="25" t="s">
        <v>430</v>
      </c>
      <c r="V753" s="25" t="s">
        <v>320</v>
      </c>
      <c r="W753" s="27" t="s">
        <v>2887</v>
      </c>
      <c r="X753" s="28" t="s">
        <v>2888</v>
      </c>
      <c r="Y753" s="28"/>
      <c r="Z753" s="29" t="s">
        <v>37</v>
      </c>
    </row>
    <row r="754" spans="1:26" ht="30" customHeight="1" thickBot="1" x14ac:dyDescent="0.25">
      <c r="A754" s="17">
        <f t="shared" si="23"/>
        <v>753</v>
      </c>
      <c r="B754" s="18" t="s">
        <v>25</v>
      </c>
      <c r="C754" s="19">
        <v>3520217310205</v>
      </c>
      <c r="D754" s="19">
        <v>807</v>
      </c>
      <c r="E754" s="20">
        <v>42754</v>
      </c>
      <c r="F754" s="20">
        <v>46406</v>
      </c>
      <c r="G754" s="21">
        <v>34681</v>
      </c>
      <c r="H754" s="22">
        <f t="shared" ca="1" si="22"/>
        <v>31</v>
      </c>
      <c r="I754" s="19" t="s">
        <v>26</v>
      </c>
      <c r="J754" s="18" t="s">
        <v>27</v>
      </c>
      <c r="K754" s="18" t="s">
        <v>197</v>
      </c>
      <c r="L754" s="23" t="s">
        <v>2889</v>
      </c>
      <c r="M754" s="23" t="s">
        <v>2890</v>
      </c>
      <c r="N754" s="23" t="s">
        <v>1499</v>
      </c>
      <c r="O754" s="18">
        <v>1</v>
      </c>
      <c r="P754" s="24"/>
      <c r="Q754" s="25">
        <v>43637</v>
      </c>
      <c r="R754" s="13">
        <v>0</v>
      </c>
      <c r="S754" s="26" t="str">
        <f>VLOOKUP(C754,'[1]Bazaar Salary'!$B$6:$J$1193,9,0)</f>
        <v>09410010062253000011</v>
      </c>
      <c r="T754" s="25" t="s">
        <v>32</v>
      </c>
      <c r="U754" s="25" t="s">
        <v>430</v>
      </c>
      <c r="V754" s="25" t="s">
        <v>1093</v>
      </c>
      <c r="W754" s="27" t="s">
        <v>2891</v>
      </c>
      <c r="X754" s="28" t="s">
        <v>2892</v>
      </c>
      <c r="Y754" s="28"/>
      <c r="Z754" s="29" t="s">
        <v>37</v>
      </c>
    </row>
    <row r="755" spans="1:26" ht="30" customHeight="1" thickBot="1" x14ac:dyDescent="0.25">
      <c r="A755" s="17">
        <f t="shared" si="23"/>
        <v>754</v>
      </c>
      <c r="B755" s="18" t="s">
        <v>25</v>
      </c>
      <c r="C755" s="19">
        <v>3710116967049</v>
      </c>
      <c r="D755" s="19"/>
      <c r="E755" s="20">
        <v>45646</v>
      </c>
      <c r="F755" s="20">
        <v>49298</v>
      </c>
      <c r="G755" s="21">
        <v>29545</v>
      </c>
      <c r="H755" s="22">
        <f t="shared" ca="1" si="22"/>
        <v>45</v>
      </c>
      <c r="I755" s="19" t="s">
        <v>26</v>
      </c>
      <c r="J755" s="18" t="s">
        <v>27</v>
      </c>
      <c r="K755" s="18"/>
      <c r="L755" s="23" t="s">
        <v>2893</v>
      </c>
      <c r="M755" s="23" t="s">
        <v>199</v>
      </c>
      <c r="N755" s="23" t="s">
        <v>1499</v>
      </c>
      <c r="O755" s="18">
        <v>1</v>
      </c>
      <c r="P755" s="24"/>
      <c r="Q755" s="25">
        <v>45748</v>
      </c>
      <c r="R755" s="13">
        <v>0</v>
      </c>
      <c r="S755" s="26" t="str">
        <f>VLOOKUP(C755,'[1]Bazaar Salary'!$B$6:$J$1193,9,0)</f>
        <v>02270010141422330010</v>
      </c>
      <c r="T755" s="25" t="s">
        <v>32</v>
      </c>
      <c r="U755" s="25" t="s">
        <v>430</v>
      </c>
      <c r="V755" s="25" t="s">
        <v>1093</v>
      </c>
      <c r="W755" s="27" t="s">
        <v>2894</v>
      </c>
      <c r="X755" s="28" t="s">
        <v>2895</v>
      </c>
      <c r="Y755" s="28"/>
      <c r="Z755" s="29" t="s">
        <v>37</v>
      </c>
    </row>
    <row r="756" spans="1:26" ht="30" customHeight="1" thickBot="1" x14ac:dyDescent="0.25">
      <c r="A756" s="17">
        <f t="shared" si="23"/>
        <v>755</v>
      </c>
      <c r="B756" s="18" t="s">
        <v>25</v>
      </c>
      <c r="C756" s="19">
        <v>3650298520967</v>
      </c>
      <c r="D756" s="19">
        <v>419</v>
      </c>
      <c r="E756" s="20">
        <v>44554</v>
      </c>
      <c r="F756" s="20">
        <v>48206</v>
      </c>
      <c r="G756" s="21">
        <v>35292</v>
      </c>
      <c r="H756" s="22">
        <f t="shared" ca="1" si="22"/>
        <v>29</v>
      </c>
      <c r="I756" s="19" t="s">
        <v>26</v>
      </c>
      <c r="J756" s="18" t="s">
        <v>27</v>
      </c>
      <c r="K756" s="18"/>
      <c r="L756" s="23" t="s">
        <v>2896</v>
      </c>
      <c r="M756" s="23" t="s">
        <v>729</v>
      </c>
      <c r="N756" s="23" t="s">
        <v>1551</v>
      </c>
      <c r="O756" s="18">
        <v>1</v>
      </c>
      <c r="P756" s="24"/>
      <c r="Q756" s="25">
        <v>42861</v>
      </c>
      <c r="R756" s="13">
        <v>0</v>
      </c>
      <c r="S756" s="26" t="str">
        <f>VLOOKUP(C756,'[1]Bazaar Salary'!$B$6:$J$1193,9,0)</f>
        <v>03530010094352890014</v>
      </c>
      <c r="T756" s="25" t="s">
        <v>32</v>
      </c>
      <c r="U756" s="25" t="s">
        <v>858</v>
      </c>
      <c r="V756" s="25" t="s">
        <v>1535</v>
      </c>
      <c r="W756" s="27" t="s">
        <v>2897</v>
      </c>
      <c r="X756" s="28" t="s">
        <v>2898</v>
      </c>
      <c r="Y756" s="28"/>
      <c r="Z756" s="29" t="s">
        <v>37</v>
      </c>
    </row>
    <row r="757" spans="1:26" ht="30" customHeight="1" thickBot="1" x14ac:dyDescent="0.25">
      <c r="A757" s="17">
        <f t="shared" si="23"/>
        <v>756</v>
      </c>
      <c r="B757" s="18" t="s">
        <v>25</v>
      </c>
      <c r="C757" s="19">
        <v>3650205924041</v>
      </c>
      <c r="D757" s="19">
        <v>1245</v>
      </c>
      <c r="E757" s="20">
        <v>44408</v>
      </c>
      <c r="F757" s="20">
        <v>48060</v>
      </c>
      <c r="G757" s="21">
        <v>33239</v>
      </c>
      <c r="H757" s="22">
        <f t="shared" ca="1" si="22"/>
        <v>35</v>
      </c>
      <c r="I757" s="18" t="s">
        <v>912</v>
      </c>
      <c r="J757" s="18" t="s">
        <v>27</v>
      </c>
      <c r="K757" s="18"/>
      <c r="L757" s="23" t="s">
        <v>2101</v>
      </c>
      <c r="M757" s="23" t="s">
        <v>2899</v>
      </c>
      <c r="N757" s="23" t="s">
        <v>1488</v>
      </c>
      <c r="O757" s="18">
        <v>1</v>
      </c>
      <c r="P757" s="24"/>
      <c r="Q757" s="25">
        <v>44317</v>
      </c>
      <c r="R757" s="13">
        <v>0</v>
      </c>
      <c r="S757" s="26" t="str">
        <f>VLOOKUP(C757,'[1]Bazaar Salary'!$B$6:$J$1193,9,0)</f>
        <v>03530010075002130012</v>
      </c>
      <c r="T757" s="25" t="s">
        <v>32</v>
      </c>
      <c r="U757" s="25" t="s">
        <v>858</v>
      </c>
      <c r="V757" s="25" t="s">
        <v>1535</v>
      </c>
      <c r="W757" s="27" t="s">
        <v>2900</v>
      </c>
      <c r="X757" s="28" t="s">
        <v>2901</v>
      </c>
      <c r="Y757" s="28"/>
      <c r="Z757" s="29" t="s">
        <v>37</v>
      </c>
    </row>
    <row r="758" spans="1:26" ht="30" customHeight="1" thickBot="1" x14ac:dyDescent="0.25">
      <c r="A758" s="17">
        <f t="shared" si="23"/>
        <v>757</v>
      </c>
      <c r="B758" s="18" t="s">
        <v>25</v>
      </c>
      <c r="C758" s="19">
        <v>3650295385635</v>
      </c>
      <c r="D758" s="19">
        <v>1451</v>
      </c>
      <c r="E758" s="20">
        <v>44806</v>
      </c>
      <c r="F758" s="20">
        <v>48459</v>
      </c>
      <c r="G758" s="21">
        <v>31547</v>
      </c>
      <c r="H758" s="22">
        <f t="shared" ca="1" si="22"/>
        <v>40</v>
      </c>
      <c r="I758" s="18" t="s">
        <v>912</v>
      </c>
      <c r="J758" s="18" t="s">
        <v>27</v>
      </c>
      <c r="K758" s="18"/>
      <c r="L758" s="23" t="s">
        <v>2902</v>
      </c>
      <c r="M758" s="23" t="s">
        <v>2903</v>
      </c>
      <c r="N758" s="23" t="s">
        <v>1488</v>
      </c>
      <c r="O758" s="18">
        <v>1</v>
      </c>
      <c r="P758" s="24"/>
      <c r="Q758" s="25">
        <v>45748</v>
      </c>
      <c r="R758" s="13">
        <v>0</v>
      </c>
      <c r="S758" s="26" t="str">
        <f>VLOOKUP(C758,'[1]Bazaar Salary'!$B$6:$J$1193,9,0)</f>
        <v>03530010100819050019</v>
      </c>
      <c r="T758" s="25" t="s">
        <v>32</v>
      </c>
      <c r="U758" s="25" t="s">
        <v>858</v>
      </c>
      <c r="V758" s="25" t="s">
        <v>1093</v>
      </c>
      <c r="W758" s="27" t="s">
        <v>2904</v>
      </c>
      <c r="X758" s="28" t="s">
        <v>2905</v>
      </c>
      <c r="Y758" s="28"/>
      <c r="Z758" s="29" t="s">
        <v>37</v>
      </c>
    </row>
    <row r="759" spans="1:26" ht="30" customHeight="1" thickBot="1" x14ac:dyDescent="0.25">
      <c r="A759" s="17">
        <f t="shared" si="23"/>
        <v>758</v>
      </c>
      <c r="B759" s="18" t="s">
        <v>25</v>
      </c>
      <c r="C759" s="19">
        <v>3650208925845</v>
      </c>
      <c r="D759" s="19">
        <v>556</v>
      </c>
      <c r="E759" s="20">
        <v>42453</v>
      </c>
      <c r="F759" s="20">
        <v>46105</v>
      </c>
      <c r="G759" s="21">
        <v>35696</v>
      </c>
      <c r="H759" s="22">
        <f t="shared" ca="1" si="22"/>
        <v>28</v>
      </c>
      <c r="I759" s="18" t="s">
        <v>912</v>
      </c>
      <c r="J759" s="18" t="s">
        <v>27</v>
      </c>
      <c r="K759" s="18"/>
      <c r="L759" s="23" t="s">
        <v>2906</v>
      </c>
      <c r="M759" s="23" t="s">
        <v>2907</v>
      </c>
      <c r="N759" s="23" t="s">
        <v>1488</v>
      </c>
      <c r="O759" s="18">
        <v>1</v>
      </c>
      <c r="P759" s="24"/>
      <c r="Q759" s="25">
        <v>42861</v>
      </c>
      <c r="R759" s="13">
        <v>0</v>
      </c>
      <c r="S759" s="26" t="str">
        <f>VLOOKUP(C759,'[1]Bazaar Salary'!$B$6:$J$1193,9,0)</f>
        <v>03530010045881940018</v>
      </c>
      <c r="T759" s="25" t="s">
        <v>32</v>
      </c>
      <c r="U759" s="25" t="s">
        <v>858</v>
      </c>
      <c r="V759" s="25" t="s">
        <v>1535</v>
      </c>
      <c r="W759" s="27" t="s">
        <v>2908</v>
      </c>
      <c r="X759" s="28" t="s">
        <v>2909</v>
      </c>
      <c r="Y759" s="28"/>
      <c r="Z759" s="29" t="s">
        <v>37</v>
      </c>
    </row>
    <row r="760" spans="1:26" ht="30" customHeight="1" thickBot="1" x14ac:dyDescent="0.25">
      <c r="A760" s="17">
        <f t="shared" si="23"/>
        <v>759</v>
      </c>
      <c r="B760" s="18" t="s">
        <v>25</v>
      </c>
      <c r="C760" s="19">
        <v>3650243751315</v>
      </c>
      <c r="D760" s="19">
        <v>1396</v>
      </c>
      <c r="E760" s="20">
        <v>42858</v>
      </c>
      <c r="F760" s="20">
        <v>46510</v>
      </c>
      <c r="G760" s="21">
        <v>36052</v>
      </c>
      <c r="H760" s="22">
        <f t="shared" ca="1" si="22"/>
        <v>27</v>
      </c>
      <c r="I760" s="18" t="s">
        <v>912</v>
      </c>
      <c r="J760" s="18" t="s">
        <v>27</v>
      </c>
      <c r="K760" s="18"/>
      <c r="L760" s="23" t="s">
        <v>2910</v>
      </c>
      <c r="M760" s="23" t="s">
        <v>2911</v>
      </c>
      <c r="N760" s="23" t="s">
        <v>1488</v>
      </c>
      <c r="O760" s="18">
        <v>1</v>
      </c>
      <c r="P760" s="24"/>
      <c r="Q760" s="25">
        <v>45748</v>
      </c>
      <c r="R760" s="13">
        <v>0</v>
      </c>
      <c r="S760" s="26" t="str">
        <f>VLOOKUP(C760,'[1]Bazaar Salary'!$B$6:$J$1193,9,0)</f>
        <v>03530010100536750010</v>
      </c>
      <c r="T760" s="25" t="s">
        <v>32</v>
      </c>
      <c r="U760" s="25" t="s">
        <v>858</v>
      </c>
      <c r="V760" s="25" t="s">
        <v>1356</v>
      </c>
      <c r="W760" s="27" t="s">
        <v>2912</v>
      </c>
      <c r="X760" s="28" t="s">
        <v>2913</v>
      </c>
      <c r="Y760" s="28"/>
      <c r="Z760" s="29" t="s">
        <v>37</v>
      </c>
    </row>
    <row r="761" spans="1:26" ht="30" customHeight="1" thickBot="1" x14ac:dyDescent="0.25">
      <c r="A761" s="17">
        <f t="shared" si="23"/>
        <v>760</v>
      </c>
      <c r="B761" s="18" t="s">
        <v>25</v>
      </c>
      <c r="C761" s="19">
        <v>3650253661199</v>
      </c>
      <c r="D761" s="19">
        <v>1836</v>
      </c>
      <c r="E761" s="20">
        <v>43299</v>
      </c>
      <c r="F761" s="20">
        <v>46952</v>
      </c>
      <c r="G761" s="21">
        <v>36692</v>
      </c>
      <c r="H761" s="22">
        <f t="shared" ca="1" si="22"/>
        <v>26</v>
      </c>
      <c r="I761" s="19" t="s">
        <v>26</v>
      </c>
      <c r="J761" s="18" t="s">
        <v>27</v>
      </c>
      <c r="K761" s="18"/>
      <c r="L761" s="23" t="s">
        <v>2914</v>
      </c>
      <c r="M761" s="23" t="s">
        <v>438</v>
      </c>
      <c r="N761" s="23" t="s">
        <v>1499</v>
      </c>
      <c r="O761" s="18">
        <v>1</v>
      </c>
      <c r="P761" s="24"/>
      <c r="Q761" s="25">
        <v>45748</v>
      </c>
      <c r="R761" s="13">
        <v>0</v>
      </c>
      <c r="S761" s="26" t="str">
        <f>VLOOKUP(C761,'[1]Bazaar Salary'!$B$6:$J$1193,9,0)</f>
        <v>03530010141935810018</v>
      </c>
      <c r="T761" s="25" t="s">
        <v>32</v>
      </c>
      <c r="U761" s="25" t="s">
        <v>858</v>
      </c>
      <c r="V761" s="25" t="s">
        <v>1093</v>
      </c>
      <c r="W761" s="27" t="s">
        <v>2915</v>
      </c>
      <c r="X761" s="28" t="s">
        <v>2916</v>
      </c>
      <c r="Y761" s="28"/>
      <c r="Z761" s="29" t="s">
        <v>37</v>
      </c>
    </row>
    <row r="762" spans="1:26" ht="30" customHeight="1" thickBot="1" x14ac:dyDescent="0.25">
      <c r="A762" s="17">
        <f t="shared" si="23"/>
        <v>761</v>
      </c>
      <c r="B762" s="18" t="s">
        <v>25</v>
      </c>
      <c r="C762" s="19">
        <v>3650287833613</v>
      </c>
      <c r="D762" s="19">
        <v>418</v>
      </c>
      <c r="E762" s="20">
        <v>45194</v>
      </c>
      <c r="F762" s="20">
        <v>48847</v>
      </c>
      <c r="G762" s="21">
        <v>34794</v>
      </c>
      <c r="H762" s="22">
        <f t="shared" ca="1" si="22"/>
        <v>31</v>
      </c>
      <c r="I762" s="19" t="s">
        <v>26</v>
      </c>
      <c r="J762" s="18" t="s">
        <v>27</v>
      </c>
      <c r="K762" s="18"/>
      <c r="L762" s="23" t="s">
        <v>2917</v>
      </c>
      <c r="M762" s="23" t="s">
        <v>438</v>
      </c>
      <c r="N762" s="23" t="s">
        <v>1499</v>
      </c>
      <c r="O762" s="18">
        <v>1</v>
      </c>
      <c r="P762" s="24"/>
      <c r="Q762" s="25">
        <v>42887</v>
      </c>
      <c r="R762" s="13">
        <v>0</v>
      </c>
      <c r="S762" s="26" t="str">
        <f>VLOOKUP(C762,'[1]Bazaar Salary'!$B$6:$J$1193,9,0)</f>
        <v>03530010045881330012</v>
      </c>
      <c r="T762" s="25" t="s">
        <v>32</v>
      </c>
      <c r="U762" s="25" t="s">
        <v>858</v>
      </c>
      <c r="V762" s="25" t="s">
        <v>1356</v>
      </c>
      <c r="W762" s="27" t="s">
        <v>2918</v>
      </c>
      <c r="X762" s="28" t="s">
        <v>2919</v>
      </c>
      <c r="Y762" s="28"/>
      <c r="Z762" s="29" t="s">
        <v>37</v>
      </c>
    </row>
    <row r="763" spans="1:26" ht="30" customHeight="1" thickBot="1" x14ac:dyDescent="0.25">
      <c r="A763" s="17">
        <f t="shared" si="23"/>
        <v>762</v>
      </c>
      <c r="B763" s="18" t="s">
        <v>25</v>
      </c>
      <c r="C763" s="19">
        <v>3650202979641</v>
      </c>
      <c r="D763" s="19">
        <v>417</v>
      </c>
      <c r="E763" s="20">
        <v>43496</v>
      </c>
      <c r="F763" s="20">
        <v>47149</v>
      </c>
      <c r="G763" s="21">
        <v>32335</v>
      </c>
      <c r="H763" s="22">
        <f t="shared" ca="1" si="22"/>
        <v>37</v>
      </c>
      <c r="I763" s="19" t="s">
        <v>26</v>
      </c>
      <c r="J763" s="18" t="s">
        <v>27</v>
      </c>
      <c r="K763" s="18"/>
      <c r="L763" s="23" t="s">
        <v>1323</v>
      </c>
      <c r="M763" s="23" t="s">
        <v>1290</v>
      </c>
      <c r="N763" s="23" t="s">
        <v>1499</v>
      </c>
      <c r="O763" s="18">
        <v>1</v>
      </c>
      <c r="P763" s="24"/>
      <c r="Q763" s="25">
        <v>42767</v>
      </c>
      <c r="R763" s="13">
        <v>0</v>
      </c>
      <c r="S763" s="26" t="str">
        <f>VLOOKUP(C763,'[1]Bazaar Salary'!$B$6:$J$1193,9,0)</f>
        <v>03530010067715710014</v>
      </c>
      <c r="T763" s="25" t="s">
        <v>32</v>
      </c>
      <c r="U763" s="25" t="s">
        <v>858</v>
      </c>
      <c r="V763" s="25" t="s">
        <v>1535</v>
      </c>
      <c r="W763" s="27" t="s">
        <v>2920</v>
      </c>
      <c r="X763" s="28" t="s">
        <v>2921</v>
      </c>
      <c r="Y763" s="28"/>
      <c r="Z763" s="29" t="s">
        <v>37</v>
      </c>
    </row>
    <row r="764" spans="1:26" ht="30" customHeight="1" thickBot="1" x14ac:dyDescent="0.25">
      <c r="A764" s="17">
        <f t="shared" si="23"/>
        <v>763</v>
      </c>
      <c r="B764" s="18" t="s">
        <v>25</v>
      </c>
      <c r="C764" s="19">
        <v>3650240160659</v>
      </c>
      <c r="D764" s="19">
        <v>1244</v>
      </c>
      <c r="E764" s="20">
        <v>42933</v>
      </c>
      <c r="F764" s="20">
        <v>46585</v>
      </c>
      <c r="G764" s="21">
        <v>36295</v>
      </c>
      <c r="H764" s="22">
        <f t="shared" ca="1" si="22"/>
        <v>27</v>
      </c>
      <c r="I764" s="19" t="s">
        <v>26</v>
      </c>
      <c r="J764" s="18" t="s">
        <v>27</v>
      </c>
      <c r="K764" s="18"/>
      <c r="L764" s="23" t="s">
        <v>2922</v>
      </c>
      <c r="M764" s="23" t="s">
        <v>1470</v>
      </c>
      <c r="N764" s="23" t="s">
        <v>1499</v>
      </c>
      <c r="O764" s="18">
        <v>1</v>
      </c>
      <c r="P764" s="24"/>
      <c r="Q764" s="25">
        <v>44317</v>
      </c>
      <c r="R764" s="13">
        <v>0</v>
      </c>
      <c r="S764" s="26" t="str">
        <f>VLOOKUP(C764,'[1]Bazaar Salary'!$B$6:$J$1193,9,0)</f>
        <v>10890010068109540010</v>
      </c>
      <c r="T764" s="25" t="s">
        <v>32</v>
      </c>
      <c r="U764" s="25" t="s">
        <v>858</v>
      </c>
      <c r="V764" s="25" t="s">
        <v>1093</v>
      </c>
      <c r="W764" s="27" t="s">
        <v>2923</v>
      </c>
      <c r="X764" s="28" t="s">
        <v>2924</v>
      </c>
      <c r="Y764" s="28"/>
      <c r="Z764" s="29" t="s">
        <v>37</v>
      </c>
    </row>
    <row r="765" spans="1:26" ht="30" customHeight="1" thickBot="1" x14ac:dyDescent="0.25">
      <c r="A765" s="17">
        <f t="shared" si="23"/>
        <v>764</v>
      </c>
      <c r="B765" s="18" t="s">
        <v>25</v>
      </c>
      <c r="C765" s="19">
        <v>3650243187971</v>
      </c>
      <c r="D765" s="19">
        <v>1440</v>
      </c>
      <c r="E765" s="20">
        <v>44796</v>
      </c>
      <c r="F765" s="20">
        <v>48449</v>
      </c>
      <c r="G765" s="21">
        <v>33789</v>
      </c>
      <c r="H765" s="22">
        <f t="shared" ca="1" si="22"/>
        <v>33</v>
      </c>
      <c r="I765" s="19" t="s">
        <v>26</v>
      </c>
      <c r="J765" s="18" t="s">
        <v>27</v>
      </c>
      <c r="K765" s="18"/>
      <c r="L765" s="23" t="s">
        <v>2925</v>
      </c>
      <c r="M765" s="23" t="s">
        <v>2926</v>
      </c>
      <c r="N765" s="23" t="s">
        <v>1499</v>
      </c>
      <c r="O765" s="18">
        <v>1</v>
      </c>
      <c r="P765" s="24"/>
      <c r="Q765" s="25">
        <v>45748</v>
      </c>
      <c r="R765" s="13">
        <v>0</v>
      </c>
      <c r="S765" s="26" t="str">
        <f>VLOOKUP(C765,'[1]Bazaar Salary'!$B$6:$J$1193,9,0)</f>
        <v>03530010100516780011</v>
      </c>
      <c r="T765" s="25" t="s">
        <v>32</v>
      </c>
      <c r="U765" s="25" t="s">
        <v>858</v>
      </c>
      <c r="V765" s="25" t="s">
        <v>1535</v>
      </c>
      <c r="W765" s="27" t="s">
        <v>2927</v>
      </c>
      <c r="X765" s="28" t="s">
        <v>2928</v>
      </c>
      <c r="Y765" s="28"/>
      <c r="Z765" s="29" t="s">
        <v>37</v>
      </c>
    </row>
    <row r="766" spans="1:26" ht="30" customHeight="1" thickBot="1" x14ac:dyDescent="0.25">
      <c r="A766" s="17">
        <f t="shared" si="23"/>
        <v>765</v>
      </c>
      <c r="B766" s="18" t="s">
        <v>25</v>
      </c>
      <c r="C766" s="19">
        <v>3650275580579</v>
      </c>
      <c r="D766" s="19">
        <v>1347</v>
      </c>
      <c r="E766" s="20">
        <v>43767</v>
      </c>
      <c r="F766" s="20">
        <v>47420</v>
      </c>
      <c r="G766" s="21">
        <v>37098</v>
      </c>
      <c r="H766" s="22">
        <f t="shared" ca="1" si="22"/>
        <v>24</v>
      </c>
      <c r="I766" s="19" t="s">
        <v>26</v>
      </c>
      <c r="J766" s="18" t="s">
        <v>27</v>
      </c>
      <c r="K766" s="18"/>
      <c r="L766" s="23" t="s">
        <v>2929</v>
      </c>
      <c r="M766" s="23" t="s">
        <v>133</v>
      </c>
      <c r="N766" s="23" t="s">
        <v>1499</v>
      </c>
      <c r="O766" s="18">
        <v>1</v>
      </c>
      <c r="P766" s="24"/>
      <c r="Q766" s="25">
        <v>45748</v>
      </c>
      <c r="R766" s="13">
        <v>0</v>
      </c>
      <c r="S766" s="26" t="str">
        <f>VLOOKUP(C766,'[1]Bazaar Salary'!$B$6:$J$1193,9,0)</f>
        <v>02880010084791800015</v>
      </c>
      <c r="T766" s="25" t="s">
        <v>32</v>
      </c>
      <c r="U766" s="25" t="s">
        <v>858</v>
      </c>
      <c r="V766" s="25" t="s">
        <v>884</v>
      </c>
      <c r="W766" s="27" t="s">
        <v>2930</v>
      </c>
      <c r="X766" s="28" t="s">
        <v>2931</v>
      </c>
      <c r="Y766" s="28"/>
      <c r="Z766" s="29" t="s">
        <v>37</v>
      </c>
    </row>
    <row r="767" spans="1:26" ht="30" customHeight="1" thickBot="1" x14ac:dyDescent="0.25">
      <c r="A767" s="17">
        <f t="shared" si="23"/>
        <v>766</v>
      </c>
      <c r="B767" s="18" t="s">
        <v>25</v>
      </c>
      <c r="C767" s="19">
        <v>3650203164825</v>
      </c>
      <c r="D767" s="19">
        <v>1352</v>
      </c>
      <c r="E767" s="20">
        <v>42607</v>
      </c>
      <c r="F767" s="20">
        <v>46259</v>
      </c>
      <c r="G767" s="21">
        <v>35724</v>
      </c>
      <c r="H767" s="22">
        <f t="shared" ca="1" si="22"/>
        <v>28</v>
      </c>
      <c r="I767" s="19" t="s">
        <v>26</v>
      </c>
      <c r="J767" s="18" t="s">
        <v>27</v>
      </c>
      <c r="K767" s="18"/>
      <c r="L767" s="23" t="s">
        <v>2932</v>
      </c>
      <c r="M767" s="23" t="s">
        <v>2933</v>
      </c>
      <c r="N767" s="23" t="s">
        <v>1499</v>
      </c>
      <c r="O767" s="18">
        <v>1</v>
      </c>
      <c r="P767" s="24"/>
      <c r="Q767" s="25">
        <v>45748</v>
      </c>
      <c r="R767" s="13">
        <v>0</v>
      </c>
      <c r="S767" s="26" t="str">
        <f>VLOOKUP(C767,'[1]Bazaar Salary'!$B$6:$J$1193,9,0)</f>
        <v>10890010091409140010</v>
      </c>
      <c r="T767" s="25" t="s">
        <v>32</v>
      </c>
      <c r="U767" s="25" t="s">
        <v>858</v>
      </c>
      <c r="V767" s="25" t="s">
        <v>1356</v>
      </c>
      <c r="W767" s="27" t="s">
        <v>2934</v>
      </c>
      <c r="X767" s="28" t="s">
        <v>2935</v>
      </c>
      <c r="Y767" s="28"/>
      <c r="Z767" s="29" t="s">
        <v>37</v>
      </c>
    </row>
    <row r="768" spans="1:26" ht="30" customHeight="1" thickBot="1" x14ac:dyDescent="0.25">
      <c r="A768" s="17">
        <f t="shared" si="23"/>
        <v>767</v>
      </c>
      <c r="B768" s="18" t="s">
        <v>25</v>
      </c>
      <c r="C768" s="19">
        <v>3650299059437</v>
      </c>
      <c r="D768" s="19">
        <v>1458</v>
      </c>
      <c r="E768" s="20">
        <v>45145</v>
      </c>
      <c r="F768" s="20">
        <v>48798</v>
      </c>
      <c r="G768" s="21">
        <v>33984</v>
      </c>
      <c r="H768" s="22">
        <f t="shared" ca="1" si="22"/>
        <v>33</v>
      </c>
      <c r="I768" s="19" t="s">
        <v>26</v>
      </c>
      <c r="J768" s="18" t="s">
        <v>27</v>
      </c>
      <c r="K768" s="18"/>
      <c r="L768" s="23" t="s">
        <v>1644</v>
      </c>
      <c r="M768" s="23" t="s">
        <v>935</v>
      </c>
      <c r="N768" s="23" t="s">
        <v>1499</v>
      </c>
      <c r="O768" s="18">
        <v>1</v>
      </c>
      <c r="P768" s="24"/>
      <c r="Q768" s="25">
        <v>45748</v>
      </c>
      <c r="R768" s="13">
        <v>0</v>
      </c>
      <c r="S768" s="26" t="str">
        <f>VLOOKUP(C768,'[1]Bazaar Salary'!$B$6:$J$1193,9,0)</f>
        <v>00660010100460570010</v>
      </c>
      <c r="T768" s="25" t="s">
        <v>32</v>
      </c>
      <c r="U768" s="25" t="s">
        <v>858</v>
      </c>
      <c r="V768" s="25" t="s">
        <v>1535</v>
      </c>
      <c r="W768" s="27" t="s">
        <v>2936</v>
      </c>
      <c r="X768" s="28" t="s">
        <v>2937</v>
      </c>
      <c r="Y768" s="28"/>
      <c r="Z768" s="29" t="s">
        <v>37</v>
      </c>
    </row>
    <row r="769" spans="1:26" ht="30" customHeight="1" thickBot="1" x14ac:dyDescent="0.25">
      <c r="A769" s="17">
        <f t="shared" si="23"/>
        <v>768</v>
      </c>
      <c r="B769" s="18" t="s">
        <v>25</v>
      </c>
      <c r="C769" s="19">
        <v>3840321985892</v>
      </c>
      <c r="D769" s="19">
        <v>1525</v>
      </c>
      <c r="E769" s="20">
        <v>45174</v>
      </c>
      <c r="F769" s="20">
        <v>48827</v>
      </c>
      <c r="G769" s="21">
        <v>29973</v>
      </c>
      <c r="H769" s="22">
        <f t="shared" ca="1" si="22"/>
        <v>44</v>
      </c>
      <c r="I769" s="18" t="s">
        <v>912</v>
      </c>
      <c r="J769" s="18" t="s">
        <v>66</v>
      </c>
      <c r="K769" s="18"/>
      <c r="L769" s="23" t="s">
        <v>2938</v>
      </c>
      <c r="M769" s="23" t="s">
        <v>2939</v>
      </c>
      <c r="N769" s="23" t="s">
        <v>1488</v>
      </c>
      <c r="O769" s="18">
        <v>1</v>
      </c>
      <c r="P769" s="24"/>
      <c r="Q769" s="25">
        <v>45748</v>
      </c>
      <c r="R769" s="13">
        <v>0</v>
      </c>
      <c r="S769" s="26" t="str">
        <f>VLOOKUP(C769,'[1]Bazaar Salary'!$B$6:$J$1193,9,0)</f>
        <v>07980010105041190014</v>
      </c>
      <c r="T769" s="25" t="s">
        <v>32</v>
      </c>
      <c r="U769" s="25" t="s">
        <v>248</v>
      </c>
      <c r="V769" s="25" t="s">
        <v>1093</v>
      </c>
      <c r="W769" s="27" t="s">
        <v>2940</v>
      </c>
      <c r="X769" s="28" t="s">
        <v>2941</v>
      </c>
      <c r="Y769" s="28"/>
      <c r="Z769" s="29" t="s">
        <v>37</v>
      </c>
    </row>
    <row r="770" spans="1:26" ht="30" customHeight="1" thickBot="1" x14ac:dyDescent="0.25">
      <c r="A770" s="17">
        <f t="shared" si="23"/>
        <v>769</v>
      </c>
      <c r="B770" s="18" t="s">
        <v>25</v>
      </c>
      <c r="C770" s="19">
        <v>3840116841971</v>
      </c>
      <c r="D770" s="19">
        <v>574</v>
      </c>
      <c r="E770" s="20">
        <v>42135</v>
      </c>
      <c r="F770" s="20">
        <v>45788</v>
      </c>
      <c r="G770" s="21">
        <v>23418</v>
      </c>
      <c r="H770" s="22">
        <f t="shared" ref="H770:H833" ca="1" si="24">INT((TODAY()-G770)/365)</f>
        <v>62</v>
      </c>
      <c r="I770" s="18" t="s">
        <v>912</v>
      </c>
      <c r="J770" s="18" t="s">
        <v>27</v>
      </c>
      <c r="K770" s="18"/>
      <c r="L770" s="23" t="s">
        <v>2942</v>
      </c>
      <c r="M770" s="23" t="s">
        <v>2943</v>
      </c>
      <c r="N770" s="23" t="s">
        <v>1488</v>
      </c>
      <c r="O770" s="18">
        <v>1</v>
      </c>
      <c r="P770" s="24"/>
      <c r="Q770" s="25">
        <v>41472</v>
      </c>
      <c r="R770" s="13">
        <v>0</v>
      </c>
      <c r="S770" s="26" t="str">
        <f>VLOOKUP(C770,'[1]Bazaar Salary'!$B$6:$J$1193,9,0)</f>
        <v>07980010045867520010</v>
      </c>
      <c r="T770" s="25" t="s">
        <v>32</v>
      </c>
      <c r="U770" s="25" t="s">
        <v>248</v>
      </c>
      <c r="V770" s="25" t="s">
        <v>1093</v>
      </c>
      <c r="W770" s="27" t="s">
        <v>2944</v>
      </c>
      <c r="X770" s="28" t="s">
        <v>2945</v>
      </c>
      <c r="Y770" s="28"/>
      <c r="Z770" s="29" t="s">
        <v>37</v>
      </c>
    </row>
    <row r="771" spans="1:26" ht="30" customHeight="1" thickBot="1" x14ac:dyDescent="0.25">
      <c r="A771" s="17">
        <f t="shared" si="23"/>
        <v>770</v>
      </c>
      <c r="B771" s="18" t="s">
        <v>25</v>
      </c>
      <c r="C771" s="19">
        <v>3840320874786</v>
      </c>
      <c r="D771" s="19">
        <v>1205</v>
      </c>
      <c r="E771" s="20">
        <v>45141</v>
      </c>
      <c r="F771" s="20">
        <v>48794</v>
      </c>
      <c r="G771" s="21">
        <v>30317</v>
      </c>
      <c r="H771" s="22">
        <f t="shared" ca="1" si="24"/>
        <v>43</v>
      </c>
      <c r="I771" s="18" t="s">
        <v>912</v>
      </c>
      <c r="J771" s="18" t="s">
        <v>66</v>
      </c>
      <c r="K771" s="18"/>
      <c r="L771" s="23" t="s">
        <v>2946</v>
      </c>
      <c r="M771" s="23" t="s">
        <v>1971</v>
      </c>
      <c r="N771" s="23" t="s">
        <v>1488</v>
      </c>
      <c r="O771" s="18">
        <v>1</v>
      </c>
      <c r="P771" s="24"/>
      <c r="Q771" s="25">
        <v>44228</v>
      </c>
      <c r="R771" s="13">
        <v>0</v>
      </c>
      <c r="S771" s="26" t="str">
        <f>VLOOKUP(C771,'[1]Bazaar Salary'!$B$6:$J$1193,9,0)</f>
        <v>07980010077756380010</v>
      </c>
      <c r="T771" s="25" t="s">
        <v>32</v>
      </c>
      <c r="U771" s="25" t="s">
        <v>248</v>
      </c>
      <c r="V771" s="25" t="s">
        <v>1093</v>
      </c>
      <c r="W771" s="27" t="s">
        <v>2947</v>
      </c>
      <c r="X771" s="28" t="s">
        <v>2948</v>
      </c>
      <c r="Y771" s="28"/>
      <c r="Z771" s="29" t="s">
        <v>37</v>
      </c>
    </row>
    <row r="772" spans="1:26" ht="30" customHeight="1" thickBot="1" x14ac:dyDescent="0.25">
      <c r="A772" s="17">
        <f t="shared" ref="A772:A835" si="25">A771+1</f>
        <v>771</v>
      </c>
      <c r="B772" s="18" t="s">
        <v>25</v>
      </c>
      <c r="C772" s="19">
        <v>3840354167269</v>
      </c>
      <c r="D772" s="19">
        <v>575</v>
      </c>
      <c r="E772" s="20">
        <v>44022</v>
      </c>
      <c r="F772" s="20">
        <v>47674</v>
      </c>
      <c r="G772" s="21">
        <v>29580</v>
      </c>
      <c r="H772" s="22">
        <f t="shared" ca="1" si="24"/>
        <v>45</v>
      </c>
      <c r="I772" s="18" t="s">
        <v>912</v>
      </c>
      <c r="J772" s="18" t="s">
        <v>27</v>
      </c>
      <c r="K772" s="18"/>
      <c r="L772" s="23" t="s">
        <v>2949</v>
      </c>
      <c r="M772" s="23" t="s">
        <v>2950</v>
      </c>
      <c r="N772" s="23" t="s">
        <v>1488</v>
      </c>
      <c r="O772" s="18">
        <v>1</v>
      </c>
      <c r="P772" s="24"/>
      <c r="Q772" s="25">
        <v>41579</v>
      </c>
      <c r="R772" s="13">
        <v>0</v>
      </c>
      <c r="S772" s="26" t="str">
        <f>VLOOKUP(C772,'[1]Bazaar Salary'!$B$6:$J$1193,9,0)</f>
        <v>07980010045959290016</v>
      </c>
      <c r="T772" s="25" t="s">
        <v>32</v>
      </c>
      <c r="U772" s="25" t="s">
        <v>248</v>
      </c>
      <c r="V772" s="25" t="s">
        <v>1093</v>
      </c>
      <c r="W772" s="27" t="s">
        <v>2951</v>
      </c>
      <c r="X772" s="28" t="s">
        <v>2952</v>
      </c>
      <c r="Y772" s="28"/>
      <c r="Z772" s="29" t="s">
        <v>37</v>
      </c>
    </row>
    <row r="773" spans="1:26" ht="30" customHeight="1" thickBot="1" x14ac:dyDescent="0.25">
      <c r="A773" s="17">
        <f t="shared" si="25"/>
        <v>772</v>
      </c>
      <c r="B773" s="18" t="s">
        <v>25</v>
      </c>
      <c r="C773" s="19">
        <v>3840360822231</v>
      </c>
      <c r="D773" s="19">
        <v>577</v>
      </c>
      <c r="E773" s="20">
        <v>42383</v>
      </c>
      <c r="F773" s="20">
        <v>46036</v>
      </c>
      <c r="G773" s="21">
        <v>33217</v>
      </c>
      <c r="H773" s="22">
        <f t="shared" ca="1" si="24"/>
        <v>35</v>
      </c>
      <c r="I773" s="18" t="s">
        <v>912</v>
      </c>
      <c r="J773" s="18" t="s">
        <v>27</v>
      </c>
      <c r="K773" s="18"/>
      <c r="L773" s="23" t="s">
        <v>2953</v>
      </c>
      <c r="M773" s="23" t="s">
        <v>1570</v>
      </c>
      <c r="N773" s="23" t="s">
        <v>1488</v>
      </c>
      <c r="O773" s="18">
        <v>1</v>
      </c>
      <c r="P773" s="24"/>
      <c r="Q773" s="25">
        <v>41736</v>
      </c>
      <c r="R773" s="13">
        <v>0</v>
      </c>
      <c r="S773" s="26" t="str">
        <f>VLOOKUP(C773,'[1]Bazaar Salary'!$B$6:$J$1193,9,0)</f>
        <v>07980010045751920038</v>
      </c>
      <c r="T773" s="25" t="s">
        <v>32</v>
      </c>
      <c r="U773" s="25" t="s">
        <v>248</v>
      </c>
      <c r="V773" s="25" t="s">
        <v>1093</v>
      </c>
      <c r="W773" s="27" t="s">
        <v>2954</v>
      </c>
      <c r="X773" s="28" t="s">
        <v>2955</v>
      </c>
      <c r="Y773" s="28"/>
      <c r="Z773" s="29" t="s">
        <v>37</v>
      </c>
    </row>
    <row r="774" spans="1:26" ht="30" customHeight="1" thickBot="1" x14ac:dyDescent="0.25">
      <c r="A774" s="17">
        <f t="shared" si="25"/>
        <v>773</v>
      </c>
      <c r="B774" s="18" t="s">
        <v>25</v>
      </c>
      <c r="C774" s="19">
        <v>3840121327803</v>
      </c>
      <c r="D774" s="19">
        <v>1691</v>
      </c>
      <c r="E774" s="21">
        <v>43067</v>
      </c>
      <c r="F774" s="21">
        <v>46719</v>
      </c>
      <c r="G774" s="21">
        <v>35346</v>
      </c>
      <c r="H774" s="22">
        <f t="shared" ca="1" si="24"/>
        <v>29</v>
      </c>
      <c r="I774" s="18" t="s">
        <v>26</v>
      </c>
      <c r="J774" s="18" t="s">
        <v>27</v>
      </c>
      <c r="K774" s="23"/>
      <c r="L774" s="24" t="s">
        <v>2956</v>
      </c>
      <c r="M774" s="33" t="s">
        <v>1100</v>
      </c>
      <c r="N774" s="23" t="s">
        <v>1499</v>
      </c>
      <c r="O774" s="18">
        <v>1</v>
      </c>
      <c r="P774" s="24"/>
      <c r="Q774" s="25">
        <v>45748</v>
      </c>
      <c r="R774" s="13">
        <v>0</v>
      </c>
      <c r="S774" s="26" t="str">
        <f>VLOOKUP(C774,'[1]Bazaar Salary'!$B$6:$J$1193,9,0)</f>
        <v>06150010050097260026</v>
      </c>
      <c r="T774" s="25" t="s">
        <v>32</v>
      </c>
      <c r="U774" s="25" t="s">
        <v>248</v>
      </c>
      <c r="V774" s="25" t="s">
        <v>320</v>
      </c>
      <c r="W774" s="33" t="s">
        <v>2957</v>
      </c>
      <c r="X774" s="28" t="s">
        <v>2958</v>
      </c>
      <c r="Y774" s="28"/>
      <c r="Z774" s="29" t="s">
        <v>37</v>
      </c>
    </row>
    <row r="775" spans="1:26" ht="30" customHeight="1" thickBot="1" x14ac:dyDescent="0.25">
      <c r="A775" s="17">
        <f t="shared" si="25"/>
        <v>774</v>
      </c>
      <c r="B775" s="18" t="s">
        <v>25</v>
      </c>
      <c r="C775" s="19">
        <v>3840393994855</v>
      </c>
      <c r="D775" s="19">
        <v>203</v>
      </c>
      <c r="E775" s="20">
        <v>42915</v>
      </c>
      <c r="F775" s="20">
        <v>46567</v>
      </c>
      <c r="G775" s="21">
        <v>30362</v>
      </c>
      <c r="H775" s="22">
        <f t="shared" ca="1" si="24"/>
        <v>43</v>
      </c>
      <c r="I775" s="18" t="s">
        <v>912</v>
      </c>
      <c r="J775" s="18" t="s">
        <v>27</v>
      </c>
      <c r="K775" s="18"/>
      <c r="L775" s="23" t="s">
        <v>2959</v>
      </c>
      <c r="M775" s="23" t="s">
        <v>1791</v>
      </c>
      <c r="N775" s="23" t="s">
        <v>1499</v>
      </c>
      <c r="O775" s="18">
        <v>1</v>
      </c>
      <c r="P775" s="24"/>
      <c r="Q775" s="25">
        <v>41034</v>
      </c>
      <c r="R775" s="13">
        <v>0</v>
      </c>
      <c r="S775" s="26" t="str">
        <f>VLOOKUP(C775,'[1]Bazaar Salary'!$B$6:$J$1193,9,0)</f>
        <v>07980010010516570015</v>
      </c>
      <c r="T775" s="25" t="s">
        <v>32</v>
      </c>
      <c r="U775" s="25" t="s">
        <v>248</v>
      </c>
      <c r="V775" s="25" t="s">
        <v>1356</v>
      </c>
      <c r="W775" s="27" t="s">
        <v>2960</v>
      </c>
      <c r="X775" s="28" t="s">
        <v>2961</v>
      </c>
      <c r="Y775" s="28"/>
      <c r="Z775" s="29" t="s">
        <v>37</v>
      </c>
    </row>
    <row r="776" spans="1:26" ht="30" customHeight="1" thickBot="1" x14ac:dyDescent="0.25">
      <c r="A776" s="17">
        <f t="shared" si="25"/>
        <v>775</v>
      </c>
      <c r="B776" s="18" t="s">
        <v>25</v>
      </c>
      <c r="C776" s="19">
        <v>3840350890641</v>
      </c>
      <c r="D776" s="19">
        <v>1755</v>
      </c>
      <c r="E776" s="20">
        <v>44812</v>
      </c>
      <c r="F776" s="20">
        <v>48465</v>
      </c>
      <c r="G776" s="21">
        <v>37874</v>
      </c>
      <c r="H776" s="22">
        <f t="shared" ca="1" si="24"/>
        <v>22</v>
      </c>
      <c r="I776" s="19" t="s">
        <v>26</v>
      </c>
      <c r="J776" s="18" t="s">
        <v>27</v>
      </c>
      <c r="K776" s="18"/>
      <c r="L776" s="23" t="s">
        <v>2962</v>
      </c>
      <c r="M776" s="23" t="s">
        <v>2963</v>
      </c>
      <c r="N776" s="23" t="s">
        <v>1499</v>
      </c>
      <c r="O776" s="18">
        <v>1</v>
      </c>
      <c r="P776" s="24"/>
      <c r="Q776" s="25">
        <v>45748</v>
      </c>
      <c r="R776" s="13">
        <v>0</v>
      </c>
      <c r="S776" s="26" t="str">
        <f>VLOOKUP(C776,'[1]Bazaar Salary'!$B$6:$J$1193,9,0)</f>
        <v>08870010139367850011</v>
      </c>
      <c r="T776" s="25" t="s">
        <v>32</v>
      </c>
      <c r="U776" s="25" t="s">
        <v>248</v>
      </c>
      <c r="V776" s="25" t="s">
        <v>1093</v>
      </c>
      <c r="W776" s="27" t="s">
        <v>2964</v>
      </c>
      <c r="X776" s="28" t="s">
        <v>2965</v>
      </c>
      <c r="Y776" s="28"/>
      <c r="Z776" s="29" t="s">
        <v>37</v>
      </c>
    </row>
    <row r="777" spans="1:26" ht="30" customHeight="1" thickBot="1" x14ac:dyDescent="0.25">
      <c r="A777" s="17">
        <f t="shared" si="25"/>
        <v>776</v>
      </c>
      <c r="B777" s="18" t="s">
        <v>25</v>
      </c>
      <c r="C777" s="19">
        <v>3820131969217</v>
      </c>
      <c r="D777" s="19">
        <v>1309</v>
      </c>
      <c r="E777" s="20">
        <v>44442</v>
      </c>
      <c r="F777" s="20">
        <v>48094</v>
      </c>
      <c r="G777" s="21">
        <v>37866</v>
      </c>
      <c r="H777" s="22">
        <f t="shared" ca="1" si="24"/>
        <v>22</v>
      </c>
      <c r="I777" s="19" t="s">
        <v>26</v>
      </c>
      <c r="J777" s="18" t="s">
        <v>27</v>
      </c>
      <c r="K777" s="18"/>
      <c r="L777" s="23" t="s">
        <v>2966</v>
      </c>
      <c r="M777" s="23" t="s">
        <v>385</v>
      </c>
      <c r="N777" s="23" t="s">
        <v>1499</v>
      </c>
      <c r="O777" s="18">
        <v>1</v>
      </c>
      <c r="P777" s="24"/>
      <c r="Q777" s="25">
        <v>45748</v>
      </c>
      <c r="R777" s="13">
        <v>0</v>
      </c>
      <c r="S777" s="26" t="str">
        <f>VLOOKUP(C777,'[1]Bazaar Salary'!$B$6:$J$1193,9,0)</f>
        <v>07980010083851190011</v>
      </c>
      <c r="T777" s="25" t="s">
        <v>32</v>
      </c>
      <c r="U777" s="25" t="s">
        <v>248</v>
      </c>
      <c r="V777" s="25" t="s">
        <v>884</v>
      </c>
      <c r="W777" s="27" t="s">
        <v>2967</v>
      </c>
      <c r="X777" s="28" t="s">
        <v>2968</v>
      </c>
      <c r="Y777" s="28"/>
      <c r="Z777" s="29" t="s">
        <v>37</v>
      </c>
    </row>
    <row r="778" spans="1:26" ht="30" customHeight="1" thickBot="1" x14ac:dyDescent="0.25">
      <c r="A778" s="17">
        <f t="shared" si="25"/>
        <v>777</v>
      </c>
      <c r="B778" s="18" t="s">
        <v>25</v>
      </c>
      <c r="C778" s="19">
        <v>3840322595515</v>
      </c>
      <c r="D778" s="19">
        <v>202</v>
      </c>
      <c r="E778" s="20">
        <v>43706</v>
      </c>
      <c r="F778" s="20">
        <v>47359</v>
      </c>
      <c r="G778" s="21">
        <v>28856</v>
      </c>
      <c r="H778" s="22">
        <f t="shared" ca="1" si="24"/>
        <v>47</v>
      </c>
      <c r="I778" s="19" t="s">
        <v>26</v>
      </c>
      <c r="J778" s="18" t="s">
        <v>27</v>
      </c>
      <c r="K778" s="18"/>
      <c r="L778" s="23" t="s">
        <v>2969</v>
      </c>
      <c r="M778" s="23" t="s">
        <v>1664</v>
      </c>
      <c r="N778" s="24" t="s">
        <v>1499</v>
      </c>
      <c r="O778" s="18">
        <v>1</v>
      </c>
      <c r="P778" s="24"/>
      <c r="Q778" s="25">
        <v>41337</v>
      </c>
      <c r="R778" s="13">
        <v>0</v>
      </c>
      <c r="S778" s="26" t="str">
        <f>VLOOKUP(C778,'[1]Bazaar Salary'!$B$6:$J$1193,9,0)</f>
        <v>07980010045812320010</v>
      </c>
      <c r="T778" s="25" t="s">
        <v>32</v>
      </c>
      <c r="U778" s="25" t="s">
        <v>248</v>
      </c>
      <c r="V778" s="25" t="s">
        <v>2394</v>
      </c>
      <c r="W778" s="27" t="s">
        <v>2970</v>
      </c>
      <c r="X778" s="28" t="s">
        <v>2971</v>
      </c>
      <c r="Y778" s="28"/>
      <c r="Z778" s="29" t="s">
        <v>37</v>
      </c>
    </row>
    <row r="779" spans="1:26" ht="30" customHeight="1" thickBot="1" x14ac:dyDescent="0.25">
      <c r="A779" s="17">
        <f t="shared" si="25"/>
        <v>778</v>
      </c>
      <c r="B779" s="18" t="s">
        <v>25</v>
      </c>
      <c r="C779" s="19">
        <v>3840396568989</v>
      </c>
      <c r="D779" s="19">
        <v>1246</v>
      </c>
      <c r="E779" s="20">
        <v>43687</v>
      </c>
      <c r="F779" s="20">
        <v>47340</v>
      </c>
      <c r="G779" s="21">
        <v>36966</v>
      </c>
      <c r="H779" s="22">
        <f t="shared" ca="1" si="24"/>
        <v>25</v>
      </c>
      <c r="I779" s="19" t="s">
        <v>26</v>
      </c>
      <c r="J779" s="18" t="s">
        <v>27</v>
      </c>
      <c r="K779" s="18"/>
      <c r="L779" s="23" t="s">
        <v>2972</v>
      </c>
      <c r="M779" s="23" t="s">
        <v>2973</v>
      </c>
      <c r="N779" s="23" t="s">
        <v>1499</v>
      </c>
      <c r="O779" s="18">
        <v>1</v>
      </c>
      <c r="P779" s="24"/>
      <c r="Q779" s="25">
        <v>44317</v>
      </c>
      <c r="R779" s="13">
        <v>0</v>
      </c>
      <c r="S779" s="26" t="str">
        <f>VLOOKUP(C779,'[1]Bazaar Salary'!$B$6:$J$1193,9,0)</f>
        <v>07980010073302730011</v>
      </c>
      <c r="T779" s="25" t="s">
        <v>32</v>
      </c>
      <c r="U779" s="25" t="s">
        <v>248</v>
      </c>
      <c r="V779" s="25" t="s">
        <v>884</v>
      </c>
      <c r="W779" s="27" t="s">
        <v>2974</v>
      </c>
      <c r="X779" s="28" t="s">
        <v>2975</v>
      </c>
      <c r="Y779" s="28"/>
      <c r="Z779" s="29" t="s">
        <v>37</v>
      </c>
    </row>
    <row r="780" spans="1:26" ht="30" customHeight="1" thickBot="1" x14ac:dyDescent="0.25">
      <c r="A780" s="17">
        <f t="shared" si="25"/>
        <v>779</v>
      </c>
      <c r="B780" s="18" t="s">
        <v>25</v>
      </c>
      <c r="C780" s="19">
        <v>3840372942097</v>
      </c>
      <c r="D780" s="19">
        <v>1649</v>
      </c>
      <c r="E780" s="20">
        <v>43785</v>
      </c>
      <c r="F780" s="20">
        <v>47438</v>
      </c>
      <c r="G780" s="21">
        <v>37188</v>
      </c>
      <c r="H780" s="22">
        <f t="shared" ca="1" si="24"/>
        <v>24</v>
      </c>
      <c r="I780" s="19" t="s">
        <v>26</v>
      </c>
      <c r="J780" s="18" t="s">
        <v>27</v>
      </c>
      <c r="K780" s="18"/>
      <c r="L780" s="23" t="s">
        <v>2976</v>
      </c>
      <c r="M780" s="23" t="s">
        <v>2977</v>
      </c>
      <c r="N780" s="23" t="s">
        <v>1499</v>
      </c>
      <c r="O780" s="18">
        <v>1</v>
      </c>
      <c r="P780" s="24"/>
      <c r="Q780" s="25">
        <v>45748</v>
      </c>
      <c r="R780" s="13">
        <v>0</v>
      </c>
      <c r="S780" s="26" t="str">
        <f>VLOOKUP(C780,'[1]Bazaar Salary'!$B$6:$J$1193,9,0)</f>
        <v>07980010132699320019</v>
      </c>
      <c r="T780" s="25" t="s">
        <v>32</v>
      </c>
      <c r="U780" s="25" t="s">
        <v>248</v>
      </c>
      <c r="V780" s="25" t="s">
        <v>1093</v>
      </c>
      <c r="W780" s="27" t="s">
        <v>2978</v>
      </c>
      <c r="X780" s="28" t="s">
        <v>2979</v>
      </c>
      <c r="Y780" s="28"/>
      <c r="Z780" s="29" t="s">
        <v>37</v>
      </c>
    </row>
    <row r="781" spans="1:26" ht="30" customHeight="1" thickBot="1" x14ac:dyDescent="0.25">
      <c r="A781" s="17">
        <f t="shared" si="25"/>
        <v>780</v>
      </c>
      <c r="B781" s="18" t="s">
        <v>25</v>
      </c>
      <c r="C781" s="19">
        <v>3840236312493</v>
      </c>
      <c r="D781" s="19"/>
      <c r="E781" s="20">
        <v>45197</v>
      </c>
      <c r="F781" s="20">
        <v>48850</v>
      </c>
      <c r="G781" s="21">
        <v>38235</v>
      </c>
      <c r="H781" s="22">
        <f t="shared" ca="1" si="24"/>
        <v>21</v>
      </c>
      <c r="I781" s="19" t="s">
        <v>26</v>
      </c>
      <c r="J781" s="18" t="s">
        <v>27</v>
      </c>
      <c r="K781" s="18"/>
      <c r="L781" s="23" t="s">
        <v>2980</v>
      </c>
      <c r="M781" s="23" t="s">
        <v>517</v>
      </c>
      <c r="N781" s="23" t="s">
        <v>1499</v>
      </c>
      <c r="O781" s="18">
        <v>1</v>
      </c>
      <c r="P781" s="24"/>
      <c r="Q781" s="25">
        <v>45748</v>
      </c>
      <c r="R781" s="13">
        <v>0</v>
      </c>
      <c r="S781" s="26" t="str">
        <f>VLOOKUP(C781,'[1]Bazaar Salary'!$B$6:$J$1193,9,0)</f>
        <v>05300010139229510013</v>
      </c>
      <c r="T781" s="25" t="s">
        <v>32</v>
      </c>
      <c r="U781" s="25" t="s">
        <v>248</v>
      </c>
      <c r="V781" s="25" t="s">
        <v>1093</v>
      </c>
      <c r="W781" s="27" t="s">
        <v>2981</v>
      </c>
      <c r="X781" s="28" t="s">
        <v>2982</v>
      </c>
      <c r="Y781" s="28"/>
      <c r="Z781" s="29" t="s">
        <v>37</v>
      </c>
    </row>
    <row r="782" spans="1:26" ht="30" customHeight="1" thickBot="1" x14ac:dyDescent="0.25">
      <c r="A782" s="17">
        <f t="shared" si="25"/>
        <v>781</v>
      </c>
      <c r="B782" s="18" t="s">
        <v>25</v>
      </c>
      <c r="C782" s="19">
        <v>3840322631801</v>
      </c>
      <c r="D782" s="19">
        <v>1524</v>
      </c>
      <c r="E782" s="20">
        <v>44076</v>
      </c>
      <c r="F782" s="20">
        <v>47728</v>
      </c>
      <c r="G782" s="21">
        <v>30703</v>
      </c>
      <c r="H782" s="22">
        <f t="shared" ca="1" si="24"/>
        <v>42</v>
      </c>
      <c r="I782" s="19" t="s">
        <v>26</v>
      </c>
      <c r="J782" s="18" t="s">
        <v>27</v>
      </c>
      <c r="K782" s="18"/>
      <c r="L782" s="23" t="s">
        <v>2983</v>
      </c>
      <c r="M782" s="23" t="s">
        <v>2984</v>
      </c>
      <c r="N782" s="23" t="s">
        <v>1499</v>
      </c>
      <c r="O782" s="18">
        <v>1</v>
      </c>
      <c r="P782" s="24"/>
      <c r="Q782" s="25">
        <v>45748</v>
      </c>
      <c r="R782" s="13">
        <v>0</v>
      </c>
      <c r="S782" s="26" t="str">
        <f>VLOOKUP(C782,'[1]Bazaar Salary'!$B$6:$J$1193,9,0)</f>
        <v>07980010110082160011</v>
      </c>
      <c r="T782" s="25" t="s">
        <v>32</v>
      </c>
      <c r="U782" s="25" t="s">
        <v>248</v>
      </c>
      <c r="V782" s="25" t="s">
        <v>1093</v>
      </c>
      <c r="W782" s="27" t="s">
        <v>2985</v>
      </c>
      <c r="X782" s="28" t="s">
        <v>2986</v>
      </c>
      <c r="Y782" s="28"/>
      <c r="Z782" s="29" t="s">
        <v>37</v>
      </c>
    </row>
    <row r="783" spans="1:26" ht="30" customHeight="1" thickBot="1" x14ac:dyDescent="0.25">
      <c r="A783" s="17">
        <f t="shared" si="25"/>
        <v>782</v>
      </c>
      <c r="B783" s="18" t="s">
        <v>25</v>
      </c>
      <c r="C783" s="19">
        <v>3840247941301</v>
      </c>
      <c r="D783" s="19">
        <v>1472</v>
      </c>
      <c r="E783" s="20">
        <v>42891</v>
      </c>
      <c r="F783" s="20">
        <v>46543</v>
      </c>
      <c r="G783" s="21">
        <v>35981</v>
      </c>
      <c r="H783" s="22">
        <f t="shared" ca="1" si="24"/>
        <v>27</v>
      </c>
      <c r="I783" s="19" t="s">
        <v>26</v>
      </c>
      <c r="J783" s="18" t="s">
        <v>27</v>
      </c>
      <c r="K783" s="18"/>
      <c r="L783" s="23" t="s">
        <v>556</v>
      </c>
      <c r="M783" s="23" t="s">
        <v>569</v>
      </c>
      <c r="N783" s="23" t="s">
        <v>1499</v>
      </c>
      <c r="O783" s="18">
        <v>1</v>
      </c>
      <c r="P783" s="24"/>
      <c r="Q783" s="25">
        <v>45748</v>
      </c>
      <c r="R783" s="13">
        <v>0</v>
      </c>
      <c r="S783" s="26" t="str">
        <f>VLOOKUP(C783,'[1]Bazaar Salary'!$B$6:$J$1193,9,0)</f>
        <v>07980010102280220010</v>
      </c>
      <c r="T783" s="25" t="s">
        <v>32</v>
      </c>
      <c r="U783" s="25" t="s">
        <v>248</v>
      </c>
      <c r="V783" s="25" t="s">
        <v>1093</v>
      </c>
      <c r="W783" s="27" t="s">
        <v>2987</v>
      </c>
      <c r="X783" s="28" t="s">
        <v>2988</v>
      </c>
      <c r="Y783" s="28"/>
      <c r="Z783" s="29" t="s">
        <v>37</v>
      </c>
    </row>
    <row r="784" spans="1:26" ht="30" customHeight="1" thickBot="1" x14ac:dyDescent="0.25">
      <c r="A784" s="17">
        <f t="shared" si="25"/>
        <v>783</v>
      </c>
      <c r="B784" s="18" t="s">
        <v>25</v>
      </c>
      <c r="C784" s="19">
        <v>3840384553175</v>
      </c>
      <c r="D784" s="19">
        <v>1159</v>
      </c>
      <c r="E784" s="20">
        <v>44591</v>
      </c>
      <c r="F784" s="20">
        <v>48243</v>
      </c>
      <c r="G784" s="21">
        <v>25848</v>
      </c>
      <c r="H784" s="22">
        <f t="shared" ca="1" si="24"/>
        <v>55</v>
      </c>
      <c r="I784" s="19" t="s">
        <v>26</v>
      </c>
      <c r="J784" s="18" t="s">
        <v>27</v>
      </c>
      <c r="K784" s="18"/>
      <c r="L784" s="23" t="s">
        <v>133</v>
      </c>
      <c r="M784" s="23" t="s">
        <v>1664</v>
      </c>
      <c r="N784" s="23" t="s">
        <v>1499</v>
      </c>
      <c r="O784" s="18">
        <v>1</v>
      </c>
      <c r="P784" s="24"/>
      <c r="Q784" s="25">
        <v>43678</v>
      </c>
      <c r="R784" s="13">
        <v>0</v>
      </c>
      <c r="S784" s="26" t="str">
        <f>VLOOKUP(C784,'[1]Bazaar Salary'!$B$6:$J$1193,9,0)</f>
        <v>51300020048618550011</v>
      </c>
      <c r="T784" s="25" t="s">
        <v>32</v>
      </c>
      <c r="U784" s="25" t="s">
        <v>248</v>
      </c>
      <c r="V784" s="25" t="s">
        <v>1701</v>
      </c>
      <c r="W784" s="27" t="s">
        <v>2989</v>
      </c>
      <c r="X784" s="28" t="s">
        <v>2990</v>
      </c>
      <c r="Y784" s="28"/>
      <c r="Z784" s="29" t="s">
        <v>37</v>
      </c>
    </row>
    <row r="785" spans="1:26" ht="30" customHeight="1" thickBot="1" x14ac:dyDescent="0.25">
      <c r="A785" s="17">
        <f t="shared" si="25"/>
        <v>784</v>
      </c>
      <c r="B785" s="18" t="s">
        <v>25</v>
      </c>
      <c r="C785" s="19">
        <v>3840105282839</v>
      </c>
      <c r="D785" s="19">
        <v>1138</v>
      </c>
      <c r="E785" s="20">
        <v>43767</v>
      </c>
      <c r="F785" s="20">
        <v>47420</v>
      </c>
      <c r="G785" s="21">
        <v>32063</v>
      </c>
      <c r="H785" s="22">
        <f t="shared" ca="1" si="24"/>
        <v>38</v>
      </c>
      <c r="I785" s="19" t="s">
        <v>26</v>
      </c>
      <c r="J785" s="18" t="s">
        <v>27</v>
      </c>
      <c r="K785" s="18"/>
      <c r="L785" s="23" t="s">
        <v>2991</v>
      </c>
      <c r="M785" s="23" t="s">
        <v>2992</v>
      </c>
      <c r="N785" s="23" t="s">
        <v>1499</v>
      </c>
      <c r="O785" s="18">
        <v>1</v>
      </c>
      <c r="P785" s="24"/>
      <c r="Q785" s="25">
        <v>43678</v>
      </c>
      <c r="R785" s="13">
        <v>0</v>
      </c>
      <c r="S785" s="26" t="str">
        <f>VLOOKUP(C785,'[1]Bazaar Salary'!$B$6:$J$1193,9,0)</f>
        <v>06150010054925980021</v>
      </c>
      <c r="T785" s="25" t="s">
        <v>32</v>
      </c>
      <c r="U785" s="25" t="s">
        <v>248</v>
      </c>
      <c r="V785" s="25" t="s">
        <v>1356</v>
      </c>
      <c r="W785" s="27" t="s">
        <v>2993</v>
      </c>
      <c r="X785" s="28" t="s">
        <v>2994</v>
      </c>
      <c r="Y785" s="28"/>
      <c r="Z785" s="29" t="s">
        <v>37</v>
      </c>
    </row>
    <row r="786" spans="1:26" ht="30" customHeight="1" thickBot="1" x14ac:dyDescent="0.25">
      <c r="A786" s="17">
        <f t="shared" si="25"/>
        <v>785</v>
      </c>
      <c r="B786" s="18" t="s">
        <v>25</v>
      </c>
      <c r="C786" s="19">
        <v>3630468352323</v>
      </c>
      <c r="D786" s="19" t="s">
        <v>542</v>
      </c>
      <c r="E786" s="20">
        <v>42650</v>
      </c>
      <c r="F786" s="20" t="s">
        <v>196</v>
      </c>
      <c r="G786" s="21">
        <v>20455</v>
      </c>
      <c r="H786" s="22">
        <f t="shared" ca="1" si="24"/>
        <v>70</v>
      </c>
      <c r="I786" s="19" t="s">
        <v>26</v>
      </c>
      <c r="J786" s="18" t="s">
        <v>27</v>
      </c>
      <c r="K786" s="18"/>
      <c r="L786" s="23" t="s">
        <v>2995</v>
      </c>
      <c r="M786" s="23" t="s">
        <v>2996</v>
      </c>
      <c r="N786" s="23" t="s">
        <v>1499</v>
      </c>
      <c r="O786" s="18">
        <v>1</v>
      </c>
      <c r="P786" s="24"/>
      <c r="Q786" s="25">
        <v>45748</v>
      </c>
      <c r="R786" s="13">
        <v>0</v>
      </c>
      <c r="S786" s="26" t="str">
        <f>VLOOKUP(C786,'[1]Bazaar Salary'!$B$6:$J$1193,9,0)</f>
        <v>51580020100625290010</v>
      </c>
      <c r="T786" s="25" t="s">
        <v>32</v>
      </c>
      <c r="U786" s="25" t="s">
        <v>248</v>
      </c>
      <c r="V786" s="25" t="s">
        <v>1093</v>
      </c>
      <c r="W786" s="27" t="s">
        <v>2997</v>
      </c>
      <c r="X786" s="28" t="s">
        <v>2998</v>
      </c>
      <c r="Y786" s="28"/>
      <c r="Z786" s="29" t="s">
        <v>37</v>
      </c>
    </row>
    <row r="787" spans="1:26" ht="30" customHeight="1" thickBot="1" x14ac:dyDescent="0.25">
      <c r="A787" s="17">
        <f t="shared" si="25"/>
        <v>786</v>
      </c>
      <c r="B787" s="18" t="s">
        <v>25</v>
      </c>
      <c r="C787" s="19">
        <v>3840324719222</v>
      </c>
      <c r="D787" s="19">
        <v>1158</v>
      </c>
      <c r="E787" s="20">
        <v>43858</v>
      </c>
      <c r="F787" s="20">
        <v>47511</v>
      </c>
      <c r="G787" s="21">
        <v>29221</v>
      </c>
      <c r="H787" s="22">
        <f t="shared" ca="1" si="24"/>
        <v>46</v>
      </c>
      <c r="I787" s="19" t="s">
        <v>26</v>
      </c>
      <c r="J787" s="18" t="s">
        <v>66</v>
      </c>
      <c r="K787" s="18"/>
      <c r="L787" s="23" t="s">
        <v>2999</v>
      </c>
      <c r="M787" s="23" t="s">
        <v>3000</v>
      </c>
      <c r="N787" s="23" t="s">
        <v>1499</v>
      </c>
      <c r="O787" s="18">
        <v>1</v>
      </c>
      <c r="P787" s="24"/>
      <c r="Q787" s="25">
        <v>43678</v>
      </c>
      <c r="R787" s="13">
        <v>0</v>
      </c>
      <c r="S787" s="26" t="str">
        <f>VLOOKUP(C787,'[1]Bazaar Salary'!$B$6:$J$1193,9,0)</f>
        <v>51300020057844380011</v>
      </c>
      <c r="T787" s="25" t="s">
        <v>32</v>
      </c>
      <c r="U787" s="25" t="s">
        <v>248</v>
      </c>
      <c r="V787" s="25" t="s">
        <v>1535</v>
      </c>
      <c r="W787" s="27" t="s">
        <v>3001</v>
      </c>
      <c r="X787" s="28" t="s">
        <v>3002</v>
      </c>
      <c r="Y787" s="28"/>
      <c r="Z787" s="29" t="s">
        <v>37</v>
      </c>
    </row>
    <row r="788" spans="1:26" ht="30" customHeight="1" thickBot="1" x14ac:dyDescent="0.25">
      <c r="A788" s="17">
        <f t="shared" si="25"/>
        <v>787</v>
      </c>
      <c r="B788" s="18" t="s">
        <v>25</v>
      </c>
      <c r="C788" s="19">
        <v>3840396937713</v>
      </c>
      <c r="D788" s="19">
        <v>1160</v>
      </c>
      <c r="E788" s="20">
        <v>45205</v>
      </c>
      <c r="F788" s="20">
        <v>48858</v>
      </c>
      <c r="G788" s="21">
        <v>33829</v>
      </c>
      <c r="H788" s="22">
        <f t="shared" ca="1" si="24"/>
        <v>33</v>
      </c>
      <c r="I788" s="19" t="s">
        <v>26</v>
      </c>
      <c r="J788" s="18" t="s">
        <v>27</v>
      </c>
      <c r="K788" s="18"/>
      <c r="L788" s="23" t="s">
        <v>964</v>
      </c>
      <c r="M788" s="23" t="s">
        <v>3003</v>
      </c>
      <c r="N788" s="23" t="s">
        <v>1499</v>
      </c>
      <c r="O788" s="18">
        <v>1</v>
      </c>
      <c r="P788" s="24"/>
      <c r="Q788" s="25">
        <v>43678</v>
      </c>
      <c r="R788" s="13">
        <v>0</v>
      </c>
      <c r="S788" s="26" t="str">
        <f>VLOOKUP(C788,'[1]Bazaar Salary'!$B$6:$J$1193,9,0)</f>
        <v>07980010058431550011</v>
      </c>
      <c r="T788" s="25" t="s">
        <v>32</v>
      </c>
      <c r="U788" s="25" t="s">
        <v>248</v>
      </c>
      <c r="V788" s="25" t="s">
        <v>320</v>
      </c>
      <c r="W788" s="27" t="s">
        <v>3004</v>
      </c>
      <c r="X788" s="28" t="s">
        <v>3005</v>
      </c>
      <c r="Y788" s="28"/>
      <c r="Z788" s="29" t="s">
        <v>37</v>
      </c>
    </row>
    <row r="789" spans="1:26" ht="30" customHeight="1" thickBot="1" x14ac:dyDescent="0.25">
      <c r="A789" s="17">
        <f t="shared" si="25"/>
        <v>788</v>
      </c>
      <c r="B789" s="18" t="s">
        <v>25</v>
      </c>
      <c r="C789" s="19">
        <v>3840315019345</v>
      </c>
      <c r="D789" s="19">
        <v>486</v>
      </c>
      <c r="E789" s="20">
        <v>43748</v>
      </c>
      <c r="F789" s="20">
        <v>47401</v>
      </c>
      <c r="G789" s="21">
        <v>24211</v>
      </c>
      <c r="H789" s="22">
        <f t="shared" ca="1" si="24"/>
        <v>60</v>
      </c>
      <c r="I789" s="19" t="s">
        <v>26</v>
      </c>
      <c r="J789" s="18" t="s">
        <v>27</v>
      </c>
      <c r="K789" s="18"/>
      <c r="L789" s="23" t="s">
        <v>1620</v>
      </c>
      <c r="M789" s="23" t="s">
        <v>3006</v>
      </c>
      <c r="N789" s="23" t="s">
        <v>1499</v>
      </c>
      <c r="O789" s="18">
        <v>1</v>
      </c>
      <c r="P789" s="24"/>
      <c r="Q789" s="25">
        <v>41033</v>
      </c>
      <c r="R789" s="13">
        <v>0</v>
      </c>
      <c r="S789" s="26" t="str">
        <f>VLOOKUP(C789,'[1]Bazaar Salary'!$B$6:$J$1193,9,0)</f>
        <v>07980010045890490013</v>
      </c>
      <c r="T789" s="25" t="s">
        <v>32</v>
      </c>
      <c r="U789" s="25" t="s">
        <v>248</v>
      </c>
      <c r="V789" s="25" t="s">
        <v>1093</v>
      </c>
      <c r="W789" s="27" t="s">
        <v>3007</v>
      </c>
      <c r="X789" s="28" t="s">
        <v>3008</v>
      </c>
      <c r="Y789" s="28"/>
      <c r="Z789" s="29" t="s">
        <v>37</v>
      </c>
    </row>
    <row r="790" spans="1:26" ht="30" customHeight="1" thickBot="1" x14ac:dyDescent="0.25">
      <c r="A790" s="17">
        <f t="shared" si="25"/>
        <v>789</v>
      </c>
      <c r="B790" s="18" t="s">
        <v>25</v>
      </c>
      <c r="C790" s="19">
        <v>3520299861075</v>
      </c>
      <c r="D790" s="19">
        <v>329</v>
      </c>
      <c r="E790" s="20">
        <v>43668</v>
      </c>
      <c r="F790" s="20">
        <v>47321</v>
      </c>
      <c r="G790" s="21">
        <v>25204</v>
      </c>
      <c r="H790" s="22">
        <f t="shared" ca="1" si="24"/>
        <v>57</v>
      </c>
      <c r="I790" s="19" t="s">
        <v>26</v>
      </c>
      <c r="J790" s="18" t="s">
        <v>27</v>
      </c>
      <c r="K790" s="18"/>
      <c r="L790" s="23" t="s">
        <v>385</v>
      </c>
      <c r="M790" s="23" t="s">
        <v>3009</v>
      </c>
      <c r="N790" s="23" t="s">
        <v>1551</v>
      </c>
      <c r="O790" s="18">
        <v>1</v>
      </c>
      <c r="P790" s="24"/>
      <c r="Q790" s="25">
        <v>41978</v>
      </c>
      <c r="R790" s="13">
        <v>0</v>
      </c>
      <c r="S790" s="26" t="str">
        <f>VLOOKUP(C790,'[1]Bazaar Salary'!$B$6:$J$1193,9,0)</f>
        <v>09410010045978280019</v>
      </c>
      <c r="T790" s="25" t="s">
        <v>32</v>
      </c>
      <c r="U790" s="25" t="s">
        <v>867</v>
      </c>
      <c r="V790" s="25" t="s">
        <v>1093</v>
      </c>
      <c r="W790" s="27" t="s">
        <v>3010</v>
      </c>
      <c r="X790" s="28" t="s">
        <v>3011</v>
      </c>
      <c r="Y790" s="28"/>
      <c r="Z790" s="29" t="s">
        <v>37</v>
      </c>
    </row>
    <row r="791" spans="1:26" ht="30" customHeight="1" thickBot="1" x14ac:dyDescent="0.25">
      <c r="A791" s="17">
        <f t="shared" si="25"/>
        <v>790</v>
      </c>
      <c r="B791" s="18" t="s">
        <v>25</v>
      </c>
      <c r="C791" s="19">
        <v>3420164552369</v>
      </c>
      <c r="D791" s="19">
        <v>473</v>
      </c>
      <c r="E791" s="20">
        <v>42870</v>
      </c>
      <c r="F791" s="20" t="s">
        <v>196</v>
      </c>
      <c r="G791" s="21">
        <v>20455</v>
      </c>
      <c r="H791" s="22">
        <f t="shared" ca="1" si="24"/>
        <v>70</v>
      </c>
      <c r="I791" s="19" t="s">
        <v>26</v>
      </c>
      <c r="J791" s="18" t="s">
        <v>27</v>
      </c>
      <c r="K791" s="18"/>
      <c r="L791" s="23" t="s">
        <v>145</v>
      </c>
      <c r="M791" s="23" t="s">
        <v>3012</v>
      </c>
      <c r="N791" s="23" t="s">
        <v>1551</v>
      </c>
      <c r="O791" s="18">
        <v>1</v>
      </c>
      <c r="P791" s="24"/>
      <c r="Q791" s="25">
        <v>42948</v>
      </c>
      <c r="R791" s="13">
        <v>0</v>
      </c>
      <c r="S791" s="26" t="str">
        <f>VLOOKUP(C791,'[1]Bazaar Salary'!$B$6:$J$1193,9,0)</f>
        <v>51040020045638450020</v>
      </c>
      <c r="T791" s="25" t="s">
        <v>32</v>
      </c>
      <c r="U791" s="25" t="s">
        <v>867</v>
      </c>
      <c r="V791" s="25" t="s">
        <v>1535</v>
      </c>
      <c r="W791" s="27" t="s">
        <v>3013</v>
      </c>
      <c r="X791" s="28" t="s">
        <v>3014</v>
      </c>
      <c r="Y791" s="28"/>
      <c r="Z791" s="29" t="s">
        <v>37</v>
      </c>
    </row>
    <row r="792" spans="1:26" ht="30" customHeight="1" thickBot="1" x14ac:dyDescent="0.25">
      <c r="A792" s="17">
        <f t="shared" si="25"/>
        <v>791</v>
      </c>
      <c r="B792" s="18" t="s">
        <v>25</v>
      </c>
      <c r="C792" s="19">
        <v>3540112179023</v>
      </c>
      <c r="D792" s="19">
        <v>1315</v>
      </c>
      <c r="E792" s="20">
        <v>45043</v>
      </c>
      <c r="F792" s="20">
        <v>48696</v>
      </c>
      <c r="G792" s="21">
        <v>29593</v>
      </c>
      <c r="H792" s="22">
        <f t="shared" ca="1" si="24"/>
        <v>45</v>
      </c>
      <c r="I792" s="19" t="s">
        <v>26</v>
      </c>
      <c r="J792" s="18" t="s">
        <v>27</v>
      </c>
      <c r="K792" s="18"/>
      <c r="L792" s="23" t="s">
        <v>1125</v>
      </c>
      <c r="M792" s="23" t="s">
        <v>926</v>
      </c>
      <c r="N792" s="23" t="s">
        <v>1499</v>
      </c>
      <c r="O792" s="18">
        <v>1</v>
      </c>
      <c r="P792" s="24"/>
      <c r="Q792" s="25">
        <v>45748</v>
      </c>
      <c r="R792" s="13">
        <v>0</v>
      </c>
      <c r="S792" s="26" t="str">
        <f>VLOOKUP(C792,'[1]Bazaar Salary'!$B$6:$J$1193,9,0)</f>
        <v>51560020086612270019</v>
      </c>
      <c r="T792" s="25" t="s">
        <v>32</v>
      </c>
      <c r="U792" s="25" t="s">
        <v>1434</v>
      </c>
      <c r="V792" s="25" t="s">
        <v>1093</v>
      </c>
      <c r="W792" s="27" t="s">
        <v>3015</v>
      </c>
      <c r="X792" s="28" t="s">
        <v>3016</v>
      </c>
      <c r="Y792" s="28"/>
      <c r="Z792" s="29" t="s">
        <v>37</v>
      </c>
    </row>
    <row r="793" spans="1:26" ht="30" customHeight="1" thickBot="1" x14ac:dyDescent="0.25">
      <c r="A793" s="17">
        <f t="shared" si="25"/>
        <v>792</v>
      </c>
      <c r="B793" s="18" t="s">
        <v>25</v>
      </c>
      <c r="C793" s="19">
        <v>3520277893991</v>
      </c>
      <c r="D793" s="19">
        <v>330</v>
      </c>
      <c r="E793" s="20">
        <v>44401</v>
      </c>
      <c r="F793" s="20">
        <v>48053</v>
      </c>
      <c r="G793" s="21">
        <v>29221</v>
      </c>
      <c r="H793" s="22">
        <f t="shared" ca="1" si="24"/>
        <v>46</v>
      </c>
      <c r="I793" s="18" t="s">
        <v>912</v>
      </c>
      <c r="J793" s="18" t="s">
        <v>27</v>
      </c>
      <c r="K793" s="18"/>
      <c r="L793" s="23" t="s">
        <v>2413</v>
      </c>
      <c r="M793" s="23" t="s">
        <v>3017</v>
      </c>
      <c r="N793" s="23" t="s">
        <v>1551</v>
      </c>
      <c r="O793" s="18">
        <v>1</v>
      </c>
      <c r="P793" s="24"/>
      <c r="Q793" s="25">
        <v>41978</v>
      </c>
      <c r="R793" s="13">
        <v>0</v>
      </c>
      <c r="S793" s="26" t="str">
        <f>VLOOKUP(C793,'[1]Bazaar Salary'!$B$6:$J$1193,9,0)</f>
        <v>09410010047309960014</v>
      </c>
      <c r="T793" s="25" t="s">
        <v>32</v>
      </c>
      <c r="U793" s="25" t="s">
        <v>443</v>
      </c>
      <c r="V793" s="25" t="s">
        <v>1093</v>
      </c>
      <c r="W793" s="27" t="s">
        <v>3018</v>
      </c>
      <c r="X793" s="28" t="s">
        <v>3019</v>
      </c>
      <c r="Y793" s="28"/>
      <c r="Z793" s="29" t="s">
        <v>37</v>
      </c>
    </row>
    <row r="794" spans="1:26" ht="30" customHeight="1" thickBot="1" x14ac:dyDescent="0.25">
      <c r="A794" s="17">
        <f t="shared" si="25"/>
        <v>793</v>
      </c>
      <c r="B794" s="18" t="s">
        <v>25</v>
      </c>
      <c r="C794" s="19">
        <v>3520202008597</v>
      </c>
      <c r="D794" s="19">
        <v>318</v>
      </c>
      <c r="E794" s="20">
        <v>43893</v>
      </c>
      <c r="F794" s="20">
        <v>47545</v>
      </c>
      <c r="G794" s="21">
        <v>33954</v>
      </c>
      <c r="H794" s="22">
        <f t="shared" ca="1" si="24"/>
        <v>33</v>
      </c>
      <c r="I794" s="19" t="s">
        <v>26</v>
      </c>
      <c r="J794" s="18" t="s">
        <v>27</v>
      </c>
      <c r="K794" s="18"/>
      <c r="L794" s="23" t="s">
        <v>1885</v>
      </c>
      <c r="M794" s="23" t="s">
        <v>3020</v>
      </c>
      <c r="N794" s="23" t="s">
        <v>1551</v>
      </c>
      <c r="O794" s="18">
        <v>1</v>
      </c>
      <c r="P794" s="24"/>
      <c r="Q794" s="25">
        <v>42921</v>
      </c>
      <c r="R794" s="13">
        <v>0</v>
      </c>
      <c r="S794" s="26" t="str">
        <f>VLOOKUP(C794,'[1]Bazaar Salary'!$B$6:$J$1193,9,0)</f>
        <v>02880010046322160013</v>
      </c>
      <c r="T794" s="25" t="s">
        <v>32</v>
      </c>
      <c r="U794" s="25" t="s">
        <v>443</v>
      </c>
      <c r="V794" s="25" t="s">
        <v>1356</v>
      </c>
      <c r="W794" s="27" t="s">
        <v>3021</v>
      </c>
      <c r="X794" s="28" t="s">
        <v>3022</v>
      </c>
      <c r="Y794" s="28"/>
      <c r="Z794" s="29" t="s">
        <v>37</v>
      </c>
    </row>
    <row r="795" spans="1:26" ht="30" customHeight="1" thickBot="1" x14ac:dyDescent="0.25">
      <c r="A795" s="17">
        <f t="shared" si="25"/>
        <v>794</v>
      </c>
      <c r="B795" s="18" t="s">
        <v>25</v>
      </c>
      <c r="C795" s="19">
        <v>3520404141427</v>
      </c>
      <c r="D795" s="19">
        <v>1688</v>
      </c>
      <c r="E795" s="21">
        <v>44279</v>
      </c>
      <c r="F795" s="21">
        <v>47931</v>
      </c>
      <c r="G795" s="21">
        <v>35391</v>
      </c>
      <c r="H795" s="22">
        <f t="shared" ca="1" si="24"/>
        <v>29</v>
      </c>
      <c r="I795" s="18" t="s">
        <v>912</v>
      </c>
      <c r="J795" s="18" t="s">
        <v>27</v>
      </c>
      <c r="K795" s="23"/>
      <c r="L795" s="24" t="s">
        <v>2166</v>
      </c>
      <c r="M795" s="33" t="s">
        <v>2170</v>
      </c>
      <c r="N795" s="23" t="s">
        <v>1488</v>
      </c>
      <c r="O795" s="18">
        <v>1</v>
      </c>
      <c r="P795" s="24"/>
      <c r="Q795" s="25">
        <v>45748</v>
      </c>
      <c r="R795" s="13">
        <v>0</v>
      </c>
      <c r="S795" s="26" t="str">
        <f>VLOOKUP(C795,'[1]Bazaar Salary'!$B$6:$J$1193,9,0)</f>
        <v>13860010136953270016</v>
      </c>
      <c r="T795" s="25" t="s">
        <v>32</v>
      </c>
      <c r="U795" s="25" t="s">
        <v>443</v>
      </c>
      <c r="V795" s="25" t="s">
        <v>1093</v>
      </c>
      <c r="W795" s="33" t="s">
        <v>3023</v>
      </c>
      <c r="X795" s="28" t="s">
        <v>3024</v>
      </c>
      <c r="Y795" s="28"/>
      <c r="Z795" s="29" t="s">
        <v>37</v>
      </c>
    </row>
    <row r="796" spans="1:26" ht="30" customHeight="1" thickBot="1" x14ac:dyDescent="0.25">
      <c r="A796" s="17">
        <f t="shared" si="25"/>
        <v>795</v>
      </c>
      <c r="B796" s="18" t="s">
        <v>25</v>
      </c>
      <c r="C796" s="19">
        <v>3520207392951</v>
      </c>
      <c r="D796" s="19">
        <v>1155</v>
      </c>
      <c r="E796" s="20">
        <v>44533</v>
      </c>
      <c r="F796" s="20">
        <v>48185</v>
      </c>
      <c r="G796" s="21">
        <v>34886</v>
      </c>
      <c r="H796" s="22">
        <f t="shared" ca="1" si="24"/>
        <v>30</v>
      </c>
      <c r="I796" s="18" t="s">
        <v>912</v>
      </c>
      <c r="J796" s="18" t="s">
        <v>27</v>
      </c>
      <c r="K796" s="18"/>
      <c r="L796" s="23" t="s">
        <v>3025</v>
      </c>
      <c r="M796" s="23" t="s">
        <v>3026</v>
      </c>
      <c r="N796" s="23" t="s">
        <v>1488</v>
      </c>
      <c r="O796" s="18">
        <v>1</v>
      </c>
      <c r="P796" s="24"/>
      <c r="Q796" s="25">
        <v>43678</v>
      </c>
      <c r="R796" s="13">
        <v>0</v>
      </c>
      <c r="S796" s="26" t="str">
        <f>VLOOKUP(C796,'[1]Bazaar Salary'!$B$6:$J$1193,9,0)</f>
        <v>03910010060657370014</v>
      </c>
      <c r="T796" s="25" t="s">
        <v>32</v>
      </c>
      <c r="U796" s="25" t="s">
        <v>443</v>
      </c>
      <c r="V796" s="25" t="s">
        <v>1093</v>
      </c>
      <c r="W796" s="27" t="s">
        <v>3027</v>
      </c>
      <c r="X796" s="28" t="s">
        <v>3028</v>
      </c>
      <c r="Y796" s="28"/>
      <c r="Z796" s="29" t="s">
        <v>37</v>
      </c>
    </row>
    <row r="797" spans="1:26" ht="30" customHeight="1" thickBot="1" x14ac:dyDescent="0.25">
      <c r="A797" s="17">
        <f t="shared" si="25"/>
        <v>796</v>
      </c>
      <c r="B797" s="18" t="s">
        <v>25</v>
      </c>
      <c r="C797" s="19">
        <v>3520014933179</v>
      </c>
      <c r="D797" s="19">
        <v>1687</v>
      </c>
      <c r="E797" s="21">
        <v>44738</v>
      </c>
      <c r="F797" s="21">
        <v>48391</v>
      </c>
      <c r="G797" s="21">
        <v>29967</v>
      </c>
      <c r="H797" s="22">
        <f t="shared" ca="1" si="24"/>
        <v>44</v>
      </c>
      <c r="I797" s="18" t="s">
        <v>912</v>
      </c>
      <c r="J797" s="18" t="s">
        <v>27</v>
      </c>
      <c r="K797" s="23"/>
      <c r="L797" s="24" t="s">
        <v>2911</v>
      </c>
      <c r="M797" s="33" t="s">
        <v>3029</v>
      </c>
      <c r="N797" s="23" t="s">
        <v>1488</v>
      </c>
      <c r="O797" s="18">
        <v>1</v>
      </c>
      <c r="P797" s="24"/>
      <c r="Q797" s="25">
        <v>45748</v>
      </c>
      <c r="R797" s="13">
        <v>0</v>
      </c>
      <c r="S797" s="26" t="str">
        <f>VLOOKUP(C797,'[1]Bazaar Salary'!$B$6:$J$1193,9,0)</f>
        <v>12630010136615980010</v>
      </c>
      <c r="T797" s="25" t="s">
        <v>32</v>
      </c>
      <c r="U797" s="25" t="s">
        <v>443</v>
      </c>
      <c r="V797" s="25" t="s">
        <v>1093</v>
      </c>
      <c r="W797" s="33" t="s">
        <v>3030</v>
      </c>
      <c r="X797" s="28" t="s">
        <v>3031</v>
      </c>
      <c r="Y797" s="28"/>
      <c r="Z797" s="29" t="s">
        <v>37</v>
      </c>
    </row>
    <row r="798" spans="1:26" ht="30" customHeight="1" thickBot="1" x14ac:dyDescent="0.25">
      <c r="A798" s="17">
        <f t="shared" si="25"/>
        <v>797</v>
      </c>
      <c r="B798" s="18" t="s">
        <v>25</v>
      </c>
      <c r="C798" s="19">
        <v>3520296797306</v>
      </c>
      <c r="D798" s="19">
        <v>512</v>
      </c>
      <c r="E798" s="20">
        <v>42956</v>
      </c>
      <c r="F798" s="20">
        <v>46608</v>
      </c>
      <c r="G798" s="21">
        <v>30590</v>
      </c>
      <c r="H798" s="22">
        <f t="shared" ca="1" si="24"/>
        <v>42</v>
      </c>
      <c r="I798" s="18" t="s">
        <v>912</v>
      </c>
      <c r="J798" s="18" t="s">
        <v>66</v>
      </c>
      <c r="K798" s="18"/>
      <c r="L798" s="23" t="s">
        <v>3032</v>
      </c>
      <c r="M798" s="23" t="s">
        <v>3033</v>
      </c>
      <c r="N798" s="23" t="s">
        <v>1488</v>
      </c>
      <c r="O798" s="18">
        <v>1</v>
      </c>
      <c r="P798" s="24"/>
      <c r="Q798" s="25">
        <v>42963</v>
      </c>
      <c r="R798" s="13">
        <v>0</v>
      </c>
      <c r="S798" s="26" t="str">
        <f>VLOOKUP(C798,'[1]Bazaar Salary'!$B$6:$J$1193,9,0)</f>
        <v>13860010046485770028</v>
      </c>
      <c r="T798" s="25" t="s">
        <v>32</v>
      </c>
      <c r="U798" s="25" t="s">
        <v>443</v>
      </c>
      <c r="V798" s="25" t="s">
        <v>1093</v>
      </c>
      <c r="W798" s="27" t="s">
        <v>3034</v>
      </c>
      <c r="X798" s="28" t="s">
        <v>3035</v>
      </c>
      <c r="Y798" s="28"/>
      <c r="Z798" s="29" t="s">
        <v>37</v>
      </c>
    </row>
    <row r="799" spans="1:26" ht="30" customHeight="1" thickBot="1" x14ac:dyDescent="0.25">
      <c r="A799" s="17">
        <f t="shared" si="25"/>
        <v>798</v>
      </c>
      <c r="B799" s="18" t="s">
        <v>25</v>
      </c>
      <c r="C799" s="19">
        <v>3520276703861</v>
      </c>
      <c r="D799" s="19">
        <v>1551</v>
      </c>
      <c r="E799" s="20">
        <v>42585</v>
      </c>
      <c r="F799" s="20">
        <v>46237</v>
      </c>
      <c r="G799" s="21">
        <v>27030</v>
      </c>
      <c r="H799" s="22">
        <f t="shared" ca="1" si="24"/>
        <v>52</v>
      </c>
      <c r="I799" s="18" t="s">
        <v>912</v>
      </c>
      <c r="J799" s="18" t="s">
        <v>27</v>
      </c>
      <c r="K799" s="18"/>
      <c r="L799" s="30" t="s">
        <v>1486</v>
      </c>
      <c r="M799" s="30" t="s">
        <v>1949</v>
      </c>
      <c r="N799" s="23" t="s">
        <v>1488</v>
      </c>
      <c r="O799" s="18">
        <v>1</v>
      </c>
      <c r="P799" s="24"/>
      <c r="Q799" s="25">
        <v>45748</v>
      </c>
      <c r="R799" s="13">
        <v>0</v>
      </c>
      <c r="S799" s="26" t="str">
        <f>VLOOKUP(C799,'[1]Bazaar Salary'!$B$6:$J$1193,9,0)</f>
        <v>13860010118777350011</v>
      </c>
      <c r="T799" s="25" t="s">
        <v>32</v>
      </c>
      <c r="U799" s="25" t="s">
        <v>443</v>
      </c>
      <c r="V799" s="25" t="s">
        <v>1093</v>
      </c>
      <c r="W799" s="24" t="s">
        <v>3036</v>
      </c>
      <c r="X799" s="28" t="s">
        <v>3037</v>
      </c>
      <c r="Y799" s="28"/>
      <c r="Z799" s="29" t="s">
        <v>37</v>
      </c>
    </row>
    <row r="800" spans="1:26" ht="30" customHeight="1" thickBot="1" x14ac:dyDescent="0.25">
      <c r="A800" s="17">
        <f t="shared" si="25"/>
        <v>799</v>
      </c>
      <c r="B800" s="18" t="s">
        <v>25</v>
      </c>
      <c r="C800" s="19">
        <v>3520109187939</v>
      </c>
      <c r="D800" s="19">
        <v>1667</v>
      </c>
      <c r="E800" s="21">
        <v>44359</v>
      </c>
      <c r="F800" s="21">
        <v>48011</v>
      </c>
      <c r="G800" s="21">
        <v>32563</v>
      </c>
      <c r="H800" s="22">
        <f t="shared" ca="1" si="24"/>
        <v>37</v>
      </c>
      <c r="I800" s="18" t="s">
        <v>912</v>
      </c>
      <c r="J800" s="18" t="s">
        <v>27</v>
      </c>
      <c r="K800" s="23"/>
      <c r="L800" s="24" t="s">
        <v>3038</v>
      </c>
      <c r="M800" s="33" t="s">
        <v>2747</v>
      </c>
      <c r="N800" s="23" t="s">
        <v>1488</v>
      </c>
      <c r="O800" s="18">
        <v>1</v>
      </c>
      <c r="P800" s="24"/>
      <c r="Q800" s="25">
        <v>45748</v>
      </c>
      <c r="R800" s="13">
        <v>0</v>
      </c>
      <c r="S800" s="26" t="str">
        <f>VLOOKUP(C800,'[1]Bazaar Salary'!$B$6:$J$1193,9,0)</f>
        <v>10480010049990580011</v>
      </c>
      <c r="T800" s="25" t="s">
        <v>32</v>
      </c>
      <c r="U800" s="25" t="s">
        <v>443</v>
      </c>
      <c r="V800" s="25" t="s">
        <v>1093</v>
      </c>
      <c r="W800" s="33" t="s">
        <v>3039</v>
      </c>
      <c r="X800" s="28" t="s">
        <v>3040</v>
      </c>
      <c r="Y800" s="28"/>
      <c r="Z800" s="29" t="s">
        <v>37</v>
      </c>
    </row>
    <row r="801" spans="1:26" ht="30" customHeight="1" thickBot="1" x14ac:dyDescent="0.25">
      <c r="A801" s="17">
        <f t="shared" si="25"/>
        <v>800</v>
      </c>
      <c r="B801" s="18" t="s">
        <v>25</v>
      </c>
      <c r="C801" s="19">
        <v>3520248950741</v>
      </c>
      <c r="D801" s="19">
        <v>381</v>
      </c>
      <c r="E801" s="20">
        <v>43312</v>
      </c>
      <c r="F801" s="20">
        <v>46965</v>
      </c>
      <c r="G801" s="21">
        <v>32279</v>
      </c>
      <c r="H801" s="22">
        <f t="shared" ca="1" si="24"/>
        <v>38</v>
      </c>
      <c r="I801" s="19" t="s">
        <v>26</v>
      </c>
      <c r="J801" s="18" t="s">
        <v>27</v>
      </c>
      <c r="K801" s="18"/>
      <c r="L801" s="23" t="s">
        <v>1669</v>
      </c>
      <c r="M801" s="23" t="s">
        <v>3041</v>
      </c>
      <c r="N801" s="23" t="s">
        <v>1499</v>
      </c>
      <c r="O801" s="18">
        <v>1</v>
      </c>
      <c r="P801" s="24"/>
      <c r="Q801" s="25">
        <v>42515</v>
      </c>
      <c r="R801" s="13">
        <v>0</v>
      </c>
      <c r="S801" s="26" t="str">
        <f>VLOOKUP(C801,'[1]Bazaar Salary'!$B$6:$J$1193,9,0)</f>
        <v>02880010045776690010</v>
      </c>
      <c r="T801" s="25" t="s">
        <v>32</v>
      </c>
      <c r="U801" s="25" t="s">
        <v>443</v>
      </c>
      <c r="V801" s="25" t="s">
        <v>1093</v>
      </c>
      <c r="W801" s="27" t="s">
        <v>2164</v>
      </c>
      <c r="X801" s="28" t="s">
        <v>3042</v>
      </c>
      <c r="Y801" s="28"/>
      <c r="Z801" s="29" t="s">
        <v>37</v>
      </c>
    </row>
    <row r="802" spans="1:26" ht="30" customHeight="1" thickBot="1" x14ac:dyDescent="0.25">
      <c r="A802" s="17">
        <f t="shared" si="25"/>
        <v>801</v>
      </c>
      <c r="B802" s="18" t="s">
        <v>25</v>
      </c>
      <c r="C802" s="19">
        <v>3530101985055</v>
      </c>
      <c r="D802" s="19" t="s">
        <v>542</v>
      </c>
      <c r="E802" s="20">
        <v>45363</v>
      </c>
      <c r="F802" s="20">
        <v>49015</v>
      </c>
      <c r="G802" s="21">
        <v>38725</v>
      </c>
      <c r="H802" s="22">
        <f t="shared" ca="1" si="24"/>
        <v>20</v>
      </c>
      <c r="I802" s="19" t="s">
        <v>26</v>
      </c>
      <c r="J802" s="18" t="s">
        <v>27</v>
      </c>
      <c r="K802" s="18"/>
      <c r="L802" s="23" t="s">
        <v>3043</v>
      </c>
      <c r="M802" s="23" t="s">
        <v>3044</v>
      </c>
      <c r="N802" s="23" t="s">
        <v>1499</v>
      </c>
      <c r="O802" s="18">
        <v>1</v>
      </c>
      <c r="P802" s="24"/>
      <c r="Q802" s="25">
        <v>45748</v>
      </c>
      <c r="R802" s="13">
        <v>0</v>
      </c>
      <c r="S802" s="26" t="str">
        <f>VLOOKUP(C802,'[1]Bazaar Salary'!$B$6:$J$1193,9,0)</f>
        <v>02880010127825970018</v>
      </c>
      <c r="T802" s="25" t="s">
        <v>32</v>
      </c>
      <c r="U802" s="25" t="s">
        <v>443</v>
      </c>
      <c r="V802" s="25" t="s">
        <v>1093</v>
      </c>
      <c r="W802" s="27" t="s">
        <v>3045</v>
      </c>
      <c r="X802" s="28" t="s">
        <v>3046</v>
      </c>
      <c r="Y802" s="28"/>
      <c r="Z802" s="29" t="s">
        <v>37</v>
      </c>
    </row>
    <row r="803" spans="1:26" ht="30" customHeight="1" thickBot="1" x14ac:dyDescent="0.25">
      <c r="A803" s="17">
        <f t="shared" si="25"/>
        <v>802</v>
      </c>
      <c r="B803" s="18" t="s">
        <v>25</v>
      </c>
      <c r="C803" s="19">
        <v>3510274602837</v>
      </c>
      <c r="D803" s="19">
        <v>1503</v>
      </c>
      <c r="E803" s="20">
        <v>44732</v>
      </c>
      <c r="F803" s="20">
        <v>48385</v>
      </c>
      <c r="G803" s="21">
        <v>30839</v>
      </c>
      <c r="H803" s="22">
        <f t="shared" ca="1" si="24"/>
        <v>42</v>
      </c>
      <c r="I803" s="19" t="s">
        <v>26</v>
      </c>
      <c r="J803" s="18" t="s">
        <v>27</v>
      </c>
      <c r="K803" s="18"/>
      <c r="L803" s="23" t="s">
        <v>3047</v>
      </c>
      <c r="M803" s="23" t="s">
        <v>3048</v>
      </c>
      <c r="N803" s="23" t="s">
        <v>1499</v>
      </c>
      <c r="O803" s="18">
        <v>1</v>
      </c>
      <c r="P803" s="24"/>
      <c r="Q803" s="25">
        <v>45748</v>
      </c>
      <c r="R803" s="13">
        <v>0</v>
      </c>
      <c r="S803" s="26" t="str">
        <f>VLOOKUP(C803,'[1]Bazaar Salary'!$B$6:$J$1193,9,0)</f>
        <v>13860010108560130012</v>
      </c>
      <c r="T803" s="25" t="s">
        <v>32</v>
      </c>
      <c r="U803" s="25" t="s">
        <v>443</v>
      </c>
      <c r="V803" s="25" t="s">
        <v>1093</v>
      </c>
      <c r="W803" s="27" t="s">
        <v>3049</v>
      </c>
      <c r="X803" s="28" t="s">
        <v>3050</v>
      </c>
      <c r="Y803" s="28"/>
      <c r="Z803" s="29" t="s">
        <v>37</v>
      </c>
    </row>
    <row r="804" spans="1:26" ht="30" customHeight="1" thickBot="1" x14ac:dyDescent="0.25">
      <c r="A804" s="17">
        <f t="shared" si="25"/>
        <v>803</v>
      </c>
      <c r="B804" s="18" t="s">
        <v>25</v>
      </c>
      <c r="C804" s="19">
        <v>3520237422987</v>
      </c>
      <c r="D804" s="19">
        <v>1666</v>
      </c>
      <c r="E804" s="21">
        <v>45287</v>
      </c>
      <c r="F804" s="21">
        <v>48940</v>
      </c>
      <c r="G804" s="21">
        <v>33954</v>
      </c>
      <c r="H804" s="22">
        <f t="shared" ca="1" si="24"/>
        <v>33</v>
      </c>
      <c r="I804" s="18" t="s">
        <v>26</v>
      </c>
      <c r="J804" s="18" t="s">
        <v>27</v>
      </c>
      <c r="K804" s="23"/>
      <c r="L804" s="24" t="s">
        <v>3051</v>
      </c>
      <c r="M804" s="33" t="s">
        <v>385</v>
      </c>
      <c r="N804" s="23" t="s">
        <v>1499</v>
      </c>
      <c r="O804" s="18">
        <v>1</v>
      </c>
      <c r="P804" s="24"/>
      <c r="Q804" s="25">
        <v>45748</v>
      </c>
      <c r="R804" s="13">
        <v>0</v>
      </c>
      <c r="S804" s="26" t="str">
        <f>VLOOKUP(C804,'[1]Bazaar Salary'!$B$6:$J$1193,9,0)</f>
        <v>09650010134997290018</v>
      </c>
      <c r="T804" s="25" t="s">
        <v>32</v>
      </c>
      <c r="U804" s="25" t="s">
        <v>443</v>
      </c>
      <c r="V804" s="25" t="s">
        <v>1093</v>
      </c>
      <c r="W804" s="33" t="s">
        <v>3052</v>
      </c>
      <c r="X804" s="28" t="s">
        <v>3053</v>
      </c>
      <c r="Y804" s="28"/>
      <c r="Z804" s="29" t="s">
        <v>37</v>
      </c>
    </row>
    <row r="805" spans="1:26" ht="30" customHeight="1" thickBot="1" x14ac:dyDescent="0.25">
      <c r="A805" s="17">
        <f t="shared" si="25"/>
        <v>804</v>
      </c>
      <c r="B805" s="18" t="s">
        <v>25</v>
      </c>
      <c r="C805" s="19">
        <v>3520264030341</v>
      </c>
      <c r="D805" s="19">
        <v>1615</v>
      </c>
      <c r="E805" s="20">
        <v>45400</v>
      </c>
      <c r="F805" s="20">
        <v>49052</v>
      </c>
      <c r="G805" s="21">
        <v>30266</v>
      </c>
      <c r="H805" s="22">
        <f t="shared" ca="1" si="24"/>
        <v>43</v>
      </c>
      <c r="I805" s="18" t="s">
        <v>912</v>
      </c>
      <c r="J805" s="18" t="s">
        <v>27</v>
      </c>
      <c r="K805" s="18"/>
      <c r="L805" s="23" t="s">
        <v>3054</v>
      </c>
      <c r="M805" s="23" t="s">
        <v>2726</v>
      </c>
      <c r="N805" s="23" t="s">
        <v>1499</v>
      </c>
      <c r="O805" s="18">
        <v>1</v>
      </c>
      <c r="P805" s="24"/>
      <c r="Q805" s="25">
        <v>45748</v>
      </c>
      <c r="R805" s="13">
        <v>0</v>
      </c>
      <c r="S805" s="26" t="str">
        <f>VLOOKUP(C805,'[1]Bazaar Salary'!$B$6:$J$1193,9,0)</f>
        <v>06890010120713640010</v>
      </c>
      <c r="T805" s="25" t="s">
        <v>32</v>
      </c>
      <c r="U805" s="25" t="s">
        <v>443</v>
      </c>
      <c r="V805" s="25" t="s">
        <v>1093</v>
      </c>
      <c r="W805" s="27" t="s">
        <v>3055</v>
      </c>
      <c r="X805" s="28" t="s">
        <v>3056</v>
      </c>
      <c r="Y805" s="28"/>
      <c r="Z805" s="29" t="s">
        <v>37</v>
      </c>
    </row>
    <row r="806" spans="1:26" ht="30" customHeight="1" thickBot="1" x14ac:dyDescent="0.25">
      <c r="A806" s="17">
        <f t="shared" si="25"/>
        <v>805</v>
      </c>
      <c r="B806" s="18" t="s">
        <v>25</v>
      </c>
      <c r="C806" s="19">
        <v>3520267907211</v>
      </c>
      <c r="D806" s="19">
        <v>1828</v>
      </c>
      <c r="E806" s="20">
        <v>43886</v>
      </c>
      <c r="F806" s="20">
        <v>47539</v>
      </c>
      <c r="G806" s="21">
        <v>37132</v>
      </c>
      <c r="H806" s="22">
        <f t="shared" ca="1" si="24"/>
        <v>24</v>
      </c>
      <c r="I806" s="19" t="s">
        <v>26</v>
      </c>
      <c r="J806" s="18" t="s">
        <v>27</v>
      </c>
      <c r="K806" s="18"/>
      <c r="L806" s="23" t="s">
        <v>3057</v>
      </c>
      <c r="M806" s="23" t="s">
        <v>3058</v>
      </c>
      <c r="N806" s="23" t="s">
        <v>1499</v>
      </c>
      <c r="O806" s="18">
        <v>1</v>
      </c>
      <c r="P806" s="24"/>
      <c r="Q806" s="25">
        <v>45748</v>
      </c>
      <c r="R806" s="13">
        <v>0</v>
      </c>
      <c r="S806" s="26" t="str">
        <f>VLOOKUP(C806,'[1]Bazaar Salary'!$B$6:$J$1193,9,0)</f>
        <v>01530010142375040010</v>
      </c>
      <c r="T806" s="25" t="s">
        <v>32</v>
      </c>
      <c r="U806" s="25" t="s">
        <v>443</v>
      </c>
      <c r="V806" s="25" t="s">
        <v>1093</v>
      </c>
      <c r="W806" s="27" t="s">
        <v>3059</v>
      </c>
      <c r="X806" s="28" t="s">
        <v>3060</v>
      </c>
      <c r="Y806" s="28"/>
      <c r="Z806" s="29" t="s">
        <v>37</v>
      </c>
    </row>
    <row r="807" spans="1:26" ht="30" customHeight="1" thickBot="1" x14ac:dyDescent="0.25">
      <c r="A807" s="17">
        <f t="shared" si="25"/>
        <v>806</v>
      </c>
      <c r="B807" s="18" t="s">
        <v>25</v>
      </c>
      <c r="C807" s="19">
        <v>3310503400412</v>
      </c>
      <c r="D807" s="19">
        <v>1186</v>
      </c>
      <c r="E807" s="20">
        <v>44652</v>
      </c>
      <c r="F807" s="20">
        <v>48305</v>
      </c>
      <c r="G807" s="21">
        <v>27864</v>
      </c>
      <c r="H807" s="22">
        <f t="shared" ca="1" si="24"/>
        <v>50</v>
      </c>
      <c r="I807" s="19" t="s">
        <v>26</v>
      </c>
      <c r="J807" s="18" t="s">
        <v>66</v>
      </c>
      <c r="K807" s="18"/>
      <c r="L807" s="23" t="s">
        <v>3061</v>
      </c>
      <c r="M807" s="23" t="s">
        <v>2017</v>
      </c>
      <c r="N807" s="23" t="s">
        <v>1499</v>
      </c>
      <c r="O807" s="18">
        <v>1</v>
      </c>
      <c r="P807" s="24"/>
      <c r="Q807" s="25">
        <v>44317</v>
      </c>
      <c r="R807" s="13">
        <v>0</v>
      </c>
      <c r="S807" s="26" t="str">
        <f>VLOOKUP(C807,'[1]Bazaar Salary'!$B$6:$J$1193,9,0)</f>
        <v>53220020065235440012</v>
      </c>
      <c r="T807" s="25" t="s">
        <v>32</v>
      </c>
      <c r="U807" s="25" t="s">
        <v>443</v>
      </c>
      <c r="V807" s="25" t="s">
        <v>1356</v>
      </c>
      <c r="W807" s="27" t="s">
        <v>3062</v>
      </c>
      <c r="X807" s="28" t="s">
        <v>3063</v>
      </c>
      <c r="Y807" s="28"/>
      <c r="Z807" s="29" t="s">
        <v>37</v>
      </c>
    </row>
    <row r="808" spans="1:26" ht="30" customHeight="1" thickBot="1" x14ac:dyDescent="0.25">
      <c r="A808" s="17">
        <f t="shared" si="25"/>
        <v>807</v>
      </c>
      <c r="B808" s="18" t="s">
        <v>25</v>
      </c>
      <c r="C808" s="19">
        <v>3520228464405</v>
      </c>
      <c r="D808" s="19">
        <v>327</v>
      </c>
      <c r="E808" s="20">
        <v>42969</v>
      </c>
      <c r="F808" s="20">
        <v>46621</v>
      </c>
      <c r="G808" s="21">
        <v>27976</v>
      </c>
      <c r="H808" s="22">
        <f t="shared" ca="1" si="24"/>
        <v>49</v>
      </c>
      <c r="I808" s="19" t="s">
        <v>26</v>
      </c>
      <c r="J808" s="18" t="s">
        <v>27</v>
      </c>
      <c r="K808" s="18"/>
      <c r="L808" s="23" t="s">
        <v>3064</v>
      </c>
      <c r="M808" s="23" t="s">
        <v>3065</v>
      </c>
      <c r="N808" s="23" t="s">
        <v>1499</v>
      </c>
      <c r="O808" s="18">
        <v>1</v>
      </c>
      <c r="P808" s="24"/>
      <c r="Q808" s="25">
        <v>41978</v>
      </c>
      <c r="R808" s="13">
        <v>0</v>
      </c>
      <c r="S808" s="26" t="str">
        <f>VLOOKUP(C808,'[1]Bazaar Salary'!$B$6:$J$1193,9,0)</f>
        <v>09410010047103400019</v>
      </c>
      <c r="T808" s="25" t="s">
        <v>32</v>
      </c>
      <c r="U808" s="25" t="s">
        <v>443</v>
      </c>
      <c r="V808" s="25" t="s">
        <v>1093</v>
      </c>
      <c r="W808" s="27" t="s">
        <v>3066</v>
      </c>
      <c r="X808" s="28" t="s">
        <v>3067</v>
      </c>
      <c r="Y808" s="28"/>
      <c r="Z808" s="29" t="s">
        <v>37</v>
      </c>
    </row>
    <row r="809" spans="1:26" ht="30" customHeight="1" thickBot="1" x14ac:dyDescent="0.25">
      <c r="A809" s="17">
        <f t="shared" si="25"/>
        <v>808</v>
      </c>
      <c r="B809" s="18" t="s">
        <v>25</v>
      </c>
      <c r="C809" s="19">
        <v>3520295891041</v>
      </c>
      <c r="D809" s="19">
        <v>384</v>
      </c>
      <c r="E809" s="20">
        <v>44558</v>
      </c>
      <c r="F809" s="20">
        <v>48210</v>
      </c>
      <c r="G809" s="21">
        <v>34370</v>
      </c>
      <c r="H809" s="22">
        <f t="shared" ca="1" si="24"/>
        <v>32</v>
      </c>
      <c r="I809" s="19" t="s">
        <v>26</v>
      </c>
      <c r="J809" s="18" t="s">
        <v>27</v>
      </c>
      <c r="K809" s="18"/>
      <c r="L809" s="23" t="s">
        <v>3068</v>
      </c>
      <c r="M809" s="23" t="s">
        <v>3069</v>
      </c>
      <c r="N809" s="23" t="s">
        <v>1499</v>
      </c>
      <c r="O809" s="18">
        <v>1</v>
      </c>
      <c r="P809" s="24"/>
      <c r="Q809" s="25">
        <v>42244</v>
      </c>
      <c r="R809" s="13">
        <v>0</v>
      </c>
      <c r="S809" s="26" t="str">
        <f>VLOOKUP(C809,'[1]Bazaar Salary'!$B$6:$J$1193,9,0)</f>
        <v>51010020045946770010</v>
      </c>
      <c r="T809" s="25" t="s">
        <v>32</v>
      </c>
      <c r="U809" s="25" t="s">
        <v>443</v>
      </c>
      <c r="V809" s="25" t="s">
        <v>265</v>
      </c>
      <c r="W809" s="27" t="s">
        <v>3070</v>
      </c>
      <c r="X809" s="28" t="s">
        <v>3071</v>
      </c>
      <c r="Y809" s="28"/>
      <c r="Z809" s="29" t="s">
        <v>37</v>
      </c>
    </row>
    <row r="810" spans="1:26" ht="30" customHeight="1" thickBot="1" x14ac:dyDescent="0.25">
      <c r="A810" s="17">
        <f t="shared" si="25"/>
        <v>809</v>
      </c>
      <c r="B810" s="18" t="s">
        <v>25</v>
      </c>
      <c r="C810" s="19">
        <v>3520201136763</v>
      </c>
      <c r="D810" s="19">
        <v>383</v>
      </c>
      <c r="E810" s="20">
        <v>44490</v>
      </c>
      <c r="F810" s="20">
        <v>48142</v>
      </c>
      <c r="G810" s="21">
        <v>33104</v>
      </c>
      <c r="H810" s="22">
        <f t="shared" ca="1" si="24"/>
        <v>35</v>
      </c>
      <c r="I810" s="19" t="s">
        <v>26</v>
      </c>
      <c r="J810" s="18" t="s">
        <v>27</v>
      </c>
      <c r="K810" s="18"/>
      <c r="L810" s="23" t="s">
        <v>3072</v>
      </c>
      <c r="M810" s="23" t="s">
        <v>3073</v>
      </c>
      <c r="N810" s="23" t="s">
        <v>1499</v>
      </c>
      <c r="O810" s="18">
        <v>1</v>
      </c>
      <c r="P810" s="24"/>
      <c r="Q810" s="25">
        <v>42173</v>
      </c>
      <c r="R810" s="13">
        <v>0</v>
      </c>
      <c r="S810" s="26" t="str">
        <f>VLOOKUP(C810,'[1]Bazaar Salary'!$B$6:$J$1193,9,0)</f>
        <v>51010020045942450015</v>
      </c>
      <c r="T810" s="25" t="s">
        <v>32</v>
      </c>
      <c r="U810" s="25" t="s">
        <v>443</v>
      </c>
      <c r="V810" s="25" t="s">
        <v>1093</v>
      </c>
      <c r="W810" s="27" t="s">
        <v>3074</v>
      </c>
      <c r="X810" s="28" t="s">
        <v>3075</v>
      </c>
      <c r="Y810" s="28"/>
      <c r="Z810" s="29" t="s">
        <v>37</v>
      </c>
    </row>
    <row r="811" spans="1:26" ht="30" customHeight="1" thickBot="1" x14ac:dyDescent="0.25">
      <c r="A811" s="17">
        <f t="shared" si="25"/>
        <v>810</v>
      </c>
      <c r="B811" s="18" t="s">
        <v>25</v>
      </c>
      <c r="C811" s="19">
        <v>3420140487419</v>
      </c>
      <c r="D811" s="19">
        <v>569</v>
      </c>
      <c r="E811" s="20">
        <v>42559</v>
      </c>
      <c r="F811" s="20">
        <v>46211</v>
      </c>
      <c r="G811" s="21">
        <v>32509</v>
      </c>
      <c r="H811" s="22">
        <f t="shared" ca="1" si="24"/>
        <v>37</v>
      </c>
      <c r="I811" s="18" t="s">
        <v>912</v>
      </c>
      <c r="J811" s="18" t="s">
        <v>27</v>
      </c>
      <c r="K811" s="18"/>
      <c r="L811" s="23" t="s">
        <v>2028</v>
      </c>
      <c r="M811" s="23" t="s">
        <v>3076</v>
      </c>
      <c r="N811" s="23" t="s">
        <v>1488</v>
      </c>
      <c r="O811" s="18">
        <v>1</v>
      </c>
      <c r="P811" s="24"/>
      <c r="Q811" s="25">
        <v>42064</v>
      </c>
      <c r="R811" s="13">
        <v>0</v>
      </c>
      <c r="S811" s="26" t="str">
        <f>VLOOKUP(C811,'[1]Bazaar Salary'!$B$6:$J$1193,9,0)</f>
        <v>51040020045808070017</v>
      </c>
      <c r="T811" s="25" t="s">
        <v>32</v>
      </c>
      <c r="U811" s="25" t="s">
        <v>1215</v>
      </c>
      <c r="V811" s="25" t="s">
        <v>1535</v>
      </c>
      <c r="W811" s="27" t="s">
        <v>3077</v>
      </c>
      <c r="X811" s="28" t="s">
        <v>3078</v>
      </c>
      <c r="Y811" s="28"/>
      <c r="Z811" s="29" t="s">
        <v>37</v>
      </c>
    </row>
    <row r="812" spans="1:26" ht="30" customHeight="1" thickBot="1" x14ac:dyDescent="0.25">
      <c r="A812" s="17">
        <f t="shared" si="25"/>
        <v>811</v>
      </c>
      <c r="B812" s="18" t="s">
        <v>25</v>
      </c>
      <c r="C812" s="19">
        <v>3460320850753</v>
      </c>
      <c r="D812" s="19">
        <v>578</v>
      </c>
      <c r="E812" s="20">
        <v>44581</v>
      </c>
      <c r="F812" s="20">
        <v>48233</v>
      </c>
      <c r="G812" s="21">
        <v>32296</v>
      </c>
      <c r="H812" s="22">
        <f t="shared" ca="1" si="24"/>
        <v>38</v>
      </c>
      <c r="I812" s="18" t="s">
        <v>912</v>
      </c>
      <c r="J812" s="18" t="s">
        <v>27</v>
      </c>
      <c r="K812" s="18"/>
      <c r="L812" s="23" t="s">
        <v>3079</v>
      </c>
      <c r="M812" s="23" t="s">
        <v>1896</v>
      </c>
      <c r="N812" s="23" t="s">
        <v>1488</v>
      </c>
      <c r="O812" s="18">
        <v>1</v>
      </c>
      <c r="P812" s="24"/>
      <c r="Q812" s="25">
        <v>41974</v>
      </c>
      <c r="R812" s="13">
        <v>0</v>
      </c>
      <c r="S812" s="26" t="str">
        <f>VLOOKUP(C812,'[1]Bazaar Salary'!$B$6:$J$1193,9,0)</f>
        <v>09140010045707060013</v>
      </c>
      <c r="T812" s="25" t="s">
        <v>32</v>
      </c>
      <c r="U812" s="25" t="s">
        <v>1215</v>
      </c>
      <c r="V812" s="25" t="s">
        <v>1356</v>
      </c>
      <c r="W812" s="27" t="s">
        <v>3080</v>
      </c>
      <c r="X812" s="28" t="s">
        <v>3081</v>
      </c>
      <c r="Y812" s="28"/>
      <c r="Z812" s="29" t="s">
        <v>37</v>
      </c>
    </row>
    <row r="813" spans="1:26" ht="30" customHeight="1" thickBot="1" x14ac:dyDescent="0.25">
      <c r="A813" s="17">
        <f t="shared" si="25"/>
        <v>812</v>
      </c>
      <c r="B813" s="18" t="s">
        <v>25</v>
      </c>
      <c r="C813" s="19">
        <v>3460308170333</v>
      </c>
      <c r="D813" s="19">
        <v>491</v>
      </c>
      <c r="E813" s="20">
        <v>44678</v>
      </c>
      <c r="F813" s="20">
        <v>48331</v>
      </c>
      <c r="G813" s="21">
        <v>32875</v>
      </c>
      <c r="H813" s="22">
        <f t="shared" ca="1" si="24"/>
        <v>36</v>
      </c>
      <c r="I813" s="19" t="s">
        <v>26</v>
      </c>
      <c r="J813" s="18" t="s">
        <v>27</v>
      </c>
      <c r="K813" s="18"/>
      <c r="L813" s="23" t="s">
        <v>3082</v>
      </c>
      <c r="M813" s="23" t="s">
        <v>2583</v>
      </c>
      <c r="N813" s="23" t="s">
        <v>1499</v>
      </c>
      <c r="O813" s="18">
        <v>1</v>
      </c>
      <c r="P813" s="24"/>
      <c r="Q813" s="25">
        <v>41974</v>
      </c>
      <c r="R813" s="13">
        <v>0</v>
      </c>
      <c r="S813" s="26" t="str">
        <f>VLOOKUP(C813,'[1]Bazaar Salary'!$B$6:$J$1193,9,0)</f>
        <v>09140010045680520014</v>
      </c>
      <c r="T813" s="25" t="s">
        <v>32</v>
      </c>
      <c r="U813" s="25" t="s">
        <v>1215</v>
      </c>
      <c r="V813" s="25" t="s">
        <v>1535</v>
      </c>
      <c r="W813" s="27" t="s">
        <v>3083</v>
      </c>
      <c r="X813" s="28" t="s">
        <v>3084</v>
      </c>
      <c r="Y813" s="28"/>
      <c r="Z813" s="29" t="s">
        <v>37</v>
      </c>
    </row>
    <row r="814" spans="1:26" ht="30" customHeight="1" thickBot="1" x14ac:dyDescent="0.25">
      <c r="A814" s="17">
        <f t="shared" si="25"/>
        <v>813</v>
      </c>
      <c r="B814" s="18" t="s">
        <v>25</v>
      </c>
      <c r="C814" s="19">
        <v>3460234802353</v>
      </c>
      <c r="D814" s="19">
        <v>1532</v>
      </c>
      <c r="E814" s="20">
        <v>43531</v>
      </c>
      <c r="F814" s="20">
        <v>47184</v>
      </c>
      <c r="G814" s="21">
        <v>36852</v>
      </c>
      <c r="H814" s="22">
        <f t="shared" ca="1" si="24"/>
        <v>25</v>
      </c>
      <c r="I814" s="19" t="s">
        <v>26</v>
      </c>
      <c r="J814" s="18" t="s">
        <v>27</v>
      </c>
      <c r="K814" s="18"/>
      <c r="L814" s="23" t="s">
        <v>1598</v>
      </c>
      <c r="M814" s="23" t="s">
        <v>1808</v>
      </c>
      <c r="N814" s="23" t="s">
        <v>1499</v>
      </c>
      <c r="O814" s="18">
        <v>1</v>
      </c>
      <c r="P814" s="24"/>
      <c r="Q814" s="25">
        <v>45748</v>
      </c>
      <c r="R814" s="13">
        <v>0</v>
      </c>
      <c r="S814" s="26" t="str">
        <f>VLOOKUP(C814,'[1]Bazaar Salary'!$B$6:$J$1193,9,0)</f>
        <v>09140010117342700016</v>
      </c>
      <c r="T814" s="25" t="s">
        <v>32</v>
      </c>
      <c r="U814" s="25" t="s">
        <v>1215</v>
      </c>
      <c r="V814" s="25" t="s">
        <v>1093</v>
      </c>
      <c r="W814" s="27" t="s">
        <v>3085</v>
      </c>
      <c r="X814" s="28" t="s">
        <v>3086</v>
      </c>
      <c r="Y814" s="28"/>
      <c r="Z814" s="29" t="s">
        <v>37</v>
      </c>
    </row>
    <row r="815" spans="1:26" ht="30" customHeight="1" thickBot="1" x14ac:dyDescent="0.25">
      <c r="A815" s="17">
        <f t="shared" si="25"/>
        <v>814</v>
      </c>
      <c r="B815" s="18" t="s">
        <v>25</v>
      </c>
      <c r="C815" s="19">
        <v>3210342826685</v>
      </c>
      <c r="D815" s="19">
        <v>1470</v>
      </c>
      <c r="E815" s="20">
        <v>44951</v>
      </c>
      <c r="F815" s="20">
        <v>48604</v>
      </c>
      <c r="G815" s="21">
        <v>30353</v>
      </c>
      <c r="H815" s="22">
        <f t="shared" ca="1" si="24"/>
        <v>43</v>
      </c>
      <c r="I815" s="19" t="s">
        <v>26</v>
      </c>
      <c r="J815" s="18" t="s">
        <v>27</v>
      </c>
      <c r="K815" s="18"/>
      <c r="L815" s="23" t="s">
        <v>3087</v>
      </c>
      <c r="M815" s="23" t="s">
        <v>3088</v>
      </c>
      <c r="N815" s="23" t="s">
        <v>1488</v>
      </c>
      <c r="O815" s="18">
        <v>1</v>
      </c>
      <c r="P815" s="24"/>
      <c r="Q815" s="25">
        <v>45748</v>
      </c>
      <c r="R815" s="13">
        <v>0</v>
      </c>
      <c r="S815" s="26" t="str">
        <f>VLOOKUP(C815,'[1]Bazaar Salary'!$B$6:$J$1193,9,0)</f>
        <v>07330010101956540016</v>
      </c>
      <c r="T815" s="25" t="s">
        <v>32</v>
      </c>
      <c r="U815" s="25" t="s">
        <v>883</v>
      </c>
      <c r="V815" s="25" t="s">
        <v>1093</v>
      </c>
      <c r="W815" s="24" t="s">
        <v>3089</v>
      </c>
      <c r="X815" s="28" t="s">
        <v>3090</v>
      </c>
      <c r="Y815" s="28"/>
      <c r="Z815" s="29" t="s">
        <v>37</v>
      </c>
    </row>
    <row r="816" spans="1:26" ht="30" customHeight="1" thickBot="1" x14ac:dyDescent="0.25">
      <c r="A816" s="17">
        <f t="shared" si="25"/>
        <v>815</v>
      </c>
      <c r="B816" s="18" t="s">
        <v>25</v>
      </c>
      <c r="C816" s="19">
        <v>3210364703125</v>
      </c>
      <c r="D816" s="19">
        <v>1686</v>
      </c>
      <c r="E816" s="21">
        <v>44999</v>
      </c>
      <c r="F816" s="21">
        <v>48652</v>
      </c>
      <c r="G816" s="21">
        <v>38353</v>
      </c>
      <c r="H816" s="22">
        <f t="shared" ca="1" si="24"/>
        <v>21</v>
      </c>
      <c r="I816" s="18" t="s">
        <v>26</v>
      </c>
      <c r="J816" s="18" t="s">
        <v>27</v>
      </c>
      <c r="K816" s="23"/>
      <c r="L816" s="24" t="s">
        <v>1529</v>
      </c>
      <c r="M816" s="33" t="s">
        <v>402</v>
      </c>
      <c r="N816" s="23" t="s">
        <v>1488</v>
      </c>
      <c r="O816" s="18">
        <v>1</v>
      </c>
      <c r="P816" s="24"/>
      <c r="Q816" s="25">
        <v>45748</v>
      </c>
      <c r="R816" s="13">
        <v>0</v>
      </c>
      <c r="S816" s="26" t="str">
        <f>VLOOKUP(C816,'[1]Bazaar Salary'!$B$6:$J$1193,9,0)</f>
        <v>07330010135464650018</v>
      </c>
      <c r="T816" s="25" t="s">
        <v>32</v>
      </c>
      <c r="U816" s="25" t="s">
        <v>883</v>
      </c>
      <c r="V816" s="25" t="s">
        <v>1093</v>
      </c>
      <c r="W816" s="33" t="s">
        <v>3091</v>
      </c>
      <c r="X816" s="28" t="s">
        <v>3092</v>
      </c>
      <c r="Y816" s="28"/>
      <c r="Z816" s="29" t="s">
        <v>37</v>
      </c>
    </row>
    <row r="817" spans="1:26" ht="30" customHeight="1" thickBot="1" x14ac:dyDescent="0.25">
      <c r="A817" s="17">
        <f t="shared" si="25"/>
        <v>816</v>
      </c>
      <c r="B817" s="18" t="s">
        <v>25</v>
      </c>
      <c r="C817" s="19">
        <v>3210302234285</v>
      </c>
      <c r="D817" s="19">
        <v>1684</v>
      </c>
      <c r="E817" s="21">
        <v>45369</v>
      </c>
      <c r="F817" s="21">
        <v>49021</v>
      </c>
      <c r="G817" s="21">
        <v>38384</v>
      </c>
      <c r="H817" s="22">
        <f t="shared" ca="1" si="24"/>
        <v>21</v>
      </c>
      <c r="I817" s="18" t="s">
        <v>26</v>
      </c>
      <c r="J817" s="18" t="s">
        <v>27</v>
      </c>
      <c r="K817" s="23"/>
      <c r="L817" s="24" t="s">
        <v>3093</v>
      </c>
      <c r="M817" s="33" t="s">
        <v>1165</v>
      </c>
      <c r="N817" s="23" t="s">
        <v>1488</v>
      </c>
      <c r="O817" s="18">
        <v>1</v>
      </c>
      <c r="P817" s="24"/>
      <c r="Q817" s="25">
        <v>45748</v>
      </c>
      <c r="R817" s="13">
        <v>0</v>
      </c>
      <c r="S817" s="26" t="str">
        <f>VLOOKUP(C817,'[1]Bazaar Salary'!$B$6:$J$1193,9,0)</f>
        <v>07330010135365990017</v>
      </c>
      <c r="T817" s="25" t="s">
        <v>32</v>
      </c>
      <c r="U817" s="25" t="s">
        <v>883</v>
      </c>
      <c r="V817" s="25" t="s">
        <v>1093</v>
      </c>
      <c r="W817" s="33" t="s">
        <v>3094</v>
      </c>
      <c r="X817" s="28" t="s">
        <v>3095</v>
      </c>
      <c r="Y817" s="28"/>
      <c r="Z817" s="29" t="s">
        <v>37</v>
      </c>
    </row>
    <row r="818" spans="1:26" ht="30" customHeight="1" thickBot="1" x14ac:dyDescent="0.25">
      <c r="A818" s="17">
        <f t="shared" si="25"/>
        <v>817</v>
      </c>
      <c r="B818" s="18" t="s">
        <v>25</v>
      </c>
      <c r="C818" s="19">
        <v>4250195805083</v>
      </c>
      <c r="D818" s="19">
        <v>1506</v>
      </c>
      <c r="E818" s="20">
        <v>42082</v>
      </c>
      <c r="F818" s="20">
        <v>45735</v>
      </c>
      <c r="G818" s="21">
        <v>26706</v>
      </c>
      <c r="H818" s="22">
        <f t="shared" ca="1" si="24"/>
        <v>53</v>
      </c>
      <c r="I818" s="19" t="s">
        <v>26</v>
      </c>
      <c r="J818" s="18" t="s">
        <v>27</v>
      </c>
      <c r="K818" s="18"/>
      <c r="L818" s="23" t="s">
        <v>3096</v>
      </c>
      <c r="M818" s="23" t="s">
        <v>3097</v>
      </c>
      <c r="N818" s="23" t="s">
        <v>1499</v>
      </c>
      <c r="O818" s="18">
        <v>1</v>
      </c>
      <c r="P818" s="24"/>
      <c r="Q818" s="25">
        <v>45748</v>
      </c>
      <c r="R818" s="13">
        <v>0</v>
      </c>
      <c r="S818" s="26" t="str">
        <f>VLOOKUP(C818,'[1]Bazaar Salary'!$B$6:$J$1193,9,0)</f>
        <v>07330010109348600012</v>
      </c>
      <c r="T818" s="25" t="s">
        <v>32</v>
      </c>
      <c r="U818" s="25" t="s">
        <v>883</v>
      </c>
      <c r="V818" s="25" t="s">
        <v>1093</v>
      </c>
      <c r="W818" s="27" t="s">
        <v>3098</v>
      </c>
      <c r="X818" s="28" t="s">
        <v>3099</v>
      </c>
      <c r="Y818" s="28"/>
      <c r="Z818" s="29" t="s">
        <v>37</v>
      </c>
    </row>
    <row r="819" spans="1:26" ht="30" customHeight="1" thickBot="1" x14ac:dyDescent="0.25">
      <c r="A819" s="17">
        <f t="shared" si="25"/>
        <v>818</v>
      </c>
      <c r="B819" s="18" t="s">
        <v>25</v>
      </c>
      <c r="C819" s="19">
        <v>3210139896989</v>
      </c>
      <c r="D819" s="19">
        <v>1469</v>
      </c>
      <c r="E819" s="20">
        <v>44152</v>
      </c>
      <c r="F819" s="20">
        <v>47804</v>
      </c>
      <c r="G819" s="21">
        <v>37289</v>
      </c>
      <c r="H819" s="22">
        <f t="shared" ca="1" si="24"/>
        <v>24</v>
      </c>
      <c r="I819" s="19" t="s">
        <v>26</v>
      </c>
      <c r="J819" s="18" t="s">
        <v>27</v>
      </c>
      <c r="K819" s="18"/>
      <c r="L819" s="23" t="s">
        <v>631</v>
      </c>
      <c r="M819" s="23" t="s">
        <v>3100</v>
      </c>
      <c r="N819" s="23" t="s">
        <v>1499</v>
      </c>
      <c r="O819" s="18">
        <v>1</v>
      </c>
      <c r="P819" s="24"/>
      <c r="Q819" s="25">
        <v>45748</v>
      </c>
      <c r="R819" s="13">
        <v>0</v>
      </c>
      <c r="S819" s="26" t="str">
        <f>VLOOKUP(C819,'[1]Bazaar Salary'!$B$6:$J$1193,9,0)</f>
        <v>07330010101812820015</v>
      </c>
      <c r="T819" s="25" t="s">
        <v>32</v>
      </c>
      <c r="U819" s="25" t="s">
        <v>883</v>
      </c>
      <c r="V819" s="25" t="s">
        <v>884</v>
      </c>
      <c r="W819" s="24" t="s">
        <v>3101</v>
      </c>
      <c r="X819" s="28" t="s">
        <v>3102</v>
      </c>
      <c r="Y819" s="28"/>
      <c r="Z819" s="29" t="s">
        <v>37</v>
      </c>
    </row>
    <row r="820" spans="1:26" ht="30" customHeight="1" thickBot="1" x14ac:dyDescent="0.25">
      <c r="A820" s="17">
        <f t="shared" si="25"/>
        <v>819</v>
      </c>
      <c r="B820" s="18" t="s">
        <v>25</v>
      </c>
      <c r="C820" s="19">
        <v>3210390889433</v>
      </c>
      <c r="D820" s="19">
        <v>1500</v>
      </c>
      <c r="E820" s="20">
        <v>42398</v>
      </c>
      <c r="F820" s="20">
        <v>46051</v>
      </c>
      <c r="G820" s="21">
        <v>30166</v>
      </c>
      <c r="H820" s="22">
        <f t="shared" ca="1" si="24"/>
        <v>43</v>
      </c>
      <c r="I820" s="19" t="s">
        <v>26</v>
      </c>
      <c r="J820" s="18" t="s">
        <v>27</v>
      </c>
      <c r="K820" s="18"/>
      <c r="L820" s="23" t="s">
        <v>2106</v>
      </c>
      <c r="M820" s="23" t="s">
        <v>402</v>
      </c>
      <c r="N820" s="23" t="s">
        <v>1499</v>
      </c>
      <c r="O820" s="18">
        <v>1</v>
      </c>
      <c r="P820" s="24"/>
      <c r="Q820" s="25">
        <v>45748</v>
      </c>
      <c r="R820" s="13">
        <v>0</v>
      </c>
      <c r="S820" s="26" t="str">
        <f>VLOOKUP(C820,'[1]Bazaar Salary'!$B$6:$J$1193,9,0)</f>
        <v>07330010106984590015</v>
      </c>
      <c r="T820" s="25" t="s">
        <v>32</v>
      </c>
      <c r="U820" s="25" t="s">
        <v>883</v>
      </c>
      <c r="V820" s="25" t="s">
        <v>1093</v>
      </c>
      <c r="W820" s="27" t="s">
        <v>3103</v>
      </c>
      <c r="X820" s="28" t="s">
        <v>3104</v>
      </c>
      <c r="Y820" s="28"/>
      <c r="Z820" s="29" t="s">
        <v>37</v>
      </c>
    </row>
    <row r="821" spans="1:26" ht="30" customHeight="1" thickBot="1" x14ac:dyDescent="0.25">
      <c r="A821" s="17">
        <f t="shared" si="25"/>
        <v>820</v>
      </c>
      <c r="B821" s="18" t="s">
        <v>25</v>
      </c>
      <c r="C821" s="19">
        <v>3210357375279</v>
      </c>
      <c r="D821" s="19">
        <v>1723</v>
      </c>
      <c r="E821" s="20">
        <v>45238</v>
      </c>
      <c r="F821" s="20">
        <v>48891</v>
      </c>
      <c r="G821" s="21">
        <v>32987</v>
      </c>
      <c r="H821" s="22">
        <f t="shared" ca="1" si="24"/>
        <v>36</v>
      </c>
      <c r="I821" s="19" t="s">
        <v>26</v>
      </c>
      <c r="J821" s="18" t="s">
        <v>27</v>
      </c>
      <c r="K821" s="18"/>
      <c r="L821" s="23" t="s">
        <v>776</v>
      </c>
      <c r="M821" s="23" t="s">
        <v>1641</v>
      </c>
      <c r="N821" s="23" t="s">
        <v>1499</v>
      </c>
      <c r="O821" s="18">
        <v>1</v>
      </c>
      <c r="P821" s="24"/>
      <c r="Q821" s="25">
        <v>45748</v>
      </c>
      <c r="R821" s="13">
        <v>0</v>
      </c>
      <c r="S821" s="26" t="str">
        <f>VLOOKUP(C821,'[1]Bazaar Salary'!$B$6:$J$1193,9,0)</f>
        <v>07330010138614820016</v>
      </c>
      <c r="T821" s="25" t="s">
        <v>32</v>
      </c>
      <c r="U821" s="25" t="s">
        <v>883</v>
      </c>
      <c r="V821" s="25" t="s">
        <v>1093</v>
      </c>
      <c r="W821" s="27" t="s">
        <v>3105</v>
      </c>
      <c r="X821" s="28" t="s">
        <v>3106</v>
      </c>
      <c r="Y821" s="28"/>
      <c r="Z821" s="29" t="s">
        <v>37</v>
      </c>
    </row>
    <row r="822" spans="1:26" ht="30" customHeight="1" thickBot="1" x14ac:dyDescent="0.25">
      <c r="A822" s="17">
        <f t="shared" si="25"/>
        <v>821</v>
      </c>
      <c r="B822" s="18" t="s">
        <v>25</v>
      </c>
      <c r="C822" s="19">
        <v>3130308733533</v>
      </c>
      <c r="D822" s="19">
        <v>1790</v>
      </c>
      <c r="E822" s="20">
        <v>45266</v>
      </c>
      <c r="F822" s="20">
        <v>48919</v>
      </c>
      <c r="G822" s="21">
        <v>33604</v>
      </c>
      <c r="H822" s="22">
        <f t="shared" ca="1" si="24"/>
        <v>34</v>
      </c>
      <c r="I822" s="19" t="s">
        <v>26</v>
      </c>
      <c r="J822" s="18" t="s">
        <v>27</v>
      </c>
      <c r="K822" s="18"/>
      <c r="L822" s="23" t="s">
        <v>2586</v>
      </c>
      <c r="M822" s="23" t="s">
        <v>3107</v>
      </c>
      <c r="N822" s="23" t="s">
        <v>1499</v>
      </c>
      <c r="O822" s="18">
        <v>1</v>
      </c>
      <c r="P822" s="24"/>
      <c r="Q822" s="25">
        <v>45748</v>
      </c>
      <c r="R822" s="13">
        <v>0</v>
      </c>
      <c r="S822" s="26" t="str">
        <f>VLOOKUP(C822,'[1]Bazaar Salary'!$B$6:$J$1193,9,0)</f>
        <v>13800010131601230011</v>
      </c>
      <c r="T822" s="25" t="s">
        <v>32</v>
      </c>
      <c r="U822" s="25" t="s">
        <v>883</v>
      </c>
      <c r="V822" s="25" t="s">
        <v>1093</v>
      </c>
      <c r="W822" s="27" t="s">
        <v>3108</v>
      </c>
      <c r="X822" s="28" t="s">
        <v>3109</v>
      </c>
      <c r="Y822" s="28"/>
      <c r="Z822" s="29" t="s">
        <v>37</v>
      </c>
    </row>
    <row r="823" spans="1:26" ht="30" customHeight="1" thickBot="1" x14ac:dyDescent="0.25">
      <c r="A823" s="17">
        <f t="shared" si="25"/>
        <v>822</v>
      </c>
      <c r="B823" s="18" t="s">
        <v>25</v>
      </c>
      <c r="C823" s="19">
        <v>3210118578679</v>
      </c>
      <c r="D823" s="19">
        <v>1466</v>
      </c>
      <c r="E823" s="20">
        <v>44754</v>
      </c>
      <c r="F823" s="20">
        <v>48407</v>
      </c>
      <c r="G823" s="21">
        <v>29768</v>
      </c>
      <c r="H823" s="22">
        <f t="shared" ca="1" si="24"/>
        <v>44</v>
      </c>
      <c r="I823" s="19" t="s">
        <v>26</v>
      </c>
      <c r="J823" s="18" t="s">
        <v>27</v>
      </c>
      <c r="K823" s="18"/>
      <c r="L823" s="23" t="s">
        <v>3110</v>
      </c>
      <c r="M823" s="23" t="s">
        <v>2309</v>
      </c>
      <c r="N823" s="23" t="s">
        <v>1499</v>
      </c>
      <c r="O823" s="18">
        <v>1</v>
      </c>
      <c r="P823" s="24"/>
      <c r="Q823" s="25">
        <v>45748</v>
      </c>
      <c r="R823" s="13">
        <v>0</v>
      </c>
      <c r="S823" s="26" t="str">
        <f>VLOOKUP(C823,'[1]Bazaar Salary'!$B$6:$J$1193,9,0)</f>
        <v>07330010101786570018</v>
      </c>
      <c r="T823" s="25" t="s">
        <v>32</v>
      </c>
      <c r="U823" s="25" t="s">
        <v>883</v>
      </c>
      <c r="V823" s="25" t="s">
        <v>1356</v>
      </c>
      <c r="W823" s="24" t="s">
        <v>3101</v>
      </c>
      <c r="X823" s="28" t="s">
        <v>3111</v>
      </c>
      <c r="Y823" s="28"/>
      <c r="Z823" s="29" t="s">
        <v>37</v>
      </c>
    </row>
    <row r="824" spans="1:26" ht="30" customHeight="1" thickBot="1" x14ac:dyDescent="0.25">
      <c r="A824" s="17">
        <f t="shared" si="25"/>
        <v>823</v>
      </c>
      <c r="B824" s="18" t="s">
        <v>25</v>
      </c>
      <c r="C824" s="19">
        <v>3520126645303</v>
      </c>
      <c r="D824" s="19">
        <v>1591</v>
      </c>
      <c r="E824" s="20">
        <v>45379</v>
      </c>
      <c r="F824" s="20">
        <v>49031</v>
      </c>
      <c r="G824" s="21">
        <v>36661</v>
      </c>
      <c r="H824" s="22">
        <f t="shared" ca="1" si="24"/>
        <v>26</v>
      </c>
      <c r="I824" s="18" t="s">
        <v>912</v>
      </c>
      <c r="J824" s="18" t="s">
        <v>27</v>
      </c>
      <c r="K824" s="18"/>
      <c r="L824" s="23" t="s">
        <v>3112</v>
      </c>
      <c r="M824" s="23" t="s">
        <v>2856</v>
      </c>
      <c r="N824" s="23" t="s">
        <v>1488</v>
      </c>
      <c r="O824" s="18">
        <v>1</v>
      </c>
      <c r="P824" s="24"/>
      <c r="Q824" s="25">
        <v>45748</v>
      </c>
      <c r="R824" s="13">
        <v>0</v>
      </c>
      <c r="S824" s="26" t="str">
        <f>VLOOKUP(C824,'[1]Bazaar Salary'!$B$6:$J$1193,9,0)</f>
        <v>02880010101203570025</v>
      </c>
      <c r="T824" s="25" t="s">
        <v>32</v>
      </c>
      <c r="U824" s="25" t="s">
        <v>448</v>
      </c>
      <c r="V824" s="25" t="s">
        <v>1093</v>
      </c>
      <c r="W824" s="27" t="s">
        <v>3113</v>
      </c>
      <c r="X824" s="28" t="s">
        <v>3114</v>
      </c>
      <c r="Y824" s="28"/>
      <c r="Z824" s="29" t="s">
        <v>37</v>
      </c>
    </row>
    <row r="825" spans="1:26" ht="30" customHeight="1" thickBot="1" x14ac:dyDescent="0.25">
      <c r="A825" s="17">
        <f t="shared" si="25"/>
        <v>824</v>
      </c>
      <c r="B825" s="18" t="s">
        <v>25</v>
      </c>
      <c r="C825" s="19">
        <v>3520268662347</v>
      </c>
      <c r="D825" s="19">
        <v>513</v>
      </c>
      <c r="E825" s="20">
        <v>43549</v>
      </c>
      <c r="F825" s="20">
        <v>47202</v>
      </c>
      <c r="G825" s="21">
        <v>25204</v>
      </c>
      <c r="H825" s="22">
        <f t="shared" ca="1" si="24"/>
        <v>57</v>
      </c>
      <c r="I825" s="18" t="s">
        <v>912</v>
      </c>
      <c r="J825" s="18" t="s">
        <v>27</v>
      </c>
      <c r="K825" s="18"/>
      <c r="L825" s="23" t="s">
        <v>3076</v>
      </c>
      <c r="M825" s="23" t="s">
        <v>3115</v>
      </c>
      <c r="N825" s="23" t="s">
        <v>1488</v>
      </c>
      <c r="O825" s="18">
        <v>1</v>
      </c>
      <c r="P825" s="24"/>
      <c r="Q825" s="25">
        <v>41978</v>
      </c>
      <c r="R825" s="13">
        <v>0</v>
      </c>
      <c r="S825" s="26" t="str">
        <f>VLOOKUP(C825,'[1]Bazaar Salary'!$B$6:$J$1193,9,0)</f>
        <v>09410010045977840014</v>
      </c>
      <c r="T825" s="25" t="s">
        <v>32</v>
      </c>
      <c r="U825" s="25" t="s">
        <v>448</v>
      </c>
      <c r="V825" s="25" t="s">
        <v>1093</v>
      </c>
      <c r="W825" s="27" t="s">
        <v>3116</v>
      </c>
      <c r="X825" s="28" t="s">
        <v>3117</v>
      </c>
      <c r="Y825" s="28"/>
      <c r="Z825" s="29" t="s">
        <v>37</v>
      </c>
    </row>
    <row r="826" spans="1:26" ht="30" customHeight="1" thickBot="1" x14ac:dyDescent="0.25">
      <c r="A826" s="17">
        <f t="shared" si="25"/>
        <v>825</v>
      </c>
      <c r="B826" s="18" t="s">
        <v>25</v>
      </c>
      <c r="C826" s="19">
        <v>3520228388815</v>
      </c>
      <c r="D826" s="19">
        <v>1528</v>
      </c>
      <c r="E826" s="20">
        <v>44356</v>
      </c>
      <c r="F826" s="20">
        <v>48008</v>
      </c>
      <c r="G826" s="21">
        <v>30528</v>
      </c>
      <c r="H826" s="22">
        <f t="shared" ca="1" si="24"/>
        <v>42</v>
      </c>
      <c r="I826" s="18" t="s">
        <v>912</v>
      </c>
      <c r="J826" s="18" t="s">
        <v>27</v>
      </c>
      <c r="K826" s="18"/>
      <c r="L826" s="23" t="s">
        <v>3118</v>
      </c>
      <c r="M826" s="23" t="s">
        <v>3119</v>
      </c>
      <c r="N826" s="23" t="s">
        <v>1488</v>
      </c>
      <c r="O826" s="18">
        <v>1</v>
      </c>
      <c r="P826" s="24"/>
      <c r="Q826" s="25">
        <v>45748</v>
      </c>
      <c r="R826" s="13">
        <v>0</v>
      </c>
      <c r="S826" s="26" t="str">
        <f>VLOOKUP(C826,'[1]Bazaar Salary'!$B$6:$J$1193,9,0)</f>
        <v>09650010116102490013</v>
      </c>
      <c r="T826" s="25" t="s">
        <v>32</v>
      </c>
      <c r="U826" s="25" t="s">
        <v>448</v>
      </c>
      <c r="V826" s="25" t="s">
        <v>1093</v>
      </c>
      <c r="W826" s="27" t="s">
        <v>3120</v>
      </c>
      <c r="X826" s="28" t="s">
        <v>3121</v>
      </c>
      <c r="Y826" s="28"/>
      <c r="Z826" s="29" t="s">
        <v>37</v>
      </c>
    </row>
    <row r="827" spans="1:26" ht="30" customHeight="1" thickBot="1" x14ac:dyDescent="0.25">
      <c r="A827" s="17">
        <f t="shared" si="25"/>
        <v>826</v>
      </c>
      <c r="B827" s="18" t="s">
        <v>25</v>
      </c>
      <c r="C827" s="19">
        <v>3510273935299</v>
      </c>
      <c r="D827" s="19">
        <v>347</v>
      </c>
      <c r="E827" s="20">
        <v>43734</v>
      </c>
      <c r="F827" s="20">
        <v>47387</v>
      </c>
      <c r="G827" s="21">
        <v>31853</v>
      </c>
      <c r="H827" s="22">
        <f t="shared" ca="1" si="24"/>
        <v>39</v>
      </c>
      <c r="I827" s="19" t="s">
        <v>26</v>
      </c>
      <c r="J827" s="18" t="s">
        <v>27</v>
      </c>
      <c r="K827" s="18"/>
      <c r="L827" s="23" t="s">
        <v>3122</v>
      </c>
      <c r="M827" s="23" t="s">
        <v>3123</v>
      </c>
      <c r="N827" s="23" t="s">
        <v>1499</v>
      </c>
      <c r="O827" s="18">
        <v>1</v>
      </c>
      <c r="P827" s="24"/>
      <c r="Q827" s="25">
        <v>42518</v>
      </c>
      <c r="R827" s="13">
        <v>0</v>
      </c>
      <c r="S827" s="26" t="str">
        <f>VLOOKUP(C827,'[1]Bazaar Salary'!$B$6:$J$1193,9,0)</f>
        <v>09650010045888880013</v>
      </c>
      <c r="T827" s="25" t="s">
        <v>32</v>
      </c>
      <c r="U827" s="25" t="s">
        <v>448</v>
      </c>
      <c r="V827" s="25" t="s">
        <v>884</v>
      </c>
      <c r="W827" s="27" t="s">
        <v>3124</v>
      </c>
      <c r="X827" s="28" t="s">
        <v>3125</v>
      </c>
      <c r="Y827" s="28"/>
      <c r="Z827" s="29" t="s">
        <v>37</v>
      </c>
    </row>
    <row r="828" spans="1:26" ht="30" customHeight="1" thickBot="1" x14ac:dyDescent="0.25">
      <c r="A828" s="17">
        <f t="shared" si="25"/>
        <v>827</v>
      </c>
      <c r="B828" s="18" t="s">
        <v>25</v>
      </c>
      <c r="C828" s="19">
        <v>3520239820703</v>
      </c>
      <c r="D828" s="19">
        <v>1343</v>
      </c>
      <c r="E828" s="20">
        <v>44734</v>
      </c>
      <c r="F828" s="20">
        <v>48387</v>
      </c>
      <c r="G828" s="21">
        <v>32822</v>
      </c>
      <c r="H828" s="22">
        <f t="shared" ca="1" si="24"/>
        <v>36</v>
      </c>
      <c r="I828" s="19" t="s">
        <v>26</v>
      </c>
      <c r="J828" s="18" t="s">
        <v>27</v>
      </c>
      <c r="K828" s="18"/>
      <c r="L828" s="23" t="s">
        <v>3126</v>
      </c>
      <c r="M828" s="23" t="s">
        <v>3127</v>
      </c>
      <c r="N828" s="23" t="s">
        <v>1499</v>
      </c>
      <c r="O828" s="18">
        <v>1</v>
      </c>
      <c r="P828" s="24"/>
      <c r="Q828" s="25">
        <v>45748</v>
      </c>
      <c r="R828" s="13">
        <v>0</v>
      </c>
      <c r="S828" s="26" t="str">
        <f>VLOOKUP(C828,'[1]Bazaar Salary'!$B$6:$J$1193,9,0)</f>
        <v>07170010089217190018</v>
      </c>
      <c r="T828" s="25" t="s">
        <v>32</v>
      </c>
      <c r="U828" s="25" t="s">
        <v>448</v>
      </c>
      <c r="V828" s="25" t="s">
        <v>320</v>
      </c>
      <c r="W828" s="27" t="s">
        <v>3128</v>
      </c>
      <c r="X828" s="28" t="s">
        <v>3129</v>
      </c>
      <c r="Y828" s="28"/>
      <c r="Z828" s="29" t="s">
        <v>37</v>
      </c>
    </row>
    <row r="829" spans="1:26" ht="30" customHeight="1" thickBot="1" x14ac:dyDescent="0.25">
      <c r="A829" s="17">
        <f t="shared" si="25"/>
        <v>828</v>
      </c>
      <c r="B829" s="18" t="s">
        <v>25</v>
      </c>
      <c r="C829" s="19">
        <v>3520264523409</v>
      </c>
      <c r="D829" s="19">
        <v>367</v>
      </c>
      <c r="E829" s="20">
        <v>44634</v>
      </c>
      <c r="F829" s="20">
        <v>48287</v>
      </c>
      <c r="G829" s="21">
        <v>29261</v>
      </c>
      <c r="H829" s="22">
        <f t="shared" ca="1" si="24"/>
        <v>46</v>
      </c>
      <c r="I829" s="19" t="s">
        <v>26</v>
      </c>
      <c r="J829" s="18" t="s">
        <v>27</v>
      </c>
      <c r="K829" s="18"/>
      <c r="L829" s="23" t="s">
        <v>3130</v>
      </c>
      <c r="M829" s="23" t="s">
        <v>3131</v>
      </c>
      <c r="N829" s="23" t="s">
        <v>1499</v>
      </c>
      <c r="O829" s="18">
        <v>1</v>
      </c>
      <c r="P829" s="24"/>
      <c r="Q829" s="25">
        <v>42510</v>
      </c>
      <c r="R829" s="13">
        <v>0</v>
      </c>
      <c r="S829" s="26" t="str">
        <f>VLOOKUP(C829,'[1]Bazaar Salary'!$B$6:$J$1193,9,0)</f>
        <v>08100010045871650010</v>
      </c>
      <c r="T829" s="25" t="s">
        <v>32</v>
      </c>
      <c r="U829" s="25" t="s">
        <v>448</v>
      </c>
      <c r="V829" s="25" t="s">
        <v>1093</v>
      </c>
      <c r="W829" s="27" t="s">
        <v>3132</v>
      </c>
      <c r="X829" s="28" t="s">
        <v>3133</v>
      </c>
      <c r="Y829" s="28"/>
      <c r="Z829" s="29" t="s">
        <v>37</v>
      </c>
    </row>
    <row r="830" spans="1:26" ht="30" customHeight="1" thickBot="1" x14ac:dyDescent="0.25">
      <c r="A830" s="17">
        <f t="shared" si="25"/>
        <v>829</v>
      </c>
      <c r="B830" s="18" t="s">
        <v>25</v>
      </c>
      <c r="C830" s="19">
        <v>3630295027099</v>
      </c>
      <c r="D830" s="19">
        <v>1715</v>
      </c>
      <c r="E830" s="20">
        <v>42903</v>
      </c>
      <c r="F830" s="20">
        <v>46555</v>
      </c>
      <c r="G830" s="21">
        <v>35577</v>
      </c>
      <c r="H830" s="22">
        <f t="shared" ca="1" si="24"/>
        <v>29</v>
      </c>
      <c r="I830" s="19" t="s">
        <v>26</v>
      </c>
      <c r="J830" s="18" t="s">
        <v>27</v>
      </c>
      <c r="K830" s="18"/>
      <c r="L830" s="23" t="s">
        <v>1940</v>
      </c>
      <c r="M830" s="23" t="s">
        <v>1621</v>
      </c>
      <c r="N830" s="23" t="s">
        <v>1499</v>
      </c>
      <c r="O830" s="18">
        <v>1</v>
      </c>
      <c r="P830" s="24"/>
      <c r="Q830" s="25">
        <v>45748</v>
      </c>
      <c r="R830" s="13">
        <v>0</v>
      </c>
      <c r="S830" s="26" t="str">
        <f>VLOOKUP(C830,'[1]Bazaar Salary'!$B$6:$J$1193,9,0)</f>
        <v>09650010138079340012</v>
      </c>
      <c r="T830" s="25" t="s">
        <v>32</v>
      </c>
      <c r="U830" s="25" t="s">
        <v>448</v>
      </c>
      <c r="V830" s="25" t="s">
        <v>1093</v>
      </c>
      <c r="W830" s="27" t="s">
        <v>3134</v>
      </c>
      <c r="X830" s="28" t="s">
        <v>3135</v>
      </c>
      <c r="Y830" s="28"/>
      <c r="Z830" s="29" t="s">
        <v>37</v>
      </c>
    </row>
    <row r="831" spans="1:26" ht="30" customHeight="1" thickBot="1" x14ac:dyDescent="0.25">
      <c r="A831" s="17">
        <f t="shared" si="25"/>
        <v>830</v>
      </c>
      <c r="B831" s="18" t="s">
        <v>25</v>
      </c>
      <c r="C831" s="19">
        <v>9040101211939</v>
      </c>
      <c r="D831" s="19">
        <v>1280</v>
      </c>
      <c r="E831" s="20">
        <v>43515</v>
      </c>
      <c r="F831" s="20">
        <v>47168</v>
      </c>
      <c r="G831" s="21">
        <v>27395</v>
      </c>
      <c r="H831" s="22">
        <f t="shared" ca="1" si="24"/>
        <v>51</v>
      </c>
      <c r="I831" s="19" t="s">
        <v>26</v>
      </c>
      <c r="J831" s="18" t="s">
        <v>27</v>
      </c>
      <c r="K831" s="18"/>
      <c r="L831" s="23" t="s">
        <v>3136</v>
      </c>
      <c r="M831" s="23" t="s">
        <v>957</v>
      </c>
      <c r="N831" s="23" t="s">
        <v>1499</v>
      </c>
      <c r="O831" s="18">
        <v>1</v>
      </c>
      <c r="P831" s="24"/>
      <c r="Q831" s="25">
        <v>45748</v>
      </c>
      <c r="R831" s="13">
        <v>0</v>
      </c>
      <c r="S831" s="26" t="str">
        <f>VLOOKUP(C831,'[1]Bazaar Salary'!$B$6:$J$1193,9,0)</f>
        <v>09410010083758810010</v>
      </c>
      <c r="T831" s="25" t="s">
        <v>32</v>
      </c>
      <c r="U831" s="25" t="s">
        <v>448</v>
      </c>
      <c r="V831" s="25" t="s">
        <v>1093</v>
      </c>
      <c r="W831" s="27" t="s">
        <v>3137</v>
      </c>
      <c r="X831" s="28" t="s">
        <v>3138</v>
      </c>
      <c r="Y831" s="28"/>
      <c r="Z831" s="29" t="s">
        <v>37</v>
      </c>
    </row>
    <row r="832" spans="1:26" ht="30" customHeight="1" thickBot="1" x14ac:dyDescent="0.25">
      <c r="A832" s="17">
        <f t="shared" si="25"/>
        <v>831</v>
      </c>
      <c r="B832" s="18" t="s">
        <v>25</v>
      </c>
      <c r="C832" s="19">
        <v>3520297327043</v>
      </c>
      <c r="D832" s="19">
        <v>320</v>
      </c>
      <c r="E832" s="20">
        <v>44482</v>
      </c>
      <c r="F832" s="20">
        <v>48134</v>
      </c>
      <c r="G832" s="21">
        <v>34444</v>
      </c>
      <c r="H832" s="22">
        <f t="shared" ca="1" si="24"/>
        <v>32</v>
      </c>
      <c r="I832" s="19" t="s">
        <v>26</v>
      </c>
      <c r="J832" s="18" t="s">
        <v>27</v>
      </c>
      <c r="K832" s="18"/>
      <c r="L832" s="23" t="s">
        <v>1928</v>
      </c>
      <c r="M832" s="23" t="s">
        <v>3139</v>
      </c>
      <c r="N832" s="23" t="s">
        <v>1499</v>
      </c>
      <c r="O832" s="18">
        <v>1</v>
      </c>
      <c r="P832" s="24"/>
      <c r="Q832" s="25">
        <v>42861</v>
      </c>
      <c r="R832" s="13">
        <v>0</v>
      </c>
      <c r="S832" s="26" t="str">
        <f>VLOOKUP(C832,'[1]Bazaar Salary'!$B$6:$J$1193,9,0)</f>
        <v>02880010046282870010</v>
      </c>
      <c r="T832" s="25" t="s">
        <v>32</v>
      </c>
      <c r="U832" s="25" t="s">
        <v>448</v>
      </c>
      <c r="V832" s="25" t="s">
        <v>884</v>
      </c>
      <c r="W832" s="27" t="s">
        <v>3140</v>
      </c>
      <c r="X832" s="28" t="s">
        <v>3141</v>
      </c>
      <c r="Y832" s="28"/>
      <c r="Z832" s="29" t="s">
        <v>37</v>
      </c>
    </row>
    <row r="833" spans="1:26" ht="30" customHeight="1" thickBot="1" x14ac:dyDescent="0.25">
      <c r="A833" s="17">
        <f t="shared" si="25"/>
        <v>832</v>
      </c>
      <c r="B833" s="18" t="s">
        <v>25</v>
      </c>
      <c r="C833" s="19">
        <v>3520245202607</v>
      </c>
      <c r="D833" s="19">
        <v>303</v>
      </c>
      <c r="E833" s="20">
        <v>44493</v>
      </c>
      <c r="F833" s="20">
        <v>48145</v>
      </c>
      <c r="G833" s="21">
        <v>31567</v>
      </c>
      <c r="H833" s="22">
        <f t="shared" ca="1" si="24"/>
        <v>40</v>
      </c>
      <c r="I833" s="19" t="s">
        <v>26</v>
      </c>
      <c r="J833" s="18" t="s">
        <v>27</v>
      </c>
      <c r="K833" s="18"/>
      <c r="L833" s="23" t="s">
        <v>3142</v>
      </c>
      <c r="M833" s="23" t="s">
        <v>3143</v>
      </c>
      <c r="N833" s="23" t="s">
        <v>1499</v>
      </c>
      <c r="O833" s="18">
        <v>1</v>
      </c>
      <c r="P833" s="24"/>
      <c r="Q833" s="25">
        <v>42410</v>
      </c>
      <c r="R833" s="13">
        <v>0</v>
      </c>
      <c r="S833" s="26" t="str">
        <f>VLOOKUP(C833,'[1]Bazaar Salary'!$B$6:$J$1193,9,0)</f>
        <v>01530010045900340011</v>
      </c>
      <c r="T833" s="25" t="s">
        <v>32</v>
      </c>
      <c r="U833" s="25" t="s">
        <v>448</v>
      </c>
      <c r="V833" s="25" t="s">
        <v>1093</v>
      </c>
      <c r="W833" s="27" t="s">
        <v>3144</v>
      </c>
      <c r="X833" s="28" t="s">
        <v>3145</v>
      </c>
      <c r="Y833" s="28"/>
      <c r="Z833" s="29" t="s">
        <v>37</v>
      </c>
    </row>
    <row r="834" spans="1:26" ht="30" customHeight="1" thickBot="1" x14ac:dyDescent="0.25">
      <c r="A834" s="17">
        <f t="shared" si="25"/>
        <v>833</v>
      </c>
      <c r="B834" s="18" t="s">
        <v>25</v>
      </c>
      <c r="C834" s="19">
        <v>3330391078967</v>
      </c>
      <c r="D834" s="19">
        <v>415</v>
      </c>
      <c r="E834" s="20">
        <v>44386</v>
      </c>
      <c r="F834" s="20">
        <v>48038</v>
      </c>
      <c r="G834" s="21">
        <v>32792</v>
      </c>
      <c r="H834" s="22">
        <f t="shared" ref="H834:H897" ca="1" si="26">INT((TODAY()-G834)/365)</f>
        <v>36</v>
      </c>
      <c r="I834" s="19" t="s">
        <v>26</v>
      </c>
      <c r="J834" s="18" t="s">
        <v>27</v>
      </c>
      <c r="K834" s="18"/>
      <c r="L834" s="23" t="s">
        <v>3146</v>
      </c>
      <c r="M834" s="23" t="s">
        <v>3147</v>
      </c>
      <c r="N834" s="23" t="s">
        <v>1551</v>
      </c>
      <c r="O834" s="18">
        <v>1</v>
      </c>
      <c r="P834" s="24"/>
      <c r="Q834" s="25">
        <v>41174</v>
      </c>
      <c r="R834" s="13">
        <v>0</v>
      </c>
      <c r="S834" s="26" t="str">
        <f>VLOOKUP(C834,'[1]Bazaar Salary'!$B$6:$J$1193,9,0)</f>
        <v>04060010045771880013</v>
      </c>
      <c r="T834" s="25" t="s">
        <v>32</v>
      </c>
      <c r="U834" s="25" t="s">
        <v>506</v>
      </c>
      <c r="V834" s="25" t="s">
        <v>1356</v>
      </c>
      <c r="W834" s="27" t="s">
        <v>3148</v>
      </c>
      <c r="X834" s="28" t="s">
        <v>3149</v>
      </c>
      <c r="Y834" s="28"/>
      <c r="Z834" s="29" t="s">
        <v>37</v>
      </c>
    </row>
    <row r="835" spans="1:26" ht="30" customHeight="1" thickBot="1" x14ac:dyDescent="0.25">
      <c r="A835" s="17">
        <f t="shared" si="25"/>
        <v>834</v>
      </c>
      <c r="B835" s="18" t="s">
        <v>25</v>
      </c>
      <c r="C835" s="19">
        <v>3330352862707</v>
      </c>
      <c r="D835" s="19">
        <v>1248</v>
      </c>
      <c r="E835" s="20">
        <v>45210</v>
      </c>
      <c r="F835" s="20">
        <v>48863</v>
      </c>
      <c r="G835" s="21">
        <v>34760</v>
      </c>
      <c r="H835" s="22">
        <f t="shared" ca="1" si="26"/>
        <v>31</v>
      </c>
      <c r="I835" s="18" t="s">
        <v>912</v>
      </c>
      <c r="J835" s="18" t="s">
        <v>27</v>
      </c>
      <c r="K835" s="18"/>
      <c r="L835" s="23" t="s">
        <v>2742</v>
      </c>
      <c r="M835" s="23" t="s">
        <v>2911</v>
      </c>
      <c r="N835" s="23" t="s">
        <v>1488</v>
      </c>
      <c r="O835" s="18">
        <v>1</v>
      </c>
      <c r="P835" s="24"/>
      <c r="Q835" s="25">
        <v>44317</v>
      </c>
      <c r="R835" s="13">
        <v>0</v>
      </c>
      <c r="S835" s="26" t="str">
        <f>VLOOKUP(C835,'[1]Bazaar Salary'!$B$6:$J$1193,9,0)</f>
        <v>03980010078412980019</v>
      </c>
      <c r="T835" s="25" t="s">
        <v>32</v>
      </c>
      <c r="U835" s="25" t="s">
        <v>506</v>
      </c>
      <c r="V835" s="25" t="s">
        <v>1093</v>
      </c>
      <c r="W835" s="27" t="s">
        <v>3150</v>
      </c>
      <c r="X835" s="28" t="s">
        <v>3151</v>
      </c>
      <c r="Y835" s="28"/>
      <c r="Z835" s="29" t="s">
        <v>37</v>
      </c>
    </row>
    <row r="836" spans="1:26" ht="30" customHeight="1" thickBot="1" x14ac:dyDescent="0.25">
      <c r="A836" s="17">
        <f t="shared" ref="A836:A899" si="27">A835+1</f>
        <v>835</v>
      </c>
      <c r="B836" s="18" t="s">
        <v>25</v>
      </c>
      <c r="C836" s="19">
        <v>3330361908704</v>
      </c>
      <c r="D836" s="19">
        <v>555</v>
      </c>
      <c r="E836" s="20">
        <v>44202</v>
      </c>
      <c r="F836" s="20">
        <v>47854</v>
      </c>
      <c r="G836" s="21">
        <v>29221</v>
      </c>
      <c r="H836" s="22">
        <f t="shared" ca="1" si="26"/>
        <v>46</v>
      </c>
      <c r="I836" s="18" t="s">
        <v>912</v>
      </c>
      <c r="J836" s="18" t="s">
        <v>66</v>
      </c>
      <c r="K836" s="18"/>
      <c r="L836" s="23" t="s">
        <v>3152</v>
      </c>
      <c r="M836" s="23" t="s">
        <v>3153</v>
      </c>
      <c r="N836" s="23" t="s">
        <v>1488</v>
      </c>
      <c r="O836" s="18">
        <v>1</v>
      </c>
      <c r="P836" s="24"/>
      <c r="Q836" s="25">
        <v>43358</v>
      </c>
      <c r="R836" s="13">
        <v>0</v>
      </c>
      <c r="S836" s="26" t="str">
        <f>VLOOKUP(C836,'[1]Bazaar Salary'!$B$6:$J$1193,9,0)</f>
        <v>04060010055227710019</v>
      </c>
      <c r="T836" s="25" t="s">
        <v>32</v>
      </c>
      <c r="U836" s="25" t="s">
        <v>506</v>
      </c>
      <c r="V836" s="25" t="s">
        <v>1093</v>
      </c>
      <c r="W836" s="27" t="s">
        <v>3154</v>
      </c>
      <c r="X836" s="28" t="s">
        <v>3155</v>
      </c>
      <c r="Y836" s="28"/>
      <c r="Z836" s="29" t="s">
        <v>37</v>
      </c>
    </row>
    <row r="837" spans="1:26" ht="30" customHeight="1" thickBot="1" x14ac:dyDescent="0.25">
      <c r="A837" s="17">
        <f t="shared" si="27"/>
        <v>836</v>
      </c>
      <c r="B837" s="18" t="s">
        <v>25</v>
      </c>
      <c r="C837" s="19">
        <v>3330358802665</v>
      </c>
      <c r="D837" s="19">
        <v>554</v>
      </c>
      <c r="E837" s="20">
        <v>42943</v>
      </c>
      <c r="F837" s="20">
        <v>46595</v>
      </c>
      <c r="G837" s="21">
        <v>35332</v>
      </c>
      <c r="H837" s="22">
        <f t="shared" ca="1" si="26"/>
        <v>29</v>
      </c>
      <c r="I837" s="18" t="s">
        <v>912</v>
      </c>
      <c r="J837" s="18" t="s">
        <v>27</v>
      </c>
      <c r="K837" s="18"/>
      <c r="L837" s="23" t="s">
        <v>3156</v>
      </c>
      <c r="M837" s="23" t="s">
        <v>3157</v>
      </c>
      <c r="N837" s="23" t="s">
        <v>1488</v>
      </c>
      <c r="O837" s="18">
        <v>1</v>
      </c>
      <c r="P837" s="24"/>
      <c r="Q837" s="25">
        <v>42036</v>
      </c>
      <c r="R837" s="13">
        <v>0</v>
      </c>
      <c r="S837" s="26" t="str">
        <f>VLOOKUP(C837,'[1]Bazaar Salary'!$B$6:$J$1193,9,0)</f>
        <v>04060010046398650012</v>
      </c>
      <c r="T837" s="25" t="s">
        <v>32</v>
      </c>
      <c r="U837" s="25" t="s">
        <v>506</v>
      </c>
      <c r="V837" s="25" t="s">
        <v>1093</v>
      </c>
      <c r="W837" s="27" t="s">
        <v>3154</v>
      </c>
      <c r="X837" s="28" t="s">
        <v>3158</v>
      </c>
      <c r="Y837" s="28"/>
      <c r="Z837" s="29" t="s">
        <v>37</v>
      </c>
    </row>
    <row r="838" spans="1:26" ht="30" customHeight="1" thickBot="1" x14ac:dyDescent="0.25">
      <c r="A838" s="17">
        <f t="shared" si="27"/>
        <v>837</v>
      </c>
      <c r="B838" s="18" t="s">
        <v>25</v>
      </c>
      <c r="C838" s="19">
        <v>3330332183419</v>
      </c>
      <c r="D838" s="19">
        <v>1809</v>
      </c>
      <c r="E838" s="20">
        <v>44789</v>
      </c>
      <c r="F838" s="20">
        <v>48442</v>
      </c>
      <c r="G838" s="21">
        <v>37962</v>
      </c>
      <c r="H838" s="22">
        <f t="shared" ca="1" si="26"/>
        <v>22</v>
      </c>
      <c r="I838" s="19" t="s">
        <v>912</v>
      </c>
      <c r="J838" s="18" t="s">
        <v>27</v>
      </c>
      <c r="K838" s="18"/>
      <c r="L838" s="23" t="s">
        <v>3159</v>
      </c>
      <c r="M838" s="23" t="s">
        <v>2188</v>
      </c>
      <c r="N838" s="23" t="s">
        <v>1488</v>
      </c>
      <c r="O838" s="18">
        <v>1</v>
      </c>
      <c r="P838" s="24"/>
      <c r="Q838" s="25">
        <v>45748</v>
      </c>
      <c r="R838" s="13">
        <v>0</v>
      </c>
      <c r="S838" s="26" t="str">
        <f>VLOOKUP(C838,'[1]Bazaar Salary'!$B$6:$J$1193,9,0)</f>
        <v>53170020142856330017</v>
      </c>
      <c r="T838" s="25" t="s">
        <v>32</v>
      </c>
      <c r="U838" s="25" t="s">
        <v>506</v>
      </c>
      <c r="V838" s="25" t="s">
        <v>1093</v>
      </c>
      <c r="W838" s="27" t="s">
        <v>3160</v>
      </c>
      <c r="X838" s="28" t="s">
        <v>3161</v>
      </c>
      <c r="Y838" s="28"/>
      <c r="Z838" s="29" t="s">
        <v>37</v>
      </c>
    </row>
    <row r="839" spans="1:26" ht="30" customHeight="1" thickBot="1" x14ac:dyDescent="0.25">
      <c r="A839" s="17">
        <f t="shared" si="27"/>
        <v>838</v>
      </c>
      <c r="B839" s="18" t="s">
        <v>25</v>
      </c>
      <c r="C839" s="19">
        <v>3330304559763</v>
      </c>
      <c r="D839" s="19">
        <v>1285</v>
      </c>
      <c r="E839" s="20">
        <v>42848</v>
      </c>
      <c r="F839" s="20">
        <v>46500</v>
      </c>
      <c r="G839" s="21">
        <v>36056</v>
      </c>
      <c r="H839" s="22">
        <f t="shared" ca="1" si="26"/>
        <v>27</v>
      </c>
      <c r="I839" s="19" t="s">
        <v>26</v>
      </c>
      <c r="J839" s="18" t="s">
        <v>27</v>
      </c>
      <c r="K839" s="18"/>
      <c r="L839" s="23" t="s">
        <v>3162</v>
      </c>
      <c r="M839" s="23" t="s">
        <v>269</v>
      </c>
      <c r="N839" s="23" t="s">
        <v>1499</v>
      </c>
      <c r="O839" s="18">
        <v>1</v>
      </c>
      <c r="P839" s="24"/>
      <c r="Q839" s="25">
        <v>43678</v>
      </c>
      <c r="R839" s="13">
        <v>0</v>
      </c>
      <c r="S839" s="26" t="str">
        <f>VLOOKUP(C839,'[1]Bazaar Salary'!$B$6:$J$1193,9,0)</f>
        <v>04060010052710320016</v>
      </c>
      <c r="T839" s="25" t="s">
        <v>32</v>
      </c>
      <c r="U839" s="25" t="s">
        <v>506</v>
      </c>
      <c r="V839" s="25" t="s">
        <v>1356</v>
      </c>
      <c r="W839" s="27" t="s">
        <v>3163</v>
      </c>
      <c r="X839" s="28" t="s">
        <v>3164</v>
      </c>
      <c r="Y839" s="28"/>
      <c r="Z839" s="29" t="s">
        <v>37</v>
      </c>
    </row>
    <row r="840" spans="1:26" ht="30" customHeight="1" thickBot="1" x14ac:dyDescent="0.25">
      <c r="A840" s="17">
        <f t="shared" si="27"/>
        <v>839</v>
      </c>
      <c r="B840" s="18" t="s">
        <v>25</v>
      </c>
      <c r="C840" s="19">
        <v>3320235308245</v>
      </c>
      <c r="D840" s="19">
        <v>1388</v>
      </c>
      <c r="E840" s="20">
        <v>43140</v>
      </c>
      <c r="F840" s="20">
        <v>46792</v>
      </c>
      <c r="G840" s="21">
        <v>36348</v>
      </c>
      <c r="H840" s="22">
        <f t="shared" ca="1" si="26"/>
        <v>26</v>
      </c>
      <c r="I840" s="19" t="s">
        <v>26</v>
      </c>
      <c r="J840" s="18" t="s">
        <v>27</v>
      </c>
      <c r="K840" s="18"/>
      <c r="L840" s="23" t="s">
        <v>3165</v>
      </c>
      <c r="M840" s="23" t="s">
        <v>1598</v>
      </c>
      <c r="N840" s="23" t="s">
        <v>1499</v>
      </c>
      <c r="O840" s="18">
        <v>1</v>
      </c>
      <c r="P840" s="24"/>
      <c r="Q840" s="25">
        <v>45748</v>
      </c>
      <c r="R840" s="13">
        <v>0</v>
      </c>
      <c r="S840" s="26" t="str">
        <f>VLOOKUP(C840,'[1]Bazaar Salary'!$B$6:$J$1193,9,0)</f>
        <v>02980010100971300014</v>
      </c>
      <c r="T840" s="25" t="s">
        <v>32</v>
      </c>
      <c r="U840" s="25" t="s">
        <v>506</v>
      </c>
      <c r="V840" s="25" t="s">
        <v>320</v>
      </c>
      <c r="W840" s="27" t="s">
        <v>3166</v>
      </c>
      <c r="X840" s="28" t="s">
        <v>3167</v>
      </c>
      <c r="Y840" s="28"/>
      <c r="Z840" s="29" t="s">
        <v>37</v>
      </c>
    </row>
    <row r="841" spans="1:26" ht="30" customHeight="1" thickBot="1" x14ac:dyDescent="0.25">
      <c r="A841" s="17">
        <f t="shared" si="27"/>
        <v>840</v>
      </c>
      <c r="B841" s="18" t="s">
        <v>25</v>
      </c>
      <c r="C841" s="19">
        <v>3330262070471</v>
      </c>
      <c r="D841" s="19">
        <v>1121</v>
      </c>
      <c r="E841" s="20">
        <v>44516</v>
      </c>
      <c r="F841" s="20">
        <v>48168</v>
      </c>
      <c r="G841" s="21">
        <v>31413</v>
      </c>
      <c r="H841" s="22">
        <f t="shared" ca="1" si="26"/>
        <v>40</v>
      </c>
      <c r="I841" s="19" t="s">
        <v>26</v>
      </c>
      <c r="J841" s="18" t="s">
        <v>27</v>
      </c>
      <c r="K841" s="18"/>
      <c r="L841" s="23" t="s">
        <v>3168</v>
      </c>
      <c r="M841" s="23" t="s">
        <v>1621</v>
      </c>
      <c r="N841" s="23" t="s">
        <v>1499</v>
      </c>
      <c r="O841" s="18">
        <v>1</v>
      </c>
      <c r="P841" s="24"/>
      <c r="Q841" s="25">
        <v>43678</v>
      </c>
      <c r="R841" s="13">
        <v>0</v>
      </c>
      <c r="S841" s="26" t="str">
        <f>VLOOKUP(C841,'[1]Bazaar Salary'!$B$6:$J$1193,9,0)</f>
        <v>07300010060333830017</v>
      </c>
      <c r="T841" s="25" t="s">
        <v>32</v>
      </c>
      <c r="U841" s="25" t="s">
        <v>506</v>
      </c>
      <c r="V841" s="25" t="s">
        <v>1356</v>
      </c>
      <c r="W841" s="27" t="s">
        <v>3169</v>
      </c>
      <c r="X841" s="28" t="s">
        <v>3170</v>
      </c>
      <c r="Y841" s="28"/>
      <c r="Z841" s="29" t="s">
        <v>37</v>
      </c>
    </row>
    <row r="842" spans="1:26" ht="30" customHeight="1" thickBot="1" x14ac:dyDescent="0.25">
      <c r="A842" s="17">
        <f t="shared" si="27"/>
        <v>841</v>
      </c>
      <c r="B842" s="18" t="s">
        <v>25</v>
      </c>
      <c r="C842" s="19">
        <v>3320314031655</v>
      </c>
      <c r="D842" s="19">
        <v>481</v>
      </c>
      <c r="E842" s="20">
        <v>44727</v>
      </c>
      <c r="F842" s="20">
        <v>48380</v>
      </c>
      <c r="G842" s="21">
        <v>30690</v>
      </c>
      <c r="H842" s="22">
        <f t="shared" ca="1" si="26"/>
        <v>42</v>
      </c>
      <c r="I842" s="19" t="s">
        <v>26</v>
      </c>
      <c r="J842" s="18" t="s">
        <v>27</v>
      </c>
      <c r="K842" s="18"/>
      <c r="L842" s="23" t="s">
        <v>3171</v>
      </c>
      <c r="M842" s="23" t="s">
        <v>2645</v>
      </c>
      <c r="N842" s="23" t="s">
        <v>1499</v>
      </c>
      <c r="O842" s="18">
        <v>1</v>
      </c>
      <c r="P842" s="24"/>
      <c r="Q842" s="25">
        <v>42461</v>
      </c>
      <c r="R842" s="13">
        <v>0</v>
      </c>
      <c r="S842" s="26" t="str">
        <f>VLOOKUP(C842,'[1]Bazaar Salary'!$B$6:$J$1193,9,0)</f>
        <v>04060010065065740015</v>
      </c>
      <c r="T842" s="25" t="s">
        <v>32</v>
      </c>
      <c r="U842" s="25" t="s">
        <v>506</v>
      </c>
      <c r="V842" s="25" t="s">
        <v>1356</v>
      </c>
      <c r="W842" s="27" t="s">
        <v>3172</v>
      </c>
      <c r="X842" s="28" t="s">
        <v>3173</v>
      </c>
      <c r="Y842" s="28"/>
      <c r="Z842" s="29" t="s">
        <v>37</v>
      </c>
    </row>
    <row r="843" spans="1:26" ht="30" customHeight="1" thickBot="1" x14ac:dyDescent="0.25">
      <c r="A843" s="17">
        <f t="shared" si="27"/>
        <v>842</v>
      </c>
      <c r="B843" s="18" t="s">
        <v>25</v>
      </c>
      <c r="C843" s="19">
        <v>3650191930437</v>
      </c>
      <c r="D843" s="19">
        <v>423</v>
      </c>
      <c r="E843" s="20">
        <v>44568</v>
      </c>
      <c r="F843" s="20">
        <v>48220</v>
      </c>
      <c r="G843" s="21">
        <v>33051</v>
      </c>
      <c r="H843" s="22">
        <f t="shared" ca="1" si="26"/>
        <v>35</v>
      </c>
      <c r="I843" s="19" t="s">
        <v>26</v>
      </c>
      <c r="J843" s="18" t="s">
        <v>27</v>
      </c>
      <c r="K843" s="18"/>
      <c r="L843" s="23" t="s">
        <v>3174</v>
      </c>
      <c r="M843" s="23" t="s">
        <v>894</v>
      </c>
      <c r="N843" s="23" t="s">
        <v>1499</v>
      </c>
      <c r="O843" s="18">
        <v>1</v>
      </c>
      <c r="P843" s="24"/>
      <c r="Q843" s="25">
        <v>43119</v>
      </c>
      <c r="R843" s="13">
        <v>0</v>
      </c>
      <c r="S843" s="26" t="str">
        <f>VLOOKUP(C843,'[1]Bazaar Salary'!$B$6:$J$1193,9,0)</f>
        <v>05310010049493150017</v>
      </c>
      <c r="T843" s="25" t="s">
        <v>32</v>
      </c>
      <c r="U843" s="25" t="s">
        <v>506</v>
      </c>
      <c r="V843" s="25" t="s">
        <v>1356</v>
      </c>
      <c r="W843" s="27" t="s">
        <v>3175</v>
      </c>
      <c r="X843" s="28" t="s">
        <v>3176</v>
      </c>
      <c r="Y843" s="28"/>
      <c r="Z843" s="29" t="s">
        <v>37</v>
      </c>
    </row>
    <row r="844" spans="1:26" ht="30" customHeight="1" thickBot="1" x14ac:dyDescent="0.25">
      <c r="A844" s="17">
        <f t="shared" si="27"/>
        <v>843</v>
      </c>
      <c r="B844" s="18" t="s">
        <v>25</v>
      </c>
      <c r="C844" s="19">
        <v>3330304219159</v>
      </c>
      <c r="D844" s="19">
        <v>1162</v>
      </c>
      <c r="E844" s="20">
        <v>42848</v>
      </c>
      <c r="F844" s="20">
        <v>46500</v>
      </c>
      <c r="G844" s="21">
        <v>34531</v>
      </c>
      <c r="H844" s="22">
        <f t="shared" ca="1" si="26"/>
        <v>31</v>
      </c>
      <c r="I844" s="19" t="s">
        <v>26</v>
      </c>
      <c r="J844" s="18" t="s">
        <v>27</v>
      </c>
      <c r="K844" s="18"/>
      <c r="L844" s="23" t="s">
        <v>3177</v>
      </c>
      <c r="M844" s="23" t="s">
        <v>269</v>
      </c>
      <c r="N844" s="23" t="s">
        <v>1499</v>
      </c>
      <c r="O844" s="18">
        <v>1</v>
      </c>
      <c r="P844" s="24"/>
      <c r="Q844" s="25">
        <v>43678</v>
      </c>
      <c r="R844" s="13">
        <v>0</v>
      </c>
      <c r="S844" s="26" t="str">
        <f>VLOOKUP(C844,'[1]Bazaar Salary'!$B$6:$J$1193,9,0)</f>
        <v>04060010052709300010</v>
      </c>
      <c r="T844" s="25" t="s">
        <v>32</v>
      </c>
      <c r="U844" s="25" t="s">
        <v>506</v>
      </c>
      <c r="V844" s="25" t="s">
        <v>1356</v>
      </c>
      <c r="W844" s="27" t="s">
        <v>3163</v>
      </c>
      <c r="X844" s="28" t="s">
        <v>3178</v>
      </c>
      <c r="Y844" s="28"/>
      <c r="Z844" s="29" t="s">
        <v>37</v>
      </c>
    </row>
    <row r="845" spans="1:26" ht="30" customHeight="1" thickBot="1" x14ac:dyDescent="0.25">
      <c r="A845" s="17">
        <f t="shared" si="27"/>
        <v>844</v>
      </c>
      <c r="B845" s="18" t="s">
        <v>25</v>
      </c>
      <c r="C845" s="19">
        <v>3330201621735</v>
      </c>
      <c r="D845" s="19">
        <v>1638</v>
      </c>
      <c r="E845" s="21">
        <v>44511</v>
      </c>
      <c r="F845" s="21">
        <v>48163</v>
      </c>
      <c r="G845" s="21">
        <v>33401</v>
      </c>
      <c r="H845" s="22">
        <f t="shared" ca="1" si="26"/>
        <v>35</v>
      </c>
      <c r="I845" s="18" t="s">
        <v>26</v>
      </c>
      <c r="J845" s="18" t="s">
        <v>27</v>
      </c>
      <c r="K845" s="23"/>
      <c r="L845" s="24" t="s">
        <v>3179</v>
      </c>
      <c r="M845" s="33" t="s">
        <v>199</v>
      </c>
      <c r="N845" s="23" t="s">
        <v>1499</v>
      </c>
      <c r="O845" s="18">
        <v>1</v>
      </c>
      <c r="P845" s="24"/>
      <c r="Q845" s="25">
        <v>45748</v>
      </c>
      <c r="R845" s="13">
        <v>0</v>
      </c>
      <c r="S845" s="26" t="str">
        <f>VLOOKUP(C845,'[1]Bazaar Salary'!$B$6:$J$1193,9,0)</f>
        <v>02020010133736200019</v>
      </c>
      <c r="T845" s="25" t="s">
        <v>32</v>
      </c>
      <c r="U845" s="25" t="s">
        <v>506</v>
      </c>
      <c r="V845" s="25" t="s">
        <v>1093</v>
      </c>
      <c r="W845" s="33" t="s">
        <v>3180</v>
      </c>
      <c r="X845" s="28" t="s">
        <v>3181</v>
      </c>
      <c r="Y845" s="28"/>
      <c r="Z845" s="29" t="s">
        <v>37</v>
      </c>
    </row>
    <row r="846" spans="1:26" ht="30" customHeight="1" thickBot="1" x14ac:dyDescent="0.25">
      <c r="A846" s="17">
        <f t="shared" si="27"/>
        <v>845</v>
      </c>
      <c r="B846" s="18" t="s">
        <v>25</v>
      </c>
      <c r="C846" s="19">
        <v>3330354668697</v>
      </c>
      <c r="D846" s="19">
        <v>412</v>
      </c>
      <c r="E846" s="20">
        <v>43270</v>
      </c>
      <c r="F846" s="20">
        <v>46923</v>
      </c>
      <c r="G846" s="21">
        <v>32207</v>
      </c>
      <c r="H846" s="22">
        <f t="shared" ca="1" si="26"/>
        <v>38</v>
      </c>
      <c r="I846" s="19" t="s">
        <v>26</v>
      </c>
      <c r="J846" s="18" t="s">
        <v>27</v>
      </c>
      <c r="K846" s="18"/>
      <c r="L846" s="23" t="s">
        <v>772</v>
      </c>
      <c r="M846" s="23" t="s">
        <v>3182</v>
      </c>
      <c r="N846" s="23" t="s">
        <v>1499</v>
      </c>
      <c r="O846" s="18">
        <v>1</v>
      </c>
      <c r="P846" s="24"/>
      <c r="Q846" s="25">
        <v>41093</v>
      </c>
      <c r="R846" s="13">
        <v>0</v>
      </c>
      <c r="S846" s="26" t="str">
        <f>VLOOKUP(C846,'[1]Bazaar Salary'!$B$6:$J$1193,9,0)</f>
        <v>04060010045739660013</v>
      </c>
      <c r="T846" s="25" t="s">
        <v>32</v>
      </c>
      <c r="U846" s="25" t="s">
        <v>506</v>
      </c>
      <c r="V846" s="25" t="s">
        <v>1356</v>
      </c>
      <c r="W846" s="27" t="s">
        <v>3183</v>
      </c>
      <c r="X846" s="28" t="s">
        <v>3184</v>
      </c>
      <c r="Y846" s="28"/>
      <c r="Z846" s="29" t="s">
        <v>37</v>
      </c>
    </row>
    <row r="847" spans="1:26" ht="30" customHeight="1" thickBot="1" x14ac:dyDescent="0.25">
      <c r="A847" s="17">
        <f t="shared" si="27"/>
        <v>846</v>
      </c>
      <c r="B847" s="18" t="s">
        <v>25</v>
      </c>
      <c r="C847" s="19">
        <v>3330353934573</v>
      </c>
      <c r="D847" s="19">
        <v>159</v>
      </c>
      <c r="E847" s="20">
        <v>42943</v>
      </c>
      <c r="F847" s="20">
        <v>46595</v>
      </c>
      <c r="G847" s="21">
        <v>31390</v>
      </c>
      <c r="H847" s="22">
        <f t="shared" ca="1" si="26"/>
        <v>40</v>
      </c>
      <c r="I847" s="19" t="s">
        <v>26</v>
      </c>
      <c r="J847" s="18" t="s">
        <v>27</v>
      </c>
      <c r="K847" s="18"/>
      <c r="L847" s="23" t="s">
        <v>2090</v>
      </c>
      <c r="M847" s="23" t="s">
        <v>3185</v>
      </c>
      <c r="N847" s="23" t="s">
        <v>1499</v>
      </c>
      <c r="O847" s="18">
        <v>1</v>
      </c>
      <c r="P847" s="24"/>
      <c r="Q847" s="25">
        <v>41093</v>
      </c>
      <c r="R847" s="13">
        <v>0</v>
      </c>
      <c r="S847" s="26" t="str">
        <f>VLOOKUP(C847,'[1]Bazaar Salary'!$B$6:$J$1193,9,0)</f>
        <v>04060010067219000014</v>
      </c>
      <c r="T847" s="25" t="s">
        <v>32</v>
      </c>
      <c r="U847" s="25" t="s">
        <v>506</v>
      </c>
      <c r="V847" s="25" t="s">
        <v>3186</v>
      </c>
      <c r="W847" s="27" t="s">
        <v>3187</v>
      </c>
      <c r="X847" s="28" t="s">
        <v>3188</v>
      </c>
      <c r="Y847" s="28"/>
      <c r="Z847" s="29" t="s">
        <v>37</v>
      </c>
    </row>
    <row r="848" spans="1:26" ht="30" customHeight="1" thickBot="1" x14ac:dyDescent="0.25">
      <c r="A848" s="17">
        <f t="shared" si="27"/>
        <v>847</v>
      </c>
      <c r="B848" s="18" t="s">
        <v>25</v>
      </c>
      <c r="C848" s="19">
        <v>3330345400534</v>
      </c>
      <c r="D848" s="19">
        <v>414</v>
      </c>
      <c r="E848" s="20">
        <v>43062</v>
      </c>
      <c r="F848" s="20">
        <v>46714</v>
      </c>
      <c r="G848" s="21">
        <v>24473</v>
      </c>
      <c r="H848" s="22">
        <f t="shared" ca="1" si="26"/>
        <v>59</v>
      </c>
      <c r="I848" s="18" t="s">
        <v>912</v>
      </c>
      <c r="J848" s="18" t="s">
        <v>66</v>
      </c>
      <c r="K848" s="18"/>
      <c r="L848" s="23" t="s">
        <v>3189</v>
      </c>
      <c r="M848" s="23" t="s">
        <v>3190</v>
      </c>
      <c r="N848" s="23" t="s">
        <v>1499</v>
      </c>
      <c r="O848" s="18">
        <v>1</v>
      </c>
      <c r="P848" s="24"/>
      <c r="Q848" s="25">
        <v>42948</v>
      </c>
      <c r="R848" s="13">
        <v>0</v>
      </c>
      <c r="S848" s="26" t="str">
        <f>VLOOKUP(C848,'[1]Bazaar Salary'!$B$6:$J$1193,9,0)</f>
        <v>04060010045894180014</v>
      </c>
      <c r="T848" s="25" t="s">
        <v>32</v>
      </c>
      <c r="U848" s="25" t="s">
        <v>506</v>
      </c>
      <c r="V848" s="25" t="s">
        <v>1356</v>
      </c>
      <c r="W848" s="27" t="s">
        <v>3191</v>
      </c>
      <c r="X848" s="28" t="s">
        <v>3192</v>
      </c>
      <c r="Y848" s="28"/>
      <c r="Z848" s="29" t="s">
        <v>37</v>
      </c>
    </row>
    <row r="849" spans="1:26" ht="30" customHeight="1" thickBot="1" x14ac:dyDescent="0.25">
      <c r="A849" s="17">
        <f t="shared" si="27"/>
        <v>848</v>
      </c>
      <c r="B849" s="18" t="s">
        <v>25</v>
      </c>
      <c r="C849" s="19">
        <v>3520224186449</v>
      </c>
      <c r="D849" s="19">
        <v>315</v>
      </c>
      <c r="E849" s="20">
        <v>42768</v>
      </c>
      <c r="F849" s="20">
        <v>46420</v>
      </c>
      <c r="G849" s="21">
        <v>31705</v>
      </c>
      <c r="H849" s="22">
        <f t="shared" ca="1" si="26"/>
        <v>39</v>
      </c>
      <c r="I849" s="19" t="s">
        <v>26</v>
      </c>
      <c r="J849" s="18" t="s">
        <v>27</v>
      </c>
      <c r="K849" s="18"/>
      <c r="L849" s="23" t="s">
        <v>3193</v>
      </c>
      <c r="M849" s="23" t="s">
        <v>2433</v>
      </c>
      <c r="N849" s="23" t="s">
        <v>1551</v>
      </c>
      <c r="O849" s="18">
        <v>1</v>
      </c>
      <c r="P849" s="24"/>
      <c r="Q849" s="25">
        <v>41275</v>
      </c>
      <c r="R849" s="13">
        <v>0</v>
      </c>
      <c r="S849" s="26" t="str">
        <f>VLOOKUP(C849,'[1]Bazaar Salary'!$B$6:$J$1193,9,0)</f>
        <v>01530010045845490015</v>
      </c>
      <c r="T849" s="25" t="s">
        <v>32</v>
      </c>
      <c r="U849" s="25" t="s">
        <v>254</v>
      </c>
      <c r="V849" s="25" t="s">
        <v>1093</v>
      </c>
      <c r="W849" s="27" t="s">
        <v>3194</v>
      </c>
      <c r="X849" s="28" t="s">
        <v>3195</v>
      </c>
      <c r="Y849" s="28"/>
      <c r="Z849" s="29" t="s">
        <v>37</v>
      </c>
    </row>
    <row r="850" spans="1:26" ht="30" customHeight="1" thickBot="1" x14ac:dyDescent="0.25">
      <c r="A850" s="17">
        <f t="shared" si="27"/>
        <v>849</v>
      </c>
      <c r="B850" s="18" t="s">
        <v>25</v>
      </c>
      <c r="C850" s="19">
        <v>3520232591447</v>
      </c>
      <c r="D850" s="19">
        <v>316</v>
      </c>
      <c r="E850" s="20">
        <v>42144</v>
      </c>
      <c r="F850" s="20">
        <v>45797</v>
      </c>
      <c r="G850" s="21">
        <v>35454</v>
      </c>
      <c r="H850" s="22">
        <f t="shared" ca="1" si="26"/>
        <v>29</v>
      </c>
      <c r="I850" s="19" t="s">
        <v>26</v>
      </c>
      <c r="J850" s="18" t="s">
        <v>27</v>
      </c>
      <c r="K850" s="18"/>
      <c r="L850" s="23" t="s">
        <v>1368</v>
      </c>
      <c r="M850" s="23" t="s">
        <v>769</v>
      </c>
      <c r="N850" s="23" t="s">
        <v>1551</v>
      </c>
      <c r="O850" s="18">
        <v>1</v>
      </c>
      <c r="P850" s="24"/>
      <c r="Q850" s="25">
        <v>42767</v>
      </c>
      <c r="R850" s="13">
        <v>0</v>
      </c>
      <c r="S850" s="26" t="str">
        <f>VLOOKUP(C850,'[1]Bazaar Salary'!$B$6:$J$1193,9,0)</f>
        <v>01530010045879180010</v>
      </c>
      <c r="T850" s="25" t="s">
        <v>32</v>
      </c>
      <c r="U850" s="25" t="s">
        <v>254</v>
      </c>
      <c r="V850" s="25" t="s">
        <v>1093</v>
      </c>
      <c r="W850" s="27" t="s">
        <v>3196</v>
      </c>
      <c r="X850" s="28" t="s">
        <v>3197</v>
      </c>
      <c r="Y850" s="28"/>
      <c r="Z850" s="29" t="s">
        <v>37</v>
      </c>
    </row>
    <row r="851" spans="1:26" ht="30" customHeight="1" thickBot="1" x14ac:dyDescent="0.25">
      <c r="A851" s="17">
        <f t="shared" si="27"/>
        <v>850</v>
      </c>
      <c r="B851" s="18" t="s">
        <v>25</v>
      </c>
      <c r="C851" s="19">
        <v>3520236614587</v>
      </c>
      <c r="D851" s="19">
        <v>1710</v>
      </c>
      <c r="E851" s="20">
        <v>44322</v>
      </c>
      <c r="F851" s="20">
        <v>47974</v>
      </c>
      <c r="G851" s="21">
        <v>29952</v>
      </c>
      <c r="H851" s="22">
        <f t="shared" ca="1" si="26"/>
        <v>44</v>
      </c>
      <c r="I851" s="19" t="s">
        <v>912</v>
      </c>
      <c r="J851" s="18" t="s">
        <v>27</v>
      </c>
      <c r="K851" s="18"/>
      <c r="L851" s="23" t="s">
        <v>1974</v>
      </c>
      <c r="M851" s="23" t="s">
        <v>1945</v>
      </c>
      <c r="N851" s="23" t="s">
        <v>1551</v>
      </c>
      <c r="O851" s="18">
        <v>1</v>
      </c>
      <c r="P851" s="24"/>
      <c r="Q851" s="25">
        <v>45748</v>
      </c>
      <c r="R851" s="13">
        <v>0</v>
      </c>
      <c r="S851" s="26" t="str">
        <f>VLOOKUP(C851,'[1]Bazaar Salary'!$B$6:$J$1193,9,0)</f>
        <v>01530010137855950010</v>
      </c>
      <c r="T851" s="25" t="s">
        <v>32</v>
      </c>
      <c r="U851" s="25" t="s">
        <v>254</v>
      </c>
      <c r="V851" s="25" t="s">
        <v>1093</v>
      </c>
      <c r="W851" s="27" t="s">
        <v>3198</v>
      </c>
      <c r="X851" s="28" t="s">
        <v>3199</v>
      </c>
      <c r="Y851" s="28"/>
      <c r="Z851" s="29" t="s">
        <v>37</v>
      </c>
    </row>
    <row r="852" spans="1:26" ht="30" customHeight="1" thickBot="1" x14ac:dyDescent="0.25">
      <c r="A852" s="17">
        <f t="shared" si="27"/>
        <v>851</v>
      </c>
      <c r="B852" s="18" t="s">
        <v>25</v>
      </c>
      <c r="C852" s="19">
        <v>3520286658963</v>
      </c>
      <c r="D852" s="19">
        <v>1786</v>
      </c>
      <c r="E852" s="20">
        <v>45287</v>
      </c>
      <c r="F852" s="20">
        <v>48940</v>
      </c>
      <c r="G852" s="21">
        <v>35236</v>
      </c>
      <c r="H852" s="22">
        <f t="shared" ca="1" si="26"/>
        <v>30</v>
      </c>
      <c r="I852" s="19" t="s">
        <v>912</v>
      </c>
      <c r="J852" s="18" t="s">
        <v>27</v>
      </c>
      <c r="K852" s="18"/>
      <c r="L852" s="23" t="s">
        <v>3200</v>
      </c>
      <c r="M852" s="23" t="s">
        <v>3201</v>
      </c>
      <c r="N852" s="23" t="s">
        <v>1488</v>
      </c>
      <c r="O852" s="18">
        <v>1</v>
      </c>
      <c r="P852" s="24"/>
      <c r="Q852" s="25">
        <v>45748</v>
      </c>
      <c r="R852" s="13">
        <v>0</v>
      </c>
      <c r="S852" s="26" t="str">
        <f>VLOOKUP(C852,'[1]Bazaar Salary'!$B$6:$J$1193,9,0)</f>
        <v>01530010140821330012</v>
      </c>
      <c r="T852" s="25" t="s">
        <v>32</v>
      </c>
      <c r="U852" s="25" t="s">
        <v>254</v>
      </c>
      <c r="V852" s="25" t="s">
        <v>1093</v>
      </c>
      <c r="W852" s="27" t="s">
        <v>3202</v>
      </c>
      <c r="X852" s="28" t="s">
        <v>3203</v>
      </c>
      <c r="Y852" s="28"/>
      <c r="Z852" s="29" t="s">
        <v>37</v>
      </c>
    </row>
    <row r="853" spans="1:26" ht="30" customHeight="1" thickBot="1" x14ac:dyDescent="0.25">
      <c r="A853" s="17">
        <f t="shared" si="27"/>
        <v>852</v>
      </c>
      <c r="B853" s="18" t="s">
        <v>25</v>
      </c>
      <c r="C853" s="19">
        <v>3520263793951</v>
      </c>
      <c r="D853" s="19">
        <v>502</v>
      </c>
      <c r="E853" s="20">
        <v>44580</v>
      </c>
      <c r="F853" s="20">
        <v>48232</v>
      </c>
      <c r="G853" s="21">
        <v>33239</v>
      </c>
      <c r="H853" s="22">
        <f t="shared" ca="1" si="26"/>
        <v>35</v>
      </c>
      <c r="I853" s="18" t="s">
        <v>912</v>
      </c>
      <c r="J853" s="18" t="s">
        <v>27</v>
      </c>
      <c r="K853" s="18"/>
      <c r="L853" s="23" t="s">
        <v>1277</v>
      </c>
      <c r="M853" s="23" t="s">
        <v>3204</v>
      </c>
      <c r="N853" s="23" t="s">
        <v>1488</v>
      </c>
      <c r="O853" s="18">
        <v>1</v>
      </c>
      <c r="P853" s="24"/>
      <c r="Q853" s="25">
        <v>41808</v>
      </c>
      <c r="R853" s="13">
        <v>0</v>
      </c>
      <c r="S853" s="26" t="str">
        <f>VLOOKUP(C853,'[1]Bazaar Salary'!$B$6:$J$1193,9,0)</f>
        <v>01530010045871320015</v>
      </c>
      <c r="T853" s="25" t="s">
        <v>32</v>
      </c>
      <c r="U853" s="25" t="s">
        <v>254</v>
      </c>
      <c r="V853" s="25" t="s">
        <v>1093</v>
      </c>
      <c r="W853" s="27" t="s">
        <v>3205</v>
      </c>
      <c r="X853" s="28" t="s">
        <v>3206</v>
      </c>
      <c r="Y853" s="28"/>
      <c r="Z853" s="29" t="s">
        <v>37</v>
      </c>
    </row>
    <row r="854" spans="1:26" ht="30" customHeight="1" thickBot="1" x14ac:dyDescent="0.25">
      <c r="A854" s="17">
        <f t="shared" si="27"/>
        <v>853</v>
      </c>
      <c r="B854" s="18" t="s">
        <v>25</v>
      </c>
      <c r="C854" s="19">
        <v>3520109320329</v>
      </c>
      <c r="D854" s="19">
        <v>1427</v>
      </c>
      <c r="E854" s="20">
        <v>42578</v>
      </c>
      <c r="F854" s="20">
        <v>46230</v>
      </c>
      <c r="G854" s="21">
        <v>35110</v>
      </c>
      <c r="H854" s="22">
        <f t="shared" ca="1" si="26"/>
        <v>30</v>
      </c>
      <c r="I854" s="18" t="s">
        <v>912</v>
      </c>
      <c r="J854" s="18" t="s">
        <v>27</v>
      </c>
      <c r="K854" s="18"/>
      <c r="L854" s="23" t="s">
        <v>3207</v>
      </c>
      <c r="M854" s="23" t="s">
        <v>2786</v>
      </c>
      <c r="N854" s="23" t="s">
        <v>1488</v>
      </c>
      <c r="O854" s="18">
        <v>1</v>
      </c>
      <c r="P854" s="24"/>
      <c r="Q854" s="25">
        <v>45748</v>
      </c>
      <c r="R854" s="13">
        <v>0</v>
      </c>
      <c r="S854" s="26" t="str">
        <f>VLOOKUP(C854,'[1]Bazaar Salary'!$B$6:$J$1193,9,0)</f>
        <v>10080010100608250011</v>
      </c>
      <c r="T854" s="25" t="s">
        <v>32</v>
      </c>
      <c r="U854" s="25" t="s">
        <v>254</v>
      </c>
      <c r="V854" s="25" t="s">
        <v>1093</v>
      </c>
      <c r="W854" s="27" t="s">
        <v>3208</v>
      </c>
      <c r="X854" s="28" t="s">
        <v>3209</v>
      </c>
      <c r="Y854" s="28"/>
      <c r="Z854" s="29" t="s">
        <v>37</v>
      </c>
    </row>
    <row r="855" spans="1:26" ht="30" customHeight="1" thickBot="1" x14ac:dyDescent="0.25">
      <c r="A855" s="17">
        <f t="shared" si="27"/>
        <v>854</v>
      </c>
      <c r="B855" s="18" t="s">
        <v>25</v>
      </c>
      <c r="C855" s="19">
        <v>3520211843850</v>
      </c>
      <c r="D855" s="19">
        <v>508</v>
      </c>
      <c r="E855" s="20">
        <v>45467</v>
      </c>
      <c r="F855" s="20">
        <v>49119</v>
      </c>
      <c r="G855" s="21">
        <v>27030</v>
      </c>
      <c r="H855" s="22">
        <f t="shared" ca="1" si="26"/>
        <v>52</v>
      </c>
      <c r="I855" s="18" t="s">
        <v>912</v>
      </c>
      <c r="J855" s="18" t="s">
        <v>66</v>
      </c>
      <c r="K855" s="18"/>
      <c r="L855" s="23" t="s">
        <v>1909</v>
      </c>
      <c r="M855" s="23" t="s">
        <v>3210</v>
      </c>
      <c r="N855" s="23" t="s">
        <v>1488</v>
      </c>
      <c r="O855" s="18">
        <v>1</v>
      </c>
      <c r="P855" s="24"/>
      <c r="Q855" s="25">
        <v>41638</v>
      </c>
      <c r="R855" s="13">
        <v>0</v>
      </c>
      <c r="S855" s="26" t="str">
        <f>VLOOKUP(C855,'[1]Bazaar Salary'!$B$6:$J$1193,9,0)</f>
        <v>01530010045837520015</v>
      </c>
      <c r="T855" s="25" t="s">
        <v>32</v>
      </c>
      <c r="U855" s="25" t="s">
        <v>254</v>
      </c>
      <c r="V855" s="25" t="s">
        <v>1093</v>
      </c>
      <c r="W855" s="27" t="s">
        <v>3211</v>
      </c>
      <c r="X855" s="28" t="s">
        <v>3212</v>
      </c>
      <c r="Y855" s="28"/>
      <c r="Z855" s="29" t="s">
        <v>37</v>
      </c>
    </row>
    <row r="856" spans="1:26" ht="30" customHeight="1" thickBot="1" x14ac:dyDescent="0.25">
      <c r="A856" s="17">
        <f t="shared" si="27"/>
        <v>855</v>
      </c>
      <c r="B856" s="18" t="s">
        <v>25</v>
      </c>
      <c r="C856" s="19">
        <v>3510318443655</v>
      </c>
      <c r="D856" s="19">
        <v>1569</v>
      </c>
      <c r="E856" s="20">
        <v>44406</v>
      </c>
      <c r="F856" s="20">
        <v>48058</v>
      </c>
      <c r="G856" s="21">
        <v>37472</v>
      </c>
      <c r="H856" s="22">
        <f t="shared" ca="1" si="26"/>
        <v>23</v>
      </c>
      <c r="I856" s="19" t="s">
        <v>26</v>
      </c>
      <c r="J856" s="18" t="s">
        <v>27</v>
      </c>
      <c r="K856" s="18"/>
      <c r="L856" s="23" t="s">
        <v>2534</v>
      </c>
      <c r="M856" s="23" t="s">
        <v>3213</v>
      </c>
      <c r="N856" s="23" t="s">
        <v>1488</v>
      </c>
      <c r="O856" s="18">
        <v>1</v>
      </c>
      <c r="P856" s="24"/>
      <c r="Q856" s="25">
        <v>45748</v>
      </c>
      <c r="R856" s="13">
        <v>0</v>
      </c>
      <c r="S856" s="26" t="str">
        <f>VLOOKUP(C856,'[1]Bazaar Salary'!$B$6:$J$1193,9,0)</f>
        <v>10080010122944390013</v>
      </c>
      <c r="T856" s="25" t="s">
        <v>32</v>
      </c>
      <c r="U856" s="25" t="s">
        <v>254</v>
      </c>
      <c r="V856" s="25" t="s">
        <v>1093</v>
      </c>
      <c r="W856" s="27" t="s">
        <v>3214</v>
      </c>
      <c r="X856" s="28" t="s">
        <v>3215</v>
      </c>
      <c r="Y856" s="28"/>
      <c r="Z856" s="29" t="s">
        <v>37</v>
      </c>
    </row>
    <row r="857" spans="1:26" ht="30" customHeight="1" thickBot="1" x14ac:dyDescent="0.25">
      <c r="A857" s="17">
        <f t="shared" si="27"/>
        <v>856</v>
      </c>
      <c r="B857" s="18" t="s">
        <v>25</v>
      </c>
      <c r="C857" s="19">
        <v>3520236087113</v>
      </c>
      <c r="D857" s="19">
        <v>1670</v>
      </c>
      <c r="E857" s="21">
        <v>45569</v>
      </c>
      <c r="F857" s="21">
        <v>49221</v>
      </c>
      <c r="G857" s="21">
        <v>38089</v>
      </c>
      <c r="H857" s="22">
        <f t="shared" ca="1" si="26"/>
        <v>22</v>
      </c>
      <c r="I857" s="18" t="s">
        <v>26</v>
      </c>
      <c r="J857" s="18" t="s">
        <v>27</v>
      </c>
      <c r="K857" s="23"/>
      <c r="L857" s="24" t="s">
        <v>1640</v>
      </c>
      <c r="M857" s="33" t="s">
        <v>894</v>
      </c>
      <c r="N857" s="23" t="s">
        <v>1488</v>
      </c>
      <c r="O857" s="18">
        <v>1</v>
      </c>
      <c r="P857" s="24"/>
      <c r="Q857" s="25">
        <v>45748</v>
      </c>
      <c r="R857" s="13">
        <v>0</v>
      </c>
      <c r="S857" s="26" t="str">
        <f>VLOOKUP(C857,'[1]Bazaar Salary'!$B$6:$J$1193,9,0)</f>
        <v>01530010135408260015</v>
      </c>
      <c r="T857" s="25" t="s">
        <v>32</v>
      </c>
      <c r="U857" s="25" t="s">
        <v>254</v>
      </c>
      <c r="V857" s="25" t="s">
        <v>1093</v>
      </c>
      <c r="W857" s="33" t="s">
        <v>3216</v>
      </c>
      <c r="X857" s="28" t="s">
        <v>3217</v>
      </c>
      <c r="Y857" s="28"/>
      <c r="Z857" s="29" t="s">
        <v>37</v>
      </c>
    </row>
    <row r="858" spans="1:26" ht="30" customHeight="1" thickBot="1" x14ac:dyDescent="0.25">
      <c r="A858" s="17">
        <f t="shared" si="27"/>
        <v>857</v>
      </c>
      <c r="B858" s="18" t="s">
        <v>25</v>
      </c>
      <c r="C858" s="19">
        <v>3520258531377</v>
      </c>
      <c r="D858" s="19">
        <v>1668</v>
      </c>
      <c r="E858" s="21">
        <v>45249</v>
      </c>
      <c r="F858" s="21">
        <v>48902</v>
      </c>
      <c r="G858" s="21">
        <v>37454</v>
      </c>
      <c r="H858" s="22">
        <f t="shared" ca="1" si="26"/>
        <v>23</v>
      </c>
      <c r="I858" s="18" t="s">
        <v>26</v>
      </c>
      <c r="J858" s="18" t="s">
        <v>27</v>
      </c>
      <c r="K858" s="23"/>
      <c r="L858" s="24" t="s">
        <v>3218</v>
      </c>
      <c r="M858" s="33" t="s">
        <v>3096</v>
      </c>
      <c r="N858" s="23" t="s">
        <v>1488</v>
      </c>
      <c r="O858" s="18">
        <v>1</v>
      </c>
      <c r="P858" s="24"/>
      <c r="Q858" s="25">
        <v>45748</v>
      </c>
      <c r="R858" s="13">
        <v>0</v>
      </c>
      <c r="S858" s="26" t="str">
        <f>VLOOKUP(C858,'[1]Bazaar Salary'!$B$6:$J$1193,9,0)</f>
        <v>07620010123522930013</v>
      </c>
      <c r="T858" s="25" t="s">
        <v>32</v>
      </c>
      <c r="U858" s="25" t="s">
        <v>254</v>
      </c>
      <c r="V858" s="25" t="s">
        <v>1093</v>
      </c>
      <c r="W858" s="33" t="s">
        <v>3219</v>
      </c>
      <c r="X858" s="28" t="s">
        <v>3220</v>
      </c>
      <c r="Y858" s="28"/>
      <c r="Z858" s="29" t="s">
        <v>37</v>
      </c>
    </row>
    <row r="859" spans="1:26" ht="30" customHeight="1" thickBot="1" x14ac:dyDescent="0.25">
      <c r="A859" s="17">
        <f t="shared" si="27"/>
        <v>858</v>
      </c>
      <c r="B859" s="18" t="s">
        <v>25</v>
      </c>
      <c r="C859" s="19">
        <v>3520256958543</v>
      </c>
      <c r="D859" s="19">
        <v>1785</v>
      </c>
      <c r="E859" s="20">
        <v>44652</v>
      </c>
      <c r="F859" s="20">
        <v>48305</v>
      </c>
      <c r="G859" s="21">
        <v>33604</v>
      </c>
      <c r="H859" s="22">
        <f t="shared" ca="1" si="26"/>
        <v>34</v>
      </c>
      <c r="I859" s="19" t="s">
        <v>26</v>
      </c>
      <c r="J859" s="18" t="s">
        <v>27</v>
      </c>
      <c r="K859" s="18"/>
      <c r="L859" s="23" t="s">
        <v>3221</v>
      </c>
      <c r="M859" s="23" t="s">
        <v>3222</v>
      </c>
      <c r="N859" s="23" t="s">
        <v>1488</v>
      </c>
      <c r="O859" s="18">
        <v>1</v>
      </c>
      <c r="P859" s="24"/>
      <c r="Q859" s="25">
        <v>45748</v>
      </c>
      <c r="R859" s="13">
        <v>0</v>
      </c>
      <c r="S859" s="26" t="str">
        <f>VLOOKUP(C859,'[1]Bazaar Salary'!$B$6:$J$1193,9,0)</f>
        <v>01530010140532360012</v>
      </c>
      <c r="T859" s="25" t="s">
        <v>32</v>
      </c>
      <c r="U859" s="25" t="s">
        <v>254</v>
      </c>
      <c r="V859" s="25" t="s">
        <v>1093</v>
      </c>
      <c r="W859" s="27" t="s">
        <v>3223</v>
      </c>
      <c r="X859" s="28" t="s">
        <v>3224</v>
      </c>
      <c r="Y859" s="28"/>
      <c r="Z859" s="29" t="s">
        <v>37</v>
      </c>
    </row>
    <row r="860" spans="1:26" ht="30" customHeight="1" thickBot="1" x14ac:dyDescent="0.25">
      <c r="A860" s="17">
        <f t="shared" si="27"/>
        <v>859</v>
      </c>
      <c r="B860" s="18" t="s">
        <v>25</v>
      </c>
      <c r="C860" s="19">
        <v>3520216881509</v>
      </c>
      <c r="D860" s="19">
        <v>1584</v>
      </c>
      <c r="E860" s="20">
        <v>43757</v>
      </c>
      <c r="F860" s="20">
        <v>47410</v>
      </c>
      <c r="G860" s="21">
        <v>36504</v>
      </c>
      <c r="H860" s="22">
        <f t="shared" ca="1" si="26"/>
        <v>26</v>
      </c>
      <c r="I860" s="19" t="s">
        <v>26</v>
      </c>
      <c r="J860" s="18" t="s">
        <v>27</v>
      </c>
      <c r="K860" s="18"/>
      <c r="L860" s="23" t="s">
        <v>3225</v>
      </c>
      <c r="M860" s="23" t="s">
        <v>1133</v>
      </c>
      <c r="N860" s="23" t="s">
        <v>1488</v>
      </c>
      <c r="O860" s="18">
        <v>1</v>
      </c>
      <c r="P860" s="24"/>
      <c r="Q860" s="25">
        <v>45748</v>
      </c>
      <c r="R860" s="13">
        <v>0</v>
      </c>
      <c r="S860" s="26" t="str">
        <f>VLOOKUP(C860,'[1]Bazaar Salary'!$B$6:$J$1193,9,0)</f>
        <v>01530010126287190019</v>
      </c>
      <c r="T860" s="25" t="s">
        <v>32</v>
      </c>
      <c r="U860" s="25" t="s">
        <v>254</v>
      </c>
      <c r="V860" s="25" t="s">
        <v>1093</v>
      </c>
      <c r="W860" s="27" t="s">
        <v>3226</v>
      </c>
      <c r="X860" s="28" t="s">
        <v>3227</v>
      </c>
      <c r="Y860" s="28"/>
      <c r="Z860" s="29" t="s">
        <v>37</v>
      </c>
    </row>
    <row r="861" spans="1:26" ht="30" customHeight="1" thickBot="1" x14ac:dyDescent="0.25">
      <c r="A861" s="17">
        <f t="shared" si="27"/>
        <v>860</v>
      </c>
      <c r="B861" s="18" t="s">
        <v>25</v>
      </c>
      <c r="C861" s="19">
        <v>3520246861685</v>
      </c>
      <c r="D861" s="19">
        <v>1547</v>
      </c>
      <c r="E861" s="20">
        <v>44741</v>
      </c>
      <c r="F861" s="20">
        <v>48394</v>
      </c>
      <c r="G861" s="21">
        <v>34005</v>
      </c>
      <c r="H861" s="22">
        <f t="shared" ca="1" si="26"/>
        <v>33</v>
      </c>
      <c r="I861" s="19" t="s">
        <v>26</v>
      </c>
      <c r="J861" s="18" t="s">
        <v>27</v>
      </c>
      <c r="K861" s="18"/>
      <c r="L861" s="30" t="s">
        <v>1132</v>
      </c>
      <c r="M861" s="30" t="s">
        <v>3118</v>
      </c>
      <c r="N861" s="23" t="s">
        <v>1488</v>
      </c>
      <c r="O861" s="18">
        <v>1</v>
      </c>
      <c r="P861" s="24"/>
      <c r="Q861" s="25">
        <v>45748</v>
      </c>
      <c r="R861" s="13">
        <v>0</v>
      </c>
      <c r="S861" s="26" t="str">
        <f>VLOOKUP(C861,'[1]Bazaar Salary'!$B$6:$J$1193,9,0)</f>
        <v>07030010065610840020</v>
      </c>
      <c r="T861" s="25" t="s">
        <v>32</v>
      </c>
      <c r="U861" s="25" t="s">
        <v>254</v>
      </c>
      <c r="V861" s="25" t="s">
        <v>1093</v>
      </c>
      <c r="W861" s="24" t="s">
        <v>3228</v>
      </c>
      <c r="X861" s="28" t="s">
        <v>3229</v>
      </c>
      <c r="Y861" s="28"/>
      <c r="Z861" s="29" t="s">
        <v>37</v>
      </c>
    </row>
    <row r="862" spans="1:26" ht="30" customHeight="1" thickBot="1" x14ac:dyDescent="0.25">
      <c r="A862" s="17">
        <f t="shared" si="27"/>
        <v>861</v>
      </c>
      <c r="B862" s="18" t="s">
        <v>25</v>
      </c>
      <c r="C862" s="19">
        <v>3640222651594</v>
      </c>
      <c r="D862" s="19">
        <v>1570</v>
      </c>
      <c r="E862" s="25">
        <v>45271</v>
      </c>
      <c r="F862" s="25">
        <v>48924</v>
      </c>
      <c r="G862" s="21">
        <v>30178</v>
      </c>
      <c r="H862" s="22">
        <f t="shared" ca="1" si="26"/>
        <v>43</v>
      </c>
      <c r="I862" s="19" t="s">
        <v>26</v>
      </c>
      <c r="J862" s="18" t="s">
        <v>66</v>
      </c>
      <c r="K862" s="18"/>
      <c r="L862" s="23" t="s">
        <v>3230</v>
      </c>
      <c r="M862" s="23" t="s">
        <v>3231</v>
      </c>
      <c r="N862" s="23" t="s">
        <v>1488</v>
      </c>
      <c r="O862" s="18">
        <v>1</v>
      </c>
      <c r="P862" s="24"/>
      <c r="Q862" s="25">
        <v>45748</v>
      </c>
      <c r="R862" s="13">
        <v>0</v>
      </c>
      <c r="S862" s="26" t="str">
        <f>VLOOKUP(C862,'[1]Bazaar Salary'!$B$6:$J$1193,9,0)</f>
        <v>10080010122978640019</v>
      </c>
      <c r="T862" s="25" t="s">
        <v>32</v>
      </c>
      <c r="U862" s="25" t="s">
        <v>254</v>
      </c>
      <c r="V862" s="25" t="s">
        <v>1093</v>
      </c>
      <c r="W862" s="27" t="s">
        <v>3232</v>
      </c>
      <c r="X862" s="28" t="s">
        <v>3233</v>
      </c>
      <c r="Y862" s="28"/>
      <c r="Z862" s="29" t="s">
        <v>37</v>
      </c>
    </row>
    <row r="863" spans="1:26" ht="30" customHeight="1" thickBot="1" x14ac:dyDescent="0.25">
      <c r="A863" s="17">
        <f t="shared" si="27"/>
        <v>862</v>
      </c>
      <c r="B863" s="18" t="s">
        <v>25</v>
      </c>
      <c r="C863" s="19">
        <v>3520225952727</v>
      </c>
      <c r="D863" s="19">
        <v>1527</v>
      </c>
      <c r="E863" s="20">
        <v>43840</v>
      </c>
      <c r="F863" s="20">
        <v>47493</v>
      </c>
      <c r="G863" s="21">
        <v>32509</v>
      </c>
      <c r="H863" s="22">
        <f t="shared" ca="1" si="26"/>
        <v>37</v>
      </c>
      <c r="I863" s="18" t="s">
        <v>912</v>
      </c>
      <c r="J863" s="18" t="s">
        <v>27</v>
      </c>
      <c r="K863" s="18"/>
      <c r="L863" s="23" t="s">
        <v>2786</v>
      </c>
      <c r="M863" s="23" t="s">
        <v>1791</v>
      </c>
      <c r="N863" s="23" t="s">
        <v>1488</v>
      </c>
      <c r="O863" s="18">
        <v>1</v>
      </c>
      <c r="P863" s="24"/>
      <c r="Q863" s="25">
        <v>45748</v>
      </c>
      <c r="R863" s="13">
        <v>0</v>
      </c>
      <c r="S863" s="26" t="str">
        <f>VLOOKUP(C863,'[1]Bazaar Salary'!$B$6:$J$1193,9,0)</f>
        <v>14180010111782010017</v>
      </c>
      <c r="T863" s="25" t="s">
        <v>32</v>
      </c>
      <c r="U863" s="25" t="s">
        <v>254</v>
      </c>
      <c r="V863" s="25" t="s">
        <v>1093</v>
      </c>
      <c r="W863" s="27" t="s">
        <v>3234</v>
      </c>
      <c r="X863" s="28" t="s">
        <v>3235</v>
      </c>
      <c r="Y863" s="28"/>
      <c r="Z863" s="29" t="s">
        <v>37</v>
      </c>
    </row>
    <row r="864" spans="1:26" ht="30" customHeight="1" thickBot="1" x14ac:dyDescent="0.25">
      <c r="A864" s="17">
        <f t="shared" si="27"/>
        <v>863</v>
      </c>
      <c r="B864" s="18" t="s">
        <v>25</v>
      </c>
      <c r="C864" s="19">
        <v>3520294400297</v>
      </c>
      <c r="D864" s="19">
        <v>528</v>
      </c>
      <c r="E864" s="20">
        <v>43474</v>
      </c>
      <c r="F864" s="20">
        <v>47127</v>
      </c>
      <c r="G864" s="21">
        <v>32660</v>
      </c>
      <c r="H864" s="22">
        <f t="shared" ca="1" si="26"/>
        <v>37</v>
      </c>
      <c r="I864" s="18" t="s">
        <v>912</v>
      </c>
      <c r="J864" s="18" t="s">
        <v>27</v>
      </c>
      <c r="K864" s="18"/>
      <c r="L864" s="23" t="s">
        <v>2478</v>
      </c>
      <c r="M864" s="23" t="s">
        <v>3236</v>
      </c>
      <c r="N864" s="23" t="s">
        <v>1488</v>
      </c>
      <c r="O864" s="18">
        <v>1</v>
      </c>
      <c r="P864" s="24"/>
      <c r="Q864" s="25">
        <v>42245</v>
      </c>
      <c r="R864" s="13">
        <v>0</v>
      </c>
      <c r="S864" s="26" t="str">
        <f>VLOOKUP(C864,'[1]Bazaar Salary'!$B$6:$J$1193,9,0)</f>
        <v>02880010045669600013</v>
      </c>
      <c r="T864" s="25" t="s">
        <v>32</v>
      </c>
      <c r="U864" s="25" t="s">
        <v>254</v>
      </c>
      <c r="V864" s="25" t="s">
        <v>1093</v>
      </c>
      <c r="W864" s="27" t="s">
        <v>3237</v>
      </c>
      <c r="X864" s="28" t="s">
        <v>3238</v>
      </c>
      <c r="Y864" s="28"/>
      <c r="Z864" s="29" t="s">
        <v>37</v>
      </c>
    </row>
    <row r="865" spans="1:26" ht="30" customHeight="1" thickBot="1" x14ac:dyDescent="0.25">
      <c r="A865" s="17">
        <f t="shared" si="27"/>
        <v>864</v>
      </c>
      <c r="B865" s="18" t="s">
        <v>25</v>
      </c>
      <c r="C865" s="19">
        <v>3520234499233</v>
      </c>
      <c r="D865" s="19">
        <v>1669</v>
      </c>
      <c r="E865" s="21">
        <v>45386</v>
      </c>
      <c r="F865" s="21">
        <v>49038</v>
      </c>
      <c r="G865" s="21">
        <v>30133</v>
      </c>
      <c r="H865" s="22">
        <f t="shared" ca="1" si="26"/>
        <v>43</v>
      </c>
      <c r="I865" s="18" t="s">
        <v>912</v>
      </c>
      <c r="J865" s="18" t="s">
        <v>27</v>
      </c>
      <c r="K865" s="23"/>
      <c r="L865" s="24" t="s">
        <v>3239</v>
      </c>
      <c r="M865" s="33" t="s">
        <v>3240</v>
      </c>
      <c r="N865" s="23" t="s">
        <v>1488</v>
      </c>
      <c r="O865" s="18">
        <v>1</v>
      </c>
      <c r="P865" s="24"/>
      <c r="Q865" s="25">
        <v>45748</v>
      </c>
      <c r="R865" s="13">
        <v>0</v>
      </c>
      <c r="S865" s="26" t="str">
        <f>VLOOKUP(C865,'[1]Bazaar Salary'!$B$6:$J$1193,9,0)</f>
        <v>02880010045266750018</v>
      </c>
      <c r="T865" s="25" t="s">
        <v>32</v>
      </c>
      <c r="U865" s="25" t="s">
        <v>254</v>
      </c>
      <c r="V865" s="25" t="s">
        <v>1093</v>
      </c>
      <c r="W865" s="33" t="s">
        <v>3241</v>
      </c>
      <c r="X865" s="28" t="s">
        <v>3242</v>
      </c>
      <c r="Y865" s="28"/>
      <c r="Z865" s="29" t="s">
        <v>37</v>
      </c>
    </row>
    <row r="866" spans="1:26" ht="30" customHeight="1" thickBot="1" x14ac:dyDescent="0.25">
      <c r="A866" s="17">
        <f t="shared" si="27"/>
        <v>865</v>
      </c>
      <c r="B866" s="18" t="s">
        <v>25</v>
      </c>
      <c r="C866" s="19">
        <v>3520274889479</v>
      </c>
      <c r="D866" s="19">
        <v>1796</v>
      </c>
      <c r="E866" s="20">
        <v>44859</v>
      </c>
      <c r="F866" s="20">
        <v>48512</v>
      </c>
      <c r="G866" s="21">
        <v>36021</v>
      </c>
      <c r="H866" s="22">
        <f t="shared" ca="1" si="26"/>
        <v>27</v>
      </c>
      <c r="I866" s="19" t="s">
        <v>26</v>
      </c>
      <c r="J866" s="18" t="s">
        <v>27</v>
      </c>
      <c r="K866" s="18"/>
      <c r="L866" s="23" t="s">
        <v>994</v>
      </c>
      <c r="M866" s="23" t="s">
        <v>1323</v>
      </c>
      <c r="N866" s="23" t="s">
        <v>1499</v>
      </c>
      <c r="O866" s="18">
        <v>1</v>
      </c>
      <c r="P866" s="24"/>
      <c r="Q866" s="25">
        <v>45748</v>
      </c>
      <c r="R866" s="13">
        <v>0</v>
      </c>
      <c r="S866" s="26" t="str">
        <f>VLOOKUP(C866,'[1]Bazaar Salary'!$B$6:$J$1193,9,0)</f>
        <v>01530010140029110015</v>
      </c>
      <c r="T866" s="25" t="s">
        <v>32</v>
      </c>
      <c r="U866" s="25" t="s">
        <v>254</v>
      </c>
      <c r="V866" s="25" t="s">
        <v>1093</v>
      </c>
      <c r="W866" s="27" t="s">
        <v>3243</v>
      </c>
      <c r="X866" s="28" t="s">
        <v>3244</v>
      </c>
      <c r="Y866" s="28"/>
      <c r="Z866" s="29" t="s">
        <v>37</v>
      </c>
    </row>
    <row r="867" spans="1:26" ht="30" customHeight="1" thickBot="1" x14ac:dyDescent="0.25">
      <c r="A867" s="17">
        <f t="shared" si="27"/>
        <v>866</v>
      </c>
      <c r="B867" s="18" t="s">
        <v>25</v>
      </c>
      <c r="C867" s="19">
        <v>3520261507011</v>
      </c>
      <c r="D867" s="19">
        <v>1636</v>
      </c>
      <c r="E867" s="21">
        <v>45385</v>
      </c>
      <c r="F867" s="21">
        <v>49037</v>
      </c>
      <c r="G867" s="21">
        <v>38584</v>
      </c>
      <c r="H867" s="22">
        <f t="shared" ca="1" si="26"/>
        <v>20</v>
      </c>
      <c r="I867" s="18" t="s">
        <v>26</v>
      </c>
      <c r="J867" s="18" t="s">
        <v>27</v>
      </c>
      <c r="K867" s="23"/>
      <c r="L867" s="24" t="s">
        <v>3245</v>
      </c>
      <c r="M867" s="33" t="s">
        <v>3246</v>
      </c>
      <c r="N867" s="23" t="s">
        <v>1499</v>
      </c>
      <c r="O867" s="18">
        <v>1</v>
      </c>
      <c r="P867" s="24"/>
      <c r="Q867" s="25">
        <v>45748</v>
      </c>
      <c r="R867" s="13">
        <v>0</v>
      </c>
      <c r="S867" s="26" t="str">
        <f>VLOOKUP(C867,'[1]Bazaar Salary'!$B$6:$J$1193,9,0)</f>
        <v>01530010134248250015</v>
      </c>
      <c r="T867" s="25" t="s">
        <v>32</v>
      </c>
      <c r="U867" s="25" t="s">
        <v>254</v>
      </c>
      <c r="V867" s="25" t="s">
        <v>1093</v>
      </c>
      <c r="W867" s="33" t="s">
        <v>3247</v>
      </c>
      <c r="X867" s="28" t="s">
        <v>3248</v>
      </c>
      <c r="Y867" s="28"/>
      <c r="Z867" s="29" t="s">
        <v>37</v>
      </c>
    </row>
    <row r="868" spans="1:26" ht="30" customHeight="1" thickBot="1" x14ac:dyDescent="0.25">
      <c r="A868" s="17">
        <f t="shared" si="27"/>
        <v>867</v>
      </c>
      <c r="B868" s="18" t="s">
        <v>25</v>
      </c>
      <c r="C868" s="19">
        <v>3530121229705</v>
      </c>
      <c r="D868" s="19" t="s">
        <v>542</v>
      </c>
      <c r="E868" s="20">
        <v>42817</v>
      </c>
      <c r="F868" s="20">
        <v>46469</v>
      </c>
      <c r="G868" s="21">
        <v>31413</v>
      </c>
      <c r="H868" s="22">
        <f t="shared" ca="1" si="26"/>
        <v>40</v>
      </c>
      <c r="I868" s="19" t="s">
        <v>26</v>
      </c>
      <c r="J868" s="18" t="s">
        <v>27</v>
      </c>
      <c r="K868" s="18"/>
      <c r="L868" s="23" t="s">
        <v>3249</v>
      </c>
      <c r="M868" s="23" t="s">
        <v>2326</v>
      </c>
      <c r="N868" s="23" t="s">
        <v>1499</v>
      </c>
      <c r="O868" s="18">
        <v>1</v>
      </c>
      <c r="P868" s="24"/>
      <c r="Q868" s="25">
        <v>45748</v>
      </c>
      <c r="R868" s="13">
        <v>0</v>
      </c>
      <c r="S868" s="26" t="str">
        <f>VLOOKUP(C868,'[1]Bazaar Salary'!$B$6:$J$1193,9,0)</f>
        <v>02880010070482680019</v>
      </c>
      <c r="T868" s="25" t="s">
        <v>32</v>
      </c>
      <c r="U868" s="25" t="s">
        <v>254</v>
      </c>
      <c r="V868" s="25" t="s">
        <v>1093</v>
      </c>
      <c r="W868" s="27" t="s">
        <v>3250</v>
      </c>
      <c r="X868" s="28" t="s">
        <v>3251</v>
      </c>
      <c r="Y868" s="28"/>
      <c r="Z868" s="29" t="s">
        <v>37</v>
      </c>
    </row>
    <row r="869" spans="1:26" ht="30" customHeight="1" thickBot="1" x14ac:dyDescent="0.25">
      <c r="A869" s="17">
        <f t="shared" si="27"/>
        <v>868</v>
      </c>
      <c r="B869" s="18" t="s">
        <v>25</v>
      </c>
      <c r="C869" s="19">
        <v>3520263742889</v>
      </c>
      <c r="D869" s="19">
        <v>396</v>
      </c>
      <c r="E869" s="20">
        <v>45108</v>
      </c>
      <c r="F869" s="20">
        <v>48761</v>
      </c>
      <c r="G869" s="21">
        <v>30352</v>
      </c>
      <c r="H869" s="22">
        <f t="shared" ca="1" si="26"/>
        <v>43</v>
      </c>
      <c r="I869" s="19" t="s">
        <v>26</v>
      </c>
      <c r="J869" s="18" t="s">
        <v>27</v>
      </c>
      <c r="K869" s="18"/>
      <c r="L869" s="23" t="s">
        <v>3252</v>
      </c>
      <c r="M869" s="23" t="s">
        <v>1645</v>
      </c>
      <c r="N869" s="23" t="s">
        <v>1499</v>
      </c>
      <c r="O869" s="18">
        <v>1</v>
      </c>
      <c r="P869" s="24"/>
      <c r="Q869" s="25">
        <v>41364</v>
      </c>
      <c r="R869" s="13">
        <v>0</v>
      </c>
      <c r="S869" s="26" t="str">
        <f>VLOOKUP(C869,'[1]Bazaar Salary'!$B$6:$J$1193,9,0)</f>
        <v>01530010045872710011</v>
      </c>
      <c r="T869" s="25" t="s">
        <v>32</v>
      </c>
      <c r="U869" s="25" t="s">
        <v>254</v>
      </c>
      <c r="V869" s="25" t="s">
        <v>1093</v>
      </c>
      <c r="W869" s="27" t="s">
        <v>3253</v>
      </c>
      <c r="X869" s="28" t="s">
        <v>3254</v>
      </c>
      <c r="Y869" s="28"/>
      <c r="Z869" s="29" t="s">
        <v>37</v>
      </c>
    </row>
    <row r="870" spans="1:26" ht="30" customHeight="1" thickBot="1" x14ac:dyDescent="0.25">
      <c r="A870" s="17">
        <f t="shared" si="27"/>
        <v>869</v>
      </c>
      <c r="B870" s="18" t="s">
        <v>25</v>
      </c>
      <c r="C870" s="19">
        <v>3520208752023</v>
      </c>
      <c r="D870" s="19">
        <v>1432</v>
      </c>
      <c r="E870" s="20">
        <v>44020</v>
      </c>
      <c r="F870" s="20">
        <v>47672</v>
      </c>
      <c r="G870" s="21">
        <v>32735</v>
      </c>
      <c r="H870" s="22">
        <f t="shared" ca="1" si="26"/>
        <v>36</v>
      </c>
      <c r="I870" s="19" t="s">
        <v>26</v>
      </c>
      <c r="J870" s="18" t="s">
        <v>27</v>
      </c>
      <c r="K870" s="18"/>
      <c r="L870" s="23" t="s">
        <v>1308</v>
      </c>
      <c r="M870" s="23" t="s">
        <v>3255</v>
      </c>
      <c r="N870" s="23" t="s">
        <v>1499</v>
      </c>
      <c r="O870" s="18">
        <v>1</v>
      </c>
      <c r="P870" s="24"/>
      <c r="Q870" s="25">
        <v>45748</v>
      </c>
      <c r="R870" s="13">
        <v>0</v>
      </c>
      <c r="S870" s="26" t="str">
        <f>VLOOKUP(C870,'[1]Bazaar Salary'!$B$6:$J$1193,9,0)</f>
        <v>02880010071878180018</v>
      </c>
      <c r="T870" s="25" t="s">
        <v>32</v>
      </c>
      <c r="U870" s="25" t="s">
        <v>254</v>
      </c>
      <c r="V870" s="25" t="s">
        <v>1093</v>
      </c>
      <c r="W870" s="27" t="s">
        <v>3256</v>
      </c>
      <c r="X870" s="28" t="s">
        <v>3257</v>
      </c>
      <c r="Y870" s="28"/>
      <c r="Z870" s="29" t="s">
        <v>37</v>
      </c>
    </row>
    <row r="871" spans="1:26" ht="30" customHeight="1" thickBot="1" x14ac:dyDescent="0.25">
      <c r="A871" s="17">
        <f t="shared" si="27"/>
        <v>870</v>
      </c>
      <c r="B871" s="18" t="s">
        <v>25</v>
      </c>
      <c r="C871" s="19">
        <v>3520299384049</v>
      </c>
      <c r="D871" s="19">
        <v>313</v>
      </c>
      <c r="E871" s="20">
        <v>45109</v>
      </c>
      <c r="F871" s="20">
        <v>48762</v>
      </c>
      <c r="G871" s="21">
        <v>29471</v>
      </c>
      <c r="H871" s="22">
        <f t="shared" ca="1" si="26"/>
        <v>45</v>
      </c>
      <c r="I871" s="19" t="s">
        <v>26</v>
      </c>
      <c r="J871" s="18" t="s">
        <v>27</v>
      </c>
      <c r="K871" s="18"/>
      <c r="L871" s="23" t="s">
        <v>1121</v>
      </c>
      <c r="M871" s="23" t="s">
        <v>974</v>
      </c>
      <c r="N871" s="23" t="s">
        <v>1499</v>
      </c>
      <c r="O871" s="18">
        <v>1</v>
      </c>
      <c r="P871" s="24"/>
      <c r="Q871" s="25">
        <v>42150</v>
      </c>
      <c r="R871" s="13">
        <v>0</v>
      </c>
      <c r="S871" s="26" t="str">
        <f>VLOOKUP(C871,'[1]Bazaar Salary'!$B$6:$J$1193,9,0)</f>
        <v>01530010045869870012</v>
      </c>
      <c r="T871" s="25" t="s">
        <v>32</v>
      </c>
      <c r="U871" s="25" t="s">
        <v>254</v>
      </c>
      <c r="V871" s="25" t="s">
        <v>1093</v>
      </c>
      <c r="W871" s="27" t="s">
        <v>3258</v>
      </c>
      <c r="X871" s="28" t="s">
        <v>3259</v>
      </c>
      <c r="Y871" s="28"/>
      <c r="Z871" s="29" t="s">
        <v>37</v>
      </c>
    </row>
    <row r="872" spans="1:26" ht="30" customHeight="1" thickBot="1" x14ac:dyDescent="0.25">
      <c r="A872" s="17">
        <f t="shared" si="27"/>
        <v>871</v>
      </c>
      <c r="B872" s="18" t="s">
        <v>25</v>
      </c>
      <c r="C872" s="19">
        <v>3520216142015</v>
      </c>
      <c r="D872" s="19">
        <v>312</v>
      </c>
      <c r="E872" s="20">
        <v>44499</v>
      </c>
      <c r="F872" s="20">
        <v>48151</v>
      </c>
      <c r="G872" s="21">
        <v>30817</v>
      </c>
      <c r="H872" s="22">
        <f t="shared" ca="1" si="26"/>
        <v>42</v>
      </c>
      <c r="I872" s="19" t="s">
        <v>26</v>
      </c>
      <c r="J872" s="18" t="s">
        <v>27</v>
      </c>
      <c r="K872" s="18"/>
      <c r="L872" s="23" t="s">
        <v>3260</v>
      </c>
      <c r="M872" s="23" t="s">
        <v>466</v>
      </c>
      <c r="N872" s="23" t="s">
        <v>1499</v>
      </c>
      <c r="O872" s="18">
        <v>1</v>
      </c>
      <c r="P872" s="24"/>
      <c r="Q872" s="25">
        <v>41719</v>
      </c>
      <c r="R872" s="13">
        <v>0</v>
      </c>
      <c r="S872" s="26" t="str">
        <f>VLOOKUP(C872,'[1]Bazaar Salary'!$B$6:$J$1193,9,0)</f>
        <v>01530010030715460010</v>
      </c>
      <c r="T872" s="25" t="s">
        <v>32</v>
      </c>
      <c r="U872" s="25" t="s">
        <v>254</v>
      </c>
      <c r="V872" s="25" t="s">
        <v>1356</v>
      </c>
      <c r="W872" s="27" t="s">
        <v>3261</v>
      </c>
      <c r="X872" s="28" t="s">
        <v>3262</v>
      </c>
      <c r="Y872" s="28"/>
      <c r="Z872" s="29" t="s">
        <v>37</v>
      </c>
    </row>
    <row r="873" spans="1:26" ht="30" customHeight="1" thickBot="1" x14ac:dyDescent="0.25">
      <c r="A873" s="17">
        <f t="shared" si="27"/>
        <v>872</v>
      </c>
      <c r="B873" s="18" t="s">
        <v>25</v>
      </c>
      <c r="C873" s="19">
        <v>3520210421345</v>
      </c>
      <c r="D873" s="19">
        <v>1849</v>
      </c>
      <c r="E873" s="20">
        <v>45496</v>
      </c>
      <c r="F873" s="20" t="s">
        <v>2752</v>
      </c>
      <c r="G873" s="21">
        <v>33887</v>
      </c>
      <c r="H873" s="22">
        <f t="shared" ca="1" si="26"/>
        <v>33</v>
      </c>
      <c r="I873" s="19" t="s">
        <v>26</v>
      </c>
      <c r="J873" s="18" t="s">
        <v>27</v>
      </c>
      <c r="K873" s="18"/>
      <c r="L873" s="23" t="s">
        <v>1940</v>
      </c>
      <c r="M873" s="23" t="s">
        <v>3263</v>
      </c>
      <c r="N873" s="23" t="s">
        <v>1499</v>
      </c>
      <c r="O873" s="18">
        <v>1</v>
      </c>
      <c r="P873" s="24"/>
      <c r="Q873" s="25">
        <v>45748</v>
      </c>
      <c r="R873" s="13">
        <v>0</v>
      </c>
      <c r="S873" s="26" t="str">
        <f>VLOOKUP(C873,'[1]Bazaar Salary'!$B$6:$J$1193,9,0)</f>
        <v>07620010142406320017</v>
      </c>
      <c r="T873" s="25" t="s">
        <v>32</v>
      </c>
      <c r="U873" s="25" t="s">
        <v>254</v>
      </c>
      <c r="V873" s="25" t="s">
        <v>1093</v>
      </c>
      <c r="W873" s="27" t="s">
        <v>3264</v>
      </c>
      <c r="X873" s="28" t="s">
        <v>3265</v>
      </c>
      <c r="Y873" s="28"/>
      <c r="Z873" s="29" t="s">
        <v>37</v>
      </c>
    </row>
    <row r="874" spans="1:26" ht="30" customHeight="1" thickBot="1" x14ac:dyDescent="0.25">
      <c r="A874" s="17">
        <f t="shared" si="27"/>
        <v>873</v>
      </c>
      <c r="B874" s="18" t="s">
        <v>25</v>
      </c>
      <c r="C874" s="19">
        <v>3520281523183</v>
      </c>
      <c r="D874" s="19">
        <v>1515</v>
      </c>
      <c r="E874" s="20">
        <v>42888</v>
      </c>
      <c r="F874" s="20">
        <v>46540</v>
      </c>
      <c r="G874" s="21">
        <v>35175</v>
      </c>
      <c r="H874" s="22">
        <f t="shared" ca="1" si="26"/>
        <v>30</v>
      </c>
      <c r="I874" s="19" t="s">
        <v>26</v>
      </c>
      <c r="J874" s="18" t="s">
        <v>27</v>
      </c>
      <c r="K874" s="18"/>
      <c r="L874" s="23" t="s">
        <v>3266</v>
      </c>
      <c r="M874" s="23" t="s">
        <v>1125</v>
      </c>
      <c r="N874" s="23" t="s">
        <v>1499</v>
      </c>
      <c r="O874" s="18">
        <v>1</v>
      </c>
      <c r="P874" s="24"/>
      <c r="Q874" s="25">
        <v>45748</v>
      </c>
      <c r="R874" s="13">
        <v>0</v>
      </c>
      <c r="S874" s="26" t="str">
        <f>VLOOKUP(C874,'[1]Bazaar Salary'!$B$6:$J$1193,9,0)</f>
        <v>06880010108660790013</v>
      </c>
      <c r="T874" s="25" t="s">
        <v>32</v>
      </c>
      <c r="U874" s="25" t="s">
        <v>254</v>
      </c>
      <c r="V874" s="25" t="s">
        <v>1356</v>
      </c>
      <c r="W874" s="27" t="s">
        <v>3267</v>
      </c>
      <c r="X874" s="28" t="s">
        <v>3268</v>
      </c>
      <c r="Y874" s="28"/>
      <c r="Z874" s="29" t="s">
        <v>37</v>
      </c>
    </row>
    <row r="875" spans="1:26" ht="30" customHeight="1" thickBot="1" x14ac:dyDescent="0.25">
      <c r="A875" s="17">
        <f t="shared" si="27"/>
        <v>874</v>
      </c>
      <c r="B875" s="18" t="s">
        <v>25</v>
      </c>
      <c r="C875" s="19">
        <v>3520267359393</v>
      </c>
      <c r="D875" s="19">
        <v>1826</v>
      </c>
      <c r="E875" s="20">
        <v>45154</v>
      </c>
      <c r="F875" s="20">
        <v>48807</v>
      </c>
      <c r="G875" s="21">
        <v>31739</v>
      </c>
      <c r="H875" s="22">
        <f t="shared" ca="1" si="26"/>
        <v>39</v>
      </c>
      <c r="I875" s="19" t="s">
        <v>26</v>
      </c>
      <c r="J875" s="18" t="s">
        <v>27</v>
      </c>
      <c r="K875" s="18"/>
      <c r="L875" s="23" t="s">
        <v>2595</v>
      </c>
      <c r="M875" s="23" t="s">
        <v>761</v>
      </c>
      <c r="N875" s="23" t="s">
        <v>1499</v>
      </c>
      <c r="O875" s="18">
        <v>1</v>
      </c>
      <c r="P875" s="24"/>
      <c r="Q875" s="25">
        <v>45748</v>
      </c>
      <c r="R875" s="13">
        <v>0</v>
      </c>
      <c r="S875" s="26" t="str">
        <f>VLOOKUP(C875,'[1]Bazaar Salary'!$B$6:$J$1193,9,0)</f>
        <v>10790010141632750018</v>
      </c>
      <c r="T875" s="25" t="s">
        <v>32</v>
      </c>
      <c r="U875" s="25" t="s">
        <v>254</v>
      </c>
      <c r="V875" s="25" t="s">
        <v>1093</v>
      </c>
      <c r="W875" s="27" t="s">
        <v>3269</v>
      </c>
      <c r="X875" s="28" t="s">
        <v>3270</v>
      </c>
      <c r="Y875" s="28"/>
      <c r="Z875" s="29" t="s">
        <v>37</v>
      </c>
    </row>
    <row r="876" spans="1:26" ht="30" customHeight="1" thickBot="1" x14ac:dyDescent="0.25">
      <c r="A876" s="17">
        <f t="shared" si="27"/>
        <v>875</v>
      </c>
      <c r="B876" s="18" t="s">
        <v>25</v>
      </c>
      <c r="C876" s="19">
        <v>3520234305233</v>
      </c>
      <c r="D876" s="19" t="s">
        <v>542</v>
      </c>
      <c r="E876" s="20">
        <v>43213</v>
      </c>
      <c r="F876" s="20">
        <v>46866</v>
      </c>
      <c r="G876" s="21">
        <v>36221</v>
      </c>
      <c r="H876" s="22">
        <f t="shared" ca="1" si="26"/>
        <v>27</v>
      </c>
      <c r="I876" s="19" t="s">
        <v>26</v>
      </c>
      <c r="J876" s="18" t="s">
        <v>27</v>
      </c>
      <c r="K876" s="18"/>
      <c r="L876" s="23" t="s">
        <v>3271</v>
      </c>
      <c r="M876" s="23" t="s">
        <v>3272</v>
      </c>
      <c r="N876" s="23" t="s">
        <v>1499</v>
      </c>
      <c r="O876" s="18">
        <v>1</v>
      </c>
      <c r="P876" s="24"/>
      <c r="Q876" s="25">
        <v>45748</v>
      </c>
      <c r="R876" s="13">
        <v>0</v>
      </c>
      <c r="S876" s="26" t="str">
        <f>VLOOKUP(C876,'[1]Bazaar Salary'!$B$6:$J$1193,9,0)</f>
        <v>02880010070165230010</v>
      </c>
      <c r="T876" s="25" t="s">
        <v>32</v>
      </c>
      <c r="U876" s="25" t="s">
        <v>254</v>
      </c>
      <c r="V876" s="25" t="s">
        <v>1093</v>
      </c>
      <c r="W876" s="27" t="s">
        <v>3273</v>
      </c>
      <c r="X876" s="28" t="s">
        <v>3274</v>
      </c>
      <c r="Y876" s="28"/>
      <c r="Z876" s="29" t="s">
        <v>37</v>
      </c>
    </row>
    <row r="877" spans="1:26" ht="30" customHeight="1" thickBot="1" x14ac:dyDescent="0.25">
      <c r="A877" s="17">
        <f t="shared" si="27"/>
        <v>876</v>
      </c>
      <c r="B877" s="18" t="s">
        <v>25</v>
      </c>
      <c r="C877" s="19">
        <v>3530133037672</v>
      </c>
      <c r="D877" s="19">
        <v>1241</v>
      </c>
      <c r="E877" s="20">
        <v>42662</v>
      </c>
      <c r="F877" s="20">
        <v>46314</v>
      </c>
      <c r="G877" s="21">
        <v>35431</v>
      </c>
      <c r="H877" s="22">
        <f t="shared" ca="1" si="26"/>
        <v>29</v>
      </c>
      <c r="I877" s="19" t="s">
        <v>26</v>
      </c>
      <c r="J877" s="18" t="s">
        <v>66</v>
      </c>
      <c r="K877" s="18"/>
      <c r="L877" s="23" t="s">
        <v>3275</v>
      </c>
      <c r="M877" s="23" t="s">
        <v>3276</v>
      </c>
      <c r="N877" s="23" t="s">
        <v>1499</v>
      </c>
      <c r="O877" s="18">
        <v>1</v>
      </c>
      <c r="P877" s="24"/>
      <c r="Q877" s="25">
        <v>44317</v>
      </c>
      <c r="R877" s="13">
        <v>0</v>
      </c>
      <c r="S877" s="26" t="str">
        <f>VLOOKUP(C877,'[1]Bazaar Salary'!$B$6:$J$1193,9,0)</f>
        <v>09410010073311920011</v>
      </c>
      <c r="T877" s="25" t="s">
        <v>32</v>
      </c>
      <c r="U877" s="25" t="s">
        <v>254</v>
      </c>
      <c r="V877" s="25" t="s">
        <v>1093</v>
      </c>
      <c r="W877" s="27" t="s">
        <v>3277</v>
      </c>
      <c r="X877" s="28" t="s">
        <v>3278</v>
      </c>
      <c r="Y877" s="28"/>
      <c r="Z877" s="29" t="s">
        <v>37</v>
      </c>
    </row>
    <row r="878" spans="1:26" ht="30" customHeight="1" thickBot="1" x14ac:dyDescent="0.25">
      <c r="A878" s="17">
        <f t="shared" si="27"/>
        <v>877</v>
      </c>
      <c r="B878" s="18" t="s">
        <v>25</v>
      </c>
      <c r="C878" s="19">
        <v>3520251210467</v>
      </c>
      <c r="D878" s="19">
        <v>1278</v>
      </c>
      <c r="E878" s="20">
        <v>45083</v>
      </c>
      <c r="F878" s="20">
        <v>48736</v>
      </c>
      <c r="G878" s="21">
        <v>29952</v>
      </c>
      <c r="H878" s="22">
        <f t="shared" ca="1" si="26"/>
        <v>44</v>
      </c>
      <c r="I878" s="19" t="s">
        <v>26</v>
      </c>
      <c r="J878" s="18" t="s">
        <v>27</v>
      </c>
      <c r="K878" s="18"/>
      <c r="L878" s="23" t="s">
        <v>3279</v>
      </c>
      <c r="M878" s="23" t="s">
        <v>1867</v>
      </c>
      <c r="N878" s="23" t="s">
        <v>1499</v>
      </c>
      <c r="O878" s="18">
        <v>1</v>
      </c>
      <c r="P878" s="24"/>
      <c r="Q878" s="25">
        <v>45748</v>
      </c>
      <c r="R878" s="13">
        <v>0</v>
      </c>
      <c r="S878" s="26" t="str">
        <f>VLOOKUP(C878,'[1]Bazaar Salary'!$B$6:$J$1193,9,0)</f>
        <v>01530010081949540018</v>
      </c>
      <c r="T878" s="25" t="s">
        <v>32</v>
      </c>
      <c r="U878" s="25" t="s">
        <v>254</v>
      </c>
      <c r="V878" s="25" t="s">
        <v>1093</v>
      </c>
      <c r="W878" s="27" t="s">
        <v>3280</v>
      </c>
      <c r="X878" s="28" t="s">
        <v>3281</v>
      </c>
      <c r="Y878" s="28"/>
      <c r="Z878" s="29" t="s">
        <v>37</v>
      </c>
    </row>
    <row r="879" spans="1:26" ht="30" customHeight="1" thickBot="1" x14ac:dyDescent="0.25">
      <c r="A879" s="17">
        <f t="shared" si="27"/>
        <v>878</v>
      </c>
      <c r="B879" s="18" t="s">
        <v>25</v>
      </c>
      <c r="C879" s="19">
        <v>3520287114149</v>
      </c>
      <c r="D879" s="19">
        <v>1426</v>
      </c>
      <c r="E879" s="20">
        <v>44194</v>
      </c>
      <c r="F879" s="20">
        <v>47846</v>
      </c>
      <c r="G879" s="21">
        <v>32799</v>
      </c>
      <c r="H879" s="22">
        <f t="shared" ca="1" si="26"/>
        <v>36</v>
      </c>
      <c r="I879" s="19" t="s">
        <v>26</v>
      </c>
      <c r="J879" s="18" t="s">
        <v>27</v>
      </c>
      <c r="K879" s="18"/>
      <c r="L879" s="23" t="s">
        <v>3282</v>
      </c>
      <c r="M879" s="23" t="s">
        <v>3283</v>
      </c>
      <c r="N879" s="23" t="s">
        <v>1499</v>
      </c>
      <c r="O879" s="18">
        <v>1</v>
      </c>
      <c r="P879" s="24"/>
      <c r="Q879" s="25">
        <v>45748</v>
      </c>
      <c r="R879" s="13">
        <v>0</v>
      </c>
      <c r="S879" s="26" t="str">
        <f>VLOOKUP(C879,'[1]Bazaar Salary'!$B$6:$J$1193,9,0)</f>
        <v>10080010100534920010</v>
      </c>
      <c r="T879" s="25" t="s">
        <v>32</v>
      </c>
      <c r="U879" s="25" t="s">
        <v>254</v>
      </c>
      <c r="V879" s="25" t="s">
        <v>1093</v>
      </c>
      <c r="W879" s="27" t="s">
        <v>3284</v>
      </c>
      <c r="X879" s="28" t="s">
        <v>3285</v>
      </c>
      <c r="Y879" s="28"/>
      <c r="Z879" s="29" t="s">
        <v>37</v>
      </c>
    </row>
    <row r="880" spans="1:26" ht="30" customHeight="1" thickBot="1" x14ac:dyDescent="0.25">
      <c r="A880" s="17">
        <f t="shared" si="27"/>
        <v>879</v>
      </c>
      <c r="B880" s="18" t="s">
        <v>25</v>
      </c>
      <c r="C880" s="19">
        <v>3520243161179</v>
      </c>
      <c r="D880" s="19">
        <v>1840</v>
      </c>
      <c r="E880" s="20">
        <v>43605</v>
      </c>
      <c r="F880" s="20">
        <v>47258</v>
      </c>
      <c r="G880" s="21">
        <v>35114</v>
      </c>
      <c r="H880" s="22">
        <f t="shared" ca="1" si="26"/>
        <v>30</v>
      </c>
      <c r="I880" s="19" t="s">
        <v>26</v>
      </c>
      <c r="J880" s="18" t="s">
        <v>27</v>
      </c>
      <c r="K880" s="18"/>
      <c r="L880" s="23" t="s">
        <v>3286</v>
      </c>
      <c r="M880" s="23" t="s">
        <v>3287</v>
      </c>
      <c r="N880" s="23" t="s">
        <v>1499</v>
      </c>
      <c r="O880" s="18">
        <v>1</v>
      </c>
      <c r="P880" s="24"/>
      <c r="Q880" s="25">
        <v>45748</v>
      </c>
      <c r="R880" s="13">
        <v>0</v>
      </c>
      <c r="S880" s="26" t="str">
        <f>VLOOKUP(C880,'[1]Bazaar Salary'!$B$6:$J$1193,9,0)</f>
        <v>02880010140094870013</v>
      </c>
      <c r="T880" s="25" t="s">
        <v>32</v>
      </c>
      <c r="U880" s="25" t="s">
        <v>254</v>
      </c>
      <c r="V880" s="25" t="s">
        <v>1093</v>
      </c>
      <c r="W880" s="27" t="s">
        <v>3288</v>
      </c>
      <c r="X880" s="28" t="s">
        <v>3289</v>
      </c>
      <c r="Y880" s="28"/>
      <c r="Z880" s="29" t="s">
        <v>37</v>
      </c>
    </row>
    <row r="881" spans="1:26" ht="30" customHeight="1" thickBot="1" x14ac:dyDescent="0.25">
      <c r="A881" s="17">
        <f t="shared" si="27"/>
        <v>880</v>
      </c>
      <c r="B881" s="18" t="s">
        <v>25</v>
      </c>
      <c r="C881" s="19">
        <v>3510290423679</v>
      </c>
      <c r="D881" s="19">
        <v>1619</v>
      </c>
      <c r="E881" s="20">
        <v>44176</v>
      </c>
      <c r="F881" s="20">
        <v>47828</v>
      </c>
      <c r="G881" s="21">
        <v>36958</v>
      </c>
      <c r="H881" s="22">
        <f t="shared" ca="1" si="26"/>
        <v>25</v>
      </c>
      <c r="I881" s="19" t="s">
        <v>26</v>
      </c>
      <c r="J881" s="18" t="s">
        <v>27</v>
      </c>
      <c r="K881" s="18"/>
      <c r="L881" s="23" t="s">
        <v>3290</v>
      </c>
      <c r="M881" s="23" t="s">
        <v>236</v>
      </c>
      <c r="N881" s="23" t="s">
        <v>1499</v>
      </c>
      <c r="O881" s="18">
        <v>1</v>
      </c>
      <c r="P881" s="24"/>
      <c r="Q881" s="25">
        <v>45748</v>
      </c>
      <c r="R881" s="13">
        <v>0</v>
      </c>
      <c r="S881" s="26" t="str">
        <f>VLOOKUP(C881,'[1]Bazaar Salary'!$B$6:$J$1193,9,0)</f>
        <v>01530010132194270019</v>
      </c>
      <c r="T881" s="25" t="s">
        <v>32</v>
      </c>
      <c r="U881" s="25" t="s">
        <v>254</v>
      </c>
      <c r="V881" s="25" t="s">
        <v>1093</v>
      </c>
      <c r="W881" s="27" t="s">
        <v>3291</v>
      </c>
      <c r="X881" s="28" t="s">
        <v>3292</v>
      </c>
      <c r="Y881" s="28"/>
      <c r="Z881" s="29" t="s">
        <v>37</v>
      </c>
    </row>
    <row r="882" spans="1:26" ht="30" customHeight="1" thickBot="1" x14ac:dyDescent="0.25">
      <c r="A882" s="17">
        <f t="shared" si="27"/>
        <v>881</v>
      </c>
      <c r="B882" s="18" t="s">
        <v>25</v>
      </c>
      <c r="C882" s="19">
        <v>3520204861789</v>
      </c>
      <c r="D882" s="19">
        <v>1613</v>
      </c>
      <c r="E882" s="20">
        <v>43747</v>
      </c>
      <c r="F882" s="20" t="s">
        <v>196</v>
      </c>
      <c r="G882" s="21">
        <v>31793</v>
      </c>
      <c r="H882" s="22">
        <f t="shared" ca="1" si="26"/>
        <v>39</v>
      </c>
      <c r="I882" s="19" t="s">
        <v>26</v>
      </c>
      <c r="J882" s="18" t="s">
        <v>27</v>
      </c>
      <c r="K882" s="18" t="s">
        <v>197</v>
      </c>
      <c r="L882" s="23" t="s">
        <v>3293</v>
      </c>
      <c r="M882" s="23" t="s">
        <v>181</v>
      </c>
      <c r="N882" s="23" t="s">
        <v>1499</v>
      </c>
      <c r="O882" s="18">
        <v>1</v>
      </c>
      <c r="P882" s="24"/>
      <c r="Q882" s="25">
        <v>45748</v>
      </c>
      <c r="R882" s="13">
        <v>0</v>
      </c>
      <c r="S882" s="26" t="str">
        <f>VLOOKUP(C882,'[1]Bazaar Salary'!$B$6:$J$1193,9,0)</f>
        <v>03910010132390590017</v>
      </c>
      <c r="T882" s="25" t="s">
        <v>32</v>
      </c>
      <c r="U882" s="25" t="s">
        <v>254</v>
      </c>
      <c r="V882" s="25" t="s">
        <v>1093</v>
      </c>
      <c r="W882" s="27" t="s">
        <v>3294</v>
      </c>
      <c r="X882" s="28" t="s">
        <v>3295</v>
      </c>
      <c r="Y882" s="28"/>
      <c r="Z882" s="29" t="s">
        <v>37</v>
      </c>
    </row>
    <row r="883" spans="1:26" ht="30" customHeight="1" thickBot="1" x14ac:dyDescent="0.25">
      <c r="A883" s="17">
        <f t="shared" si="27"/>
        <v>882</v>
      </c>
      <c r="B883" s="18" t="s">
        <v>25</v>
      </c>
      <c r="C883" s="19">
        <v>3520294703452</v>
      </c>
      <c r="D883" s="19">
        <v>1188</v>
      </c>
      <c r="E883" s="20">
        <v>44406</v>
      </c>
      <c r="F883" s="20">
        <v>48058</v>
      </c>
      <c r="G883" s="21">
        <v>32132</v>
      </c>
      <c r="H883" s="22">
        <f t="shared" ca="1" si="26"/>
        <v>38</v>
      </c>
      <c r="I883" s="19" t="s">
        <v>26</v>
      </c>
      <c r="J883" s="18" t="s">
        <v>66</v>
      </c>
      <c r="K883" s="18"/>
      <c r="L883" s="23" t="s">
        <v>3296</v>
      </c>
      <c r="M883" s="23" t="s">
        <v>3297</v>
      </c>
      <c r="N883" s="23" t="s">
        <v>1499</v>
      </c>
      <c r="O883" s="18">
        <v>1</v>
      </c>
      <c r="P883" s="24"/>
      <c r="Q883" s="25">
        <v>44317</v>
      </c>
      <c r="R883" s="13">
        <v>0</v>
      </c>
      <c r="S883" s="26" t="str">
        <f>VLOOKUP(C883,'[1]Bazaar Salary'!$B$6:$J$1193,9,0)</f>
        <v>09410010072766010018</v>
      </c>
      <c r="T883" s="25" t="s">
        <v>32</v>
      </c>
      <c r="U883" s="25" t="s">
        <v>254</v>
      </c>
      <c r="V883" s="25" t="s">
        <v>1093</v>
      </c>
      <c r="W883" s="27" t="s">
        <v>3298</v>
      </c>
      <c r="X883" s="28" t="s">
        <v>3299</v>
      </c>
      <c r="Y883" s="28"/>
      <c r="Z883" s="29" t="s">
        <v>37</v>
      </c>
    </row>
    <row r="884" spans="1:26" ht="30" customHeight="1" thickBot="1" x14ac:dyDescent="0.25">
      <c r="A884" s="17">
        <f t="shared" si="27"/>
        <v>883</v>
      </c>
      <c r="B884" s="18" t="s">
        <v>25</v>
      </c>
      <c r="C884" s="19">
        <v>3840335272587</v>
      </c>
      <c r="D884" s="19">
        <v>1510</v>
      </c>
      <c r="E884" s="20">
        <v>42703</v>
      </c>
      <c r="F884" s="20">
        <v>46355</v>
      </c>
      <c r="G884" s="21">
        <v>36040</v>
      </c>
      <c r="H884" s="22">
        <f t="shared" ca="1" si="26"/>
        <v>27</v>
      </c>
      <c r="I884" s="19" t="s">
        <v>26</v>
      </c>
      <c r="J884" s="18" t="s">
        <v>27</v>
      </c>
      <c r="K884" s="18"/>
      <c r="L884" s="23" t="s">
        <v>3300</v>
      </c>
      <c r="M884" s="23" t="s">
        <v>1648</v>
      </c>
      <c r="N884" s="23" t="s">
        <v>1499</v>
      </c>
      <c r="O884" s="18">
        <v>1</v>
      </c>
      <c r="P884" s="24"/>
      <c r="Q884" s="25">
        <v>45748</v>
      </c>
      <c r="R884" s="13">
        <v>0</v>
      </c>
      <c r="S884" s="26" t="str">
        <f>VLOOKUP(C884,'[1]Bazaar Salary'!$B$6:$J$1193,9,0)</f>
        <v>05270010050015220025</v>
      </c>
      <c r="T884" s="25" t="s">
        <v>32</v>
      </c>
      <c r="U884" s="25" t="s">
        <v>919</v>
      </c>
      <c r="V884" s="25" t="s">
        <v>1093</v>
      </c>
      <c r="W884" s="27" t="s">
        <v>3301</v>
      </c>
      <c r="X884" s="28" t="s">
        <v>3302</v>
      </c>
      <c r="Y884" s="28"/>
      <c r="Z884" s="29" t="s">
        <v>37</v>
      </c>
    </row>
    <row r="885" spans="1:26" ht="30" customHeight="1" thickBot="1" x14ac:dyDescent="0.25">
      <c r="A885" s="17">
        <f t="shared" si="27"/>
        <v>884</v>
      </c>
      <c r="B885" s="18" t="s">
        <v>25</v>
      </c>
      <c r="C885" s="19">
        <v>3110458390665</v>
      </c>
      <c r="D885" s="19">
        <v>1850</v>
      </c>
      <c r="E885" s="20">
        <v>43264</v>
      </c>
      <c r="F885" s="20">
        <v>46917</v>
      </c>
      <c r="G885" s="21">
        <v>27499</v>
      </c>
      <c r="H885" s="22">
        <f t="shared" ca="1" si="26"/>
        <v>51</v>
      </c>
      <c r="I885" s="19" t="s">
        <v>26</v>
      </c>
      <c r="J885" s="18" t="s">
        <v>27</v>
      </c>
      <c r="K885" s="18"/>
      <c r="L885" s="23" t="s">
        <v>3303</v>
      </c>
      <c r="M885" s="23" t="s">
        <v>1588</v>
      </c>
      <c r="N885" s="23" t="s">
        <v>1551</v>
      </c>
      <c r="O885" s="18">
        <v>1</v>
      </c>
      <c r="P885" s="24"/>
      <c r="Q885" s="25">
        <v>45748</v>
      </c>
      <c r="R885" s="13">
        <v>0</v>
      </c>
      <c r="S885" s="26" t="str">
        <f>VLOOKUP(C885,'[1]Bazaar Salary'!$B$6:$J$1193,9,0)</f>
        <v>10660010067424080012</v>
      </c>
      <c r="T885" s="25" t="s">
        <v>32</v>
      </c>
      <c r="U885" s="25" t="s">
        <v>3304</v>
      </c>
      <c r="V885" s="25" t="s">
        <v>1093</v>
      </c>
      <c r="W885" s="27" t="s">
        <v>3305</v>
      </c>
      <c r="X885" s="39" t="s">
        <v>3306</v>
      </c>
      <c r="Y885" s="28"/>
      <c r="Z885" s="29" t="s">
        <v>37</v>
      </c>
    </row>
    <row r="886" spans="1:26" ht="30" customHeight="1" thickBot="1" x14ac:dyDescent="0.25">
      <c r="A886" s="17">
        <f t="shared" si="27"/>
        <v>885</v>
      </c>
      <c r="B886" s="18" t="s">
        <v>25</v>
      </c>
      <c r="C886" s="19">
        <v>3660396987793</v>
      </c>
      <c r="D886" s="19">
        <v>1167</v>
      </c>
      <c r="E886" s="20">
        <v>42035</v>
      </c>
      <c r="F886" s="20">
        <v>45688</v>
      </c>
      <c r="G886" s="21">
        <v>30555</v>
      </c>
      <c r="H886" s="22">
        <f t="shared" ca="1" si="26"/>
        <v>42</v>
      </c>
      <c r="I886" s="18" t="s">
        <v>912</v>
      </c>
      <c r="J886" s="18" t="s">
        <v>27</v>
      </c>
      <c r="K886" s="18"/>
      <c r="L886" s="23" t="s">
        <v>3307</v>
      </c>
      <c r="M886" s="23" t="s">
        <v>3308</v>
      </c>
      <c r="N886" s="23" t="s">
        <v>1488</v>
      </c>
      <c r="O886" s="18">
        <v>1</v>
      </c>
      <c r="P886" s="24"/>
      <c r="Q886" s="25">
        <v>43678</v>
      </c>
      <c r="R886" s="13">
        <v>0</v>
      </c>
      <c r="S886" s="26" t="str">
        <f>VLOOKUP(C886,'[1]Bazaar Salary'!$B$6:$J$1193,9,0)</f>
        <v>08370010060578820013</v>
      </c>
      <c r="T886" s="25" t="s">
        <v>32</v>
      </c>
      <c r="U886" s="25" t="s">
        <v>3304</v>
      </c>
      <c r="V886" s="25" t="s">
        <v>1356</v>
      </c>
      <c r="W886" s="27" t="s">
        <v>3309</v>
      </c>
      <c r="X886" s="28" t="s">
        <v>3310</v>
      </c>
      <c r="Y886" s="28"/>
      <c r="Z886" s="29" t="s">
        <v>37</v>
      </c>
    </row>
    <row r="887" spans="1:26" ht="30" customHeight="1" thickBot="1" x14ac:dyDescent="0.25">
      <c r="A887" s="17">
        <f t="shared" si="27"/>
        <v>886</v>
      </c>
      <c r="B887" s="18" t="s">
        <v>25</v>
      </c>
      <c r="C887" s="19">
        <v>3660223080327</v>
      </c>
      <c r="D887" s="19">
        <v>1816</v>
      </c>
      <c r="E887" s="20">
        <v>42510</v>
      </c>
      <c r="F887" s="20">
        <v>46162</v>
      </c>
      <c r="G887" s="21">
        <v>30256</v>
      </c>
      <c r="H887" s="22">
        <f t="shared" ca="1" si="26"/>
        <v>43</v>
      </c>
      <c r="I887" s="19" t="s">
        <v>26</v>
      </c>
      <c r="J887" s="18" t="s">
        <v>27</v>
      </c>
      <c r="K887" s="18"/>
      <c r="L887" s="23" t="s">
        <v>3311</v>
      </c>
      <c r="M887" s="23" t="s">
        <v>3312</v>
      </c>
      <c r="N887" s="23" t="s">
        <v>1499</v>
      </c>
      <c r="O887" s="18">
        <v>1</v>
      </c>
      <c r="P887" s="24"/>
      <c r="Q887" s="25">
        <v>45748</v>
      </c>
      <c r="R887" s="13">
        <v>0</v>
      </c>
      <c r="S887" s="26" t="str">
        <f>VLOOKUP(C887,'[1]Bazaar Salary'!$B$6:$J$1193,9,0)</f>
        <v>02590010142004700010</v>
      </c>
      <c r="T887" s="25" t="s">
        <v>32</v>
      </c>
      <c r="U887" s="25" t="s">
        <v>3304</v>
      </c>
      <c r="V887" s="25" t="s">
        <v>1093</v>
      </c>
      <c r="W887" s="27" t="s">
        <v>3313</v>
      </c>
      <c r="X887" s="28" t="s">
        <v>3314</v>
      </c>
      <c r="Y887" s="28"/>
      <c r="Z887" s="29" t="s">
        <v>37</v>
      </c>
    </row>
    <row r="888" spans="1:26" ht="30" customHeight="1" thickBot="1" x14ac:dyDescent="0.25">
      <c r="A888" s="17">
        <f t="shared" si="27"/>
        <v>887</v>
      </c>
      <c r="B888" s="18" t="s">
        <v>25</v>
      </c>
      <c r="C888" s="19">
        <v>3660302670607</v>
      </c>
      <c r="D888" s="19">
        <v>1165</v>
      </c>
      <c r="E888" s="20">
        <v>45209</v>
      </c>
      <c r="F888" s="20">
        <v>48862</v>
      </c>
      <c r="G888" s="21">
        <v>31810</v>
      </c>
      <c r="H888" s="22">
        <f t="shared" ca="1" si="26"/>
        <v>39</v>
      </c>
      <c r="I888" s="19" t="s">
        <v>26</v>
      </c>
      <c r="J888" s="18" t="s">
        <v>27</v>
      </c>
      <c r="K888" s="18"/>
      <c r="L888" s="23" t="s">
        <v>631</v>
      </c>
      <c r="M888" s="23" t="s">
        <v>3315</v>
      </c>
      <c r="N888" s="23" t="s">
        <v>1499</v>
      </c>
      <c r="O888" s="18">
        <v>1</v>
      </c>
      <c r="P888" s="24"/>
      <c r="Q888" s="25">
        <v>43678</v>
      </c>
      <c r="R888" s="13">
        <v>0</v>
      </c>
      <c r="S888" s="26" t="str">
        <f>VLOOKUP(C888,'[1]Bazaar Salary'!$B$6:$J$1193,9,0)</f>
        <v>08370010057366740011</v>
      </c>
      <c r="T888" s="25" t="s">
        <v>32</v>
      </c>
      <c r="U888" s="25" t="s">
        <v>3304</v>
      </c>
      <c r="V888" s="25" t="s">
        <v>1535</v>
      </c>
      <c r="W888" s="27" t="s">
        <v>3316</v>
      </c>
      <c r="X888" s="28" t="s">
        <v>3317</v>
      </c>
      <c r="Y888" s="28"/>
      <c r="Z888" s="29" t="s">
        <v>37</v>
      </c>
    </row>
    <row r="889" spans="1:26" ht="30" customHeight="1" thickBot="1" x14ac:dyDescent="0.25">
      <c r="A889" s="17">
        <f t="shared" si="27"/>
        <v>888</v>
      </c>
      <c r="B889" s="18" t="s">
        <v>25</v>
      </c>
      <c r="C889" s="19">
        <v>3660356331943</v>
      </c>
      <c r="D889" s="19">
        <v>1163</v>
      </c>
      <c r="E889" s="20">
        <v>42170</v>
      </c>
      <c r="F889" s="20">
        <v>45823</v>
      </c>
      <c r="G889" s="21">
        <v>29099</v>
      </c>
      <c r="H889" s="22">
        <f t="shared" ca="1" si="26"/>
        <v>46</v>
      </c>
      <c r="I889" s="19" t="s">
        <v>26</v>
      </c>
      <c r="J889" s="18" t="s">
        <v>27</v>
      </c>
      <c r="K889" s="18"/>
      <c r="L889" s="23" t="s">
        <v>3318</v>
      </c>
      <c r="M889" s="23" t="s">
        <v>3319</v>
      </c>
      <c r="N889" s="23" t="s">
        <v>1499</v>
      </c>
      <c r="O889" s="18">
        <v>1</v>
      </c>
      <c r="P889" s="24"/>
      <c r="Q889" s="25">
        <v>43678</v>
      </c>
      <c r="R889" s="13">
        <v>0</v>
      </c>
      <c r="S889" s="26" t="str">
        <f>VLOOKUP(C889,'[1]Bazaar Salary'!$B$6:$J$1193,9,0)</f>
        <v>08370010053740500011</v>
      </c>
      <c r="T889" s="25" t="s">
        <v>32</v>
      </c>
      <c r="U889" s="25" t="s">
        <v>3304</v>
      </c>
      <c r="V889" s="25" t="s">
        <v>1356</v>
      </c>
      <c r="W889" s="27" t="s">
        <v>3320</v>
      </c>
      <c r="X889" s="28" t="s">
        <v>3321</v>
      </c>
      <c r="Y889" s="28"/>
      <c r="Z889" s="29" t="s">
        <v>37</v>
      </c>
    </row>
    <row r="890" spans="1:26" ht="30" customHeight="1" thickBot="1" x14ac:dyDescent="0.25">
      <c r="A890" s="17">
        <f t="shared" si="27"/>
        <v>889</v>
      </c>
      <c r="B890" s="18" t="s">
        <v>25</v>
      </c>
      <c r="C890" s="19">
        <v>3660365924783</v>
      </c>
      <c r="D890" s="19">
        <v>1166</v>
      </c>
      <c r="E890" s="20">
        <v>42112</v>
      </c>
      <c r="F890" s="20">
        <v>45765</v>
      </c>
      <c r="G890" s="21">
        <v>35514</v>
      </c>
      <c r="H890" s="22">
        <f t="shared" ca="1" si="26"/>
        <v>29</v>
      </c>
      <c r="I890" s="19" t="s">
        <v>26</v>
      </c>
      <c r="J890" s="18" t="s">
        <v>27</v>
      </c>
      <c r="K890" s="18"/>
      <c r="L890" s="23" t="s">
        <v>3322</v>
      </c>
      <c r="M890" s="23" t="s">
        <v>3323</v>
      </c>
      <c r="N890" s="23" t="s">
        <v>1499</v>
      </c>
      <c r="O890" s="18">
        <v>1</v>
      </c>
      <c r="P890" s="24"/>
      <c r="Q890" s="25">
        <v>43678</v>
      </c>
      <c r="R890" s="13">
        <v>0</v>
      </c>
      <c r="S890" s="26" t="str">
        <f>VLOOKUP(C890,'[1]Bazaar Salary'!$B$6:$J$1193,9,0)</f>
        <v>08370010061438150012</v>
      </c>
      <c r="T890" s="25" t="s">
        <v>32</v>
      </c>
      <c r="U890" s="25" t="s">
        <v>3304</v>
      </c>
      <c r="V890" s="25" t="s">
        <v>1356</v>
      </c>
      <c r="W890" s="27" t="s">
        <v>3324</v>
      </c>
      <c r="X890" s="28" t="s">
        <v>3325</v>
      </c>
      <c r="Y890" s="28"/>
      <c r="Z890" s="29" t="s">
        <v>37</v>
      </c>
    </row>
    <row r="891" spans="1:26" ht="30" customHeight="1" thickBot="1" x14ac:dyDescent="0.25">
      <c r="A891" s="17">
        <f t="shared" si="27"/>
        <v>890</v>
      </c>
      <c r="B891" s="18" t="s">
        <v>25</v>
      </c>
      <c r="C891" s="19">
        <v>3660342640399</v>
      </c>
      <c r="D891" s="19">
        <v>1609</v>
      </c>
      <c r="E891" s="20">
        <v>44091</v>
      </c>
      <c r="F891" s="20">
        <v>47743</v>
      </c>
      <c r="G891" s="21">
        <v>35249</v>
      </c>
      <c r="H891" s="22">
        <f t="shared" ca="1" si="26"/>
        <v>29</v>
      </c>
      <c r="I891" s="19" t="s">
        <v>26</v>
      </c>
      <c r="J891" s="18" t="s">
        <v>27</v>
      </c>
      <c r="K891" s="18"/>
      <c r="L891" s="23" t="s">
        <v>3326</v>
      </c>
      <c r="M891" s="23" t="s">
        <v>3327</v>
      </c>
      <c r="N891" s="23" t="s">
        <v>1499</v>
      </c>
      <c r="O891" s="18">
        <v>1</v>
      </c>
      <c r="P891" s="24"/>
      <c r="Q891" s="25">
        <v>45748</v>
      </c>
      <c r="R891" s="13">
        <v>0</v>
      </c>
      <c r="S891" s="26" t="str">
        <f>VLOOKUP(C891,'[1]Bazaar Salary'!$B$6:$J$1193,9,0)</f>
        <v>08370010131043330016</v>
      </c>
      <c r="T891" s="25" t="s">
        <v>32</v>
      </c>
      <c r="U891" s="25" t="s">
        <v>3304</v>
      </c>
      <c r="V891" s="25" t="s">
        <v>884</v>
      </c>
      <c r="W891" s="27" t="s">
        <v>3328</v>
      </c>
      <c r="X891" s="28" t="s">
        <v>3329</v>
      </c>
      <c r="Y891" s="28"/>
      <c r="Z891" s="29" t="s">
        <v>37</v>
      </c>
    </row>
    <row r="892" spans="1:26" ht="30" customHeight="1" thickBot="1" x14ac:dyDescent="0.25">
      <c r="A892" s="17">
        <f t="shared" si="27"/>
        <v>891</v>
      </c>
      <c r="B892" s="18" t="s">
        <v>25</v>
      </c>
      <c r="C892" s="19">
        <v>3660318966655</v>
      </c>
      <c r="D892" s="19">
        <v>1573</v>
      </c>
      <c r="E892" s="20">
        <v>44086</v>
      </c>
      <c r="F892" s="20">
        <v>47738</v>
      </c>
      <c r="G892" s="21">
        <v>37477</v>
      </c>
      <c r="H892" s="22">
        <f t="shared" ca="1" si="26"/>
        <v>23</v>
      </c>
      <c r="I892" s="19" t="s">
        <v>26</v>
      </c>
      <c r="J892" s="18" t="s">
        <v>27</v>
      </c>
      <c r="K892" s="18"/>
      <c r="L892" s="23" t="s">
        <v>3330</v>
      </c>
      <c r="M892" s="23" t="s">
        <v>3331</v>
      </c>
      <c r="N892" s="23" t="s">
        <v>1499</v>
      </c>
      <c r="O892" s="18">
        <v>1</v>
      </c>
      <c r="P892" s="24"/>
      <c r="Q892" s="25">
        <v>45748</v>
      </c>
      <c r="R892" s="13">
        <v>0</v>
      </c>
      <c r="S892" s="26" t="str">
        <f>VLOOKUP(C892,'[1]Bazaar Salary'!$B$6:$J$1193,9,0)</f>
        <v>08370010124275990016</v>
      </c>
      <c r="T892" s="25" t="s">
        <v>32</v>
      </c>
      <c r="U892" s="25" t="s">
        <v>3304</v>
      </c>
      <c r="V892" s="25" t="s">
        <v>884</v>
      </c>
      <c r="W892" s="27" t="s">
        <v>3332</v>
      </c>
      <c r="X892" s="28" t="s">
        <v>3333</v>
      </c>
      <c r="Y892" s="28"/>
      <c r="Z892" s="29" t="s">
        <v>37</v>
      </c>
    </row>
    <row r="893" spans="1:26" ht="30" customHeight="1" thickBot="1" x14ac:dyDescent="0.25">
      <c r="A893" s="17">
        <f t="shared" si="27"/>
        <v>892</v>
      </c>
      <c r="B893" s="18" t="s">
        <v>25</v>
      </c>
      <c r="C893" s="19">
        <v>3520291250269</v>
      </c>
      <c r="D893" s="19">
        <v>1168</v>
      </c>
      <c r="E893" s="20">
        <v>44038</v>
      </c>
      <c r="F893" s="20">
        <v>47690</v>
      </c>
      <c r="G893" s="21">
        <v>25569</v>
      </c>
      <c r="H893" s="22">
        <f t="shared" ca="1" si="26"/>
        <v>56</v>
      </c>
      <c r="I893" s="19" t="s">
        <v>26</v>
      </c>
      <c r="J893" s="18" t="s">
        <v>27</v>
      </c>
      <c r="K893" s="18"/>
      <c r="L893" s="30" t="s">
        <v>3334</v>
      </c>
      <c r="M893" s="30" t="s">
        <v>2980</v>
      </c>
      <c r="N893" s="23" t="s">
        <v>1551</v>
      </c>
      <c r="O893" s="18">
        <v>1</v>
      </c>
      <c r="P893" s="24"/>
      <c r="Q893" s="25">
        <v>45748</v>
      </c>
      <c r="R893" s="13">
        <v>0</v>
      </c>
      <c r="S893" s="26" t="str">
        <f>VLOOKUP(C893,'[1]Bazaar Salary'!$B$6:$J$1193,9,0)</f>
        <v>05400010060966000016</v>
      </c>
      <c r="T893" s="25" t="s">
        <v>32</v>
      </c>
      <c r="U893" s="25" t="s">
        <v>512</v>
      </c>
      <c r="V893" s="25" t="s">
        <v>1093</v>
      </c>
      <c r="W893" s="27" t="s">
        <v>3335</v>
      </c>
      <c r="X893" s="28" t="s">
        <v>3336</v>
      </c>
      <c r="Y893" s="28"/>
      <c r="Z893" s="29" t="s">
        <v>37</v>
      </c>
    </row>
    <row r="894" spans="1:26" ht="30" customHeight="1" thickBot="1" x14ac:dyDescent="0.25">
      <c r="A894" s="17">
        <f t="shared" si="27"/>
        <v>893</v>
      </c>
      <c r="B894" s="18" t="s">
        <v>25</v>
      </c>
      <c r="C894" s="19">
        <v>3840355056571</v>
      </c>
      <c r="D894" s="19">
        <v>518</v>
      </c>
      <c r="E894" s="20">
        <v>43247</v>
      </c>
      <c r="F894" s="20">
        <v>46900</v>
      </c>
      <c r="G894" s="21">
        <v>28126</v>
      </c>
      <c r="H894" s="22">
        <f t="shared" ca="1" si="26"/>
        <v>49</v>
      </c>
      <c r="I894" s="18" t="s">
        <v>912</v>
      </c>
      <c r="J894" s="18" t="s">
        <v>27</v>
      </c>
      <c r="K894" s="18"/>
      <c r="L894" s="23" t="s">
        <v>1566</v>
      </c>
      <c r="M894" s="23" t="s">
        <v>1487</v>
      </c>
      <c r="N894" s="23" t="s">
        <v>1488</v>
      </c>
      <c r="O894" s="18">
        <v>1</v>
      </c>
      <c r="P894" s="24"/>
      <c r="Q894" s="25">
        <v>42615</v>
      </c>
      <c r="R894" s="13">
        <v>0</v>
      </c>
      <c r="S894" s="26" t="str">
        <f>VLOOKUP(C894,'[1]Bazaar Salary'!$B$6:$J$1193,9,0)</f>
        <v>06880010045877890010</v>
      </c>
      <c r="T894" s="25" t="s">
        <v>32</v>
      </c>
      <c r="U894" s="25" t="s">
        <v>512</v>
      </c>
      <c r="V894" s="25" t="s">
        <v>1093</v>
      </c>
      <c r="W894" s="27" t="s">
        <v>3337</v>
      </c>
      <c r="X894" s="28" t="s">
        <v>3338</v>
      </c>
      <c r="Y894" s="28"/>
      <c r="Z894" s="29" t="s">
        <v>37</v>
      </c>
    </row>
    <row r="895" spans="1:26" ht="30" customHeight="1" thickBot="1" x14ac:dyDescent="0.25">
      <c r="A895" s="17">
        <f t="shared" si="27"/>
        <v>894</v>
      </c>
      <c r="B895" s="18" t="s">
        <v>25</v>
      </c>
      <c r="C895" s="19">
        <v>3840376608145</v>
      </c>
      <c r="D895" s="19">
        <v>1542</v>
      </c>
      <c r="E895" s="20">
        <v>44396</v>
      </c>
      <c r="F895" s="20">
        <v>48048</v>
      </c>
      <c r="G895" s="21">
        <v>25934</v>
      </c>
      <c r="H895" s="22">
        <f t="shared" ca="1" si="26"/>
        <v>55</v>
      </c>
      <c r="I895" s="18" t="s">
        <v>912</v>
      </c>
      <c r="J895" s="18" t="s">
        <v>27</v>
      </c>
      <c r="K895" s="18"/>
      <c r="L895" s="23" t="s">
        <v>3339</v>
      </c>
      <c r="M895" s="23" t="s">
        <v>1487</v>
      </c>
      <c r="N895" s="23" t="s">
        <v>1488</v>
      </c>
      <c r="O895" s="18">
        <v>1</v>
      </c>
      <c r="P895" s="24"/>
      <c r="Q895" s="25">
        <v>45748</v>
      </c>
      <c r="R895" s="13">
        <v>0</v>
      </c>
      <c r="S895" s="26" t="str">
        <f>VLOOKUP(C895,'[1]Bazaar Salary'!$B$6:$J$1193,9,0)</f>
        <v>51210020116999770019</v>
      </c>
      <c r="T895" s="25" t="s">
        <v>32</v>
      </c>
      <c r="U895" s="25" t="s">
        <v>512</v>
      </c>
      <c r="V895" s="25" t="s">
        <v>1093</v>
      </c>
      <c r="W895" s="27" t="s">
        <v>3340</v>
      </c>
      <c r="X895" s="28" t="s">
        <v>3341</v>
      </c>
      <c r="Y895" s="28"/>
      <c r="Z895" s="29" t="s">
        <v>37</v>
      </c>
    </row>
    <row r="896" spans="1:26" ht="30" customHeight="1" thickBot="1" x14ac:dyDescent="0.25">
      <c r="A896" s="17">
        <f t="shared" si="27"/>
        <v>895</v>
      </c>
      <c r="B896" s="18" t="s">
        <v>25</v>
      </c>
      <c r="C896" s="19">
        <v>3520286717171</v>
      </c>
      <c r="D896" s="19">
        <v>1692</v>
      </c>
      <c r="E896" s="20">
        <v>43042</v>
      </c>
      <c r="F896" s="20">
        <v>46694</v>
      </c>
      <c r="G896" s="21">
        <v>36129</v>
      </c>
      <c r="H896" s="22">
        <f t="shared" ca="1" si="26"/>
        <v>27</v>
      </c>
      <c r="I896" s="19" t="s">
        <v>912</v>
      </c>
      <c r="J896" s="18" t="s">
        <v>27</v>
      </c>
      <c r="K896" s="18"/>
      <c r="L896" s="23" t="s">
        <v>3342</v>
      </c>
      <c r="M896" s="23" t="s">
        <v>3343</v>
      </c>
      <c r="N896" s="23" t="s">
        <v>1488</v>
      </c>
      <c r="O896" s="18">
        <v>1</v>
      </c>
      <c r="P896" s="24"/>
      <c r="Q896" s="25">
        <v>45748</v>
      </c>
      <c r="R896" s="13">
        <v>0</v>
      </c>
      <c r="S896" s="26" t="str">
        <f>VLOOKUP(C896,'[1]Bazaar Salary'!$B$6:$J$1193,9,0)</f>
        <v>08760010065547240014</v>
      </c>
      <c r="T896" s="25" t="s">
        <v>32</v>
      </c>
      <c r="U896" s="25" t="s">
        <v>512</v>
      </c>
      <c r="V896" s="25" t="s">
        <v>1093</v>
      </c>
      <c r="W896" s="27" t="s">
        <v>3344</v>
      </c>
      <c r="X896" s="28" t="s">
        <v>3345</v>
      </c>
      <c r="Y896" s="28"/>
      <c r="Z896" s="29" t="s">
        <v>37</v>
      </c>
    </row>
    <row r="897" spans="1:26" ht="30" customHeight="1" thickBot="1" x14ac:dyDescent="0.25">
      <c r="A897" s="17">
        <f t="shared" si="27"/>
        <v>896</v>
      </c>
      <c r="B897" s="18" t="s">
        <v>25</v>
      </c>
      <c r="C897" s="19">
        <v>3840371167323</v>
      </c>
      <c r="D897" s="19">
        <v>1169</v>
      </c>
      <c r="E897" s="20">
        <v>44768</v>
      </c>
      <c r="F897" s="20">
        <v>48421</v>
      </c>
      <c r="G897" s="21">
        <v>30317</v>
      </c>
      <c r="H897" s="22">
        <f t="shared" ca="1" si="26"/>
        <v>43</v>
      </c>
      <c r="I897" s="19" t="s">
        <v>912</v>
      </c>
      <c r="J897" s="18" t="s">
        <v>27</v>
      </c>
      <c r="K897" s="18"/>
      <c r="L897" s="23" t="s">
        <v>3346</v>
      </c>
      <c r="M897" s="23" t="s">
        <v>3347</v>
      </c>
      <c r="N897" s="23" t="s">
        <v>1488</v>
      </c>
      <c r="O897" s="18">
        <v>1</v>
      </c>
      <c r="P897" s="24"/>
      <c r="Q897" s="25">
        <v>44317</v>
      </c>
      <c r="R897" s="13">
        <v>0</v>
      </c>
      <c r="S897" s="26" t="str">
        <f>VLOOKUP(C897,'[1]Bazaar Salary'!$B$6:$J$1193,9,0)</f>
        <v>07040010065023150022</v>
      </c>
      <c r="T897" s="25" t="s">
        <v>32</v>
      </c>
      <c r="U897" s="25" t="s">
        <v>512</v>
      </c>
      <c r="V897" s="25" t="s">
        <v>1093</v>
      </c>
      <c r="W897" s="27" t="s">
        <v>3348</v>
      </c>
      <c r="X897" s="28" t="s">
        <v>3349</v>
      </c>
      <c r="Y897" s="28"/>
      <c r="Z897" s="29" t="s">
        <v>37</v>
      </c>
    </row>
    <row r="898" spans="1:26" ht="30" customHeight="1" thickBot="1" x14ac:dyDescent="0.25">
      <c r="A898" s="17">
        <f t="shared" si="27"/>
        <v>897</v>
      </c>
      <c r="B898" s="18" t="s">
        <v>25</v>
      </c>
      <c r="C898" s="19">
        <v>3520229389129</v>
      </c>
      <c r="D898" s="19">
        <v>809</v>
      </c>
      <c r="E898" s="20">
        <v>42749</v>
      </c>
      <c r="F898" s="20">
        <v>46401</v>
      </c>
      <c r="G898" s="21">
        <v>35110</v>
      </c>
      <c r="H898" s="22">
        <f t="shared" ref="H898:H961" ca="1" si="28">INT((TODAY()-G898)/365)</f>
        <v>30</v>
      </c>
      <c r="I898" s="19" t="s">
        <v>26</v>
      </c>
      <c r="J898" s="18" t="s">
        <v>27</v>
      </c>
      <c r="K898" s="18" t="s">
        <v>197</v>
      </c>
      <c r="L898" s="23" t="s">
        <v>3350</v>
      </c>
      <c r="M898" s="23" t="s">
        <v>68</v>
      </c>
      <c r="N898" s="23" t="s">
        <v>1499</v>
      </c>
      <c r="O898" s="18">
        <v>1</v>
      </c>
      <c r="P898" s="24"/>
      <c r="Q898" s="25">
        <v>43667</v>
      </c>
      <c r="R898" s="13">
        <v>0</v>
      </c>
      <c r="S898" s="26" t="str">
        <f>VLOOKUP(C898,'[1]Bazaar Salary'!$B$6:$J$1193,9,0)</f>
        <v>09410010063239490019</v>
      </c>
      <c r="T898" s="25" t="s">
        <v>32</v>
      </c>
      <c r="U898" s="25" t="s">
        <v>512</v>
      </c>
      <c r="V898" s="25" t="s">
        <v>1356</v>
      </c>
      <c r="W898" s="27" t="s">
        <v>3351</v>
      </c>
      <c r="X898" s="28" t="s">
        <v>3352</v>
      </c>
      <c r="Y898" s="28"/>
      <c r="Z898" s="29" t="s">
        <v>37</v>
      </c>
    </row>
    <row r="899" spans="1:26" ht="30" customHeight="1" thickBot="1" x14ac:dyDescent="0.25">
      <c r="A899" s="17">
        <f t="shared" si="27"/>
        <v>898</v>
      </c>
      <c r="B899" s="18" t="s">
        <v>25</v>
      </c>
      <c r="C899" s="19">
        <v>3520230260537</v>
      </c>
      <c r="D899" s="19"/>
      <c r="E899" s="20">
        <v>44585</v>
      </c>
      <c r="F899" s="20">
        <v>48237</v>
      </c>
      <c r="G899" s="21">
        <v>29802</v>
      </c>
      <c r="H899" s="22">
        <f t="shared" ca="1" si="28"/>
        <v>44</v>
      </c>
      <c r="I899" s="19" t="s">
        <v>26</v>
      </c>
      <c r="J899" s="18" t="s">
        <v>27</v>
      </c>
      <c r="K899" s="18"/>
      <c r="L899" s="23" t="s">
        <v>3353</v>
      </c>
      <c r="M899" s="23" t="s">
        <v>3354</v>
      </c>
      <c r="N899" s="23" t="s">
        <v>1499</v>
      </c>
      <c r="O899" s="18">
        <v>1</v>
      </c>
      <c r="P899" s="24"/>
      <c r="Q899" s="25">
        <v>45748</v>
      </c>
      <c r="R899" s="13">
        <v>0</v>
      </c>
      <c r="S899" s="26" t="str">
        <f>VLOOKUP(C899,'[1]Bazaar Salary'!$B$6:$J$1193,9,0)</f>
        <v>07690010139167140013</v>
      </c>
      <c r="T899" s="25" t="s">
        <v>32</v>
      </c>
      <c r="U899" s="25" t="s">
        <v>512</v>
      </c>
      <c r="V899" s="25" t="s">
        <v>1093</v>
      </c>
      <c r="W899" s="27" t="s">
        <v>3355</v>
      </c>
      <c r="X899" s="28" t="s">
        <v>3356</v>
      </c>
      <c r="Y899" s="28"/>
      <c r="Z899" s="29" t="s">
        <v>37</v>
      </c>
    </row>
    <row r="900" spans="1:26" ht="30" customHeight="1" thickBot="1" x14ac:dyDescent="0.25">
      <c r="A900" s="17">
        <f t="shared" ref="A900:A963" si="29">A899+1</f>
        <v>899</v>
      </c>
      <c r="B900" s="18" t="s">
        <v>25</v>
      </c>
      <c r="C900" s="19">
        <v>3640283008053</v>
      </c>
      <c r="D900" s="19">
        <v>1563</v>
      </c>
      <c r="E900" s="20">
        <v>43041</v>
      </c>
      <c r="F900" s="20">
        <v>46693</v>
      </c>
      <c r="G900" s="21">
        <v>33604</v>
      </c>
      <c r="H900" s="22">
        <f t="shared" ca="1" si="28"/>
        <v>34</v>
      </c>
      <c r="I900" s="19" t="s">
        <v>26</v>
      </c>
      <c r="J900" s="18" t="s">
        <v>27</v>
      </c>
      <c r="K900" s="18"/>
      <c r="L900" s="23" t="s">
        <v>3357</v>
      </c>
      <c r="M900" s="23" t="s">
        <v>1182</v>
      </c>
      <c r="N900" s="23" t="s">
        <v>1499</v>
      </c>
      <c r="O900" s="18">
        <v>1</v>
      </c>
      <c r="P900" s="24"/>
      <c r="Q900" s="25">
        <v>45748</v>
      </c>
      <c r="R900" s="13">
        <v>0</v>
      </c>
      <c r="S900" s="26" t="str">
        <f>VLOOKUP(C900,'[1]Bazaar Salary'!$B$6:$J$1193,9,0)</f>
        <v>09410010121228490014</v>
      </c>
      <c r="T900" s="25" t="s">
        <v>32</v>
      </c>
      <c r="U900" s="25" t="s">
        <v>512</v>
      </c>
      <c r="V900" s="25" t="s">
        <v>1093</v>
      </c>
      <c r="W900" s="27" t="s">
        <v>3358</v>
      </c>
      <c r="X900" s="28" t="s">
        <v>3359</v>
      </c>
      <c r="Y900" s="28"/>
      <c r="Z900" s="29" t="s">
        <v>37</v>
      </c>
    </row>
    <row r="901" spans="1:26" ht="30" customHeight="1" thickBot="1" x14ac:dyDescent="0.25">
      <c r="A901" s="17">
        <f t="shared" si="29"/>
        <v>900</v>
      </c>
      <c r="B901" s="18" t="s">
        <v>25</v>
      </c>
      <c r="C901" s="19">
        <v>3520275466531</v>
      </c>
      <c r="D901" s="19">
        <v>331</v>
      </c>
      <c r="E901" s="20">
        <v>43480</v>
      </c>
      <c r="F901" s="20">
        <v>47133</v>
      </c>
      <c r="G901" s="21">
        <v>29874</v>
      </c>
      <c r="H901" s="22">
        <f t="shared" ca="1" si="28"/>
        <v>44</v>
      </c>
      <c r="I901" s="19" t="s">
        <v>26</v>
      </c>
      <c r="J901" s="18" t="s">
        <v>27</v>
      </c>
      <c r="K901" s="18"/>
      <c r="L901" s="23" t="s">
        <v>127</v>
      </c>
      <c r="M901" s="23" t="s">
        <v>3360</v>
      </c>
      <c r="N901" s="23" t="s">
        <v>1499</v>
      </c>
      <c r="O901" s="18">
        <v>1</v>
      </c>
      <c r="P901" s="24"/>
      <c r="Q901" s="25">
        <v>42528</v>
      </c>
      <c r="R901" s="13">
        <v>0</v>
      </c>
      <c r="S901" s="26" t="str">
        <f>VLOOKUP(C901,'[1]Bazaar Salary'!$B$6:$J$1193,9,0)</f>
        <v>05400010045854360019</v>
      </c>
      <c r="T901" s="25" t="s">
        <v>32</v>
      </c>
      <c r="U901" s="25" t="s">
        <v>512</v>
      </c>
      <c r="V901" s="25" t="s">
        <v>1356</v>
      </c>
      <c r="W901" s="27" t="s">
        <v>3361</v>
      </c>
      <c r="X901" s="28" t="s">
        <v>3362</v>
      </c>
      <c r="Y901" s="28"/>
      <c r="Z901" s="29" t="s">
        <v>37</v>
      </c>
    </row>
    <row r="902" spans="1:26" ht="30" customHeight="1" thickBot="1" x14ac:dyDescent="0.25">
      <c r="A902" s="17">
        <f t="shared" si="29"/>
        <v>901</v>
      </c>
      <c r="B902" s="18" t="s">
        <v>25</v>
      </c>
      <c r="C902" s="19">
        <v>3520230889467</v>
      </c>
      <c r="D902" s="19">
        <v>810</v>
      </c>
      <c r="E902" s="20">
        <v>45295</v>
      </c>
      <c r="F902" s="20" t="s">
        <v>2752</v>
      </c>
      <c r="G902" s="21">
        <v>34612</v>
      </c>
      <c r="H902" s="22">
        <f t="shared" ca="1" si="28"/>
        <v>31</v>
      </c>
      <c r="I902" s="19" t="s">
        <v>26</v>
      </c>
      <c r="J902" s="18" t="s">
        <v>27</v>
      </c>
      <c r="K902" s="18" t="s">
        <v>197</v>
      </c>
      <c r="L902" s="23" t="s">
        <v>3363</v>
      </c>
      <c r="M902" s="23" t="s">
        <v>3364</v>
      </c>
      <c r="N902" s="23" t="s">
        <v>1499</v>
      </c>
      <c r="O902" s="18">
        <v>1</v>
      </c>
      <c r="P902" s="24"/>
      <c r="Q902" s="25">
        <v>43698</v>
      </c>
      <c r="R902" s="13">
        <v>0</v>
      </c>
      <c r="S902" s="26" t="str">
        <f>VLOOKUP(C902,'[1]Bazaar Salary'!$B$6:$J$1193,9,0)</f>
        <v>05280010063798780012</v>
      </c>
      <c r="T902" s="25" t="s">
        <v>32</v>
      </c>
      <c r="U902" s="25" t="s">
        <v>512</v>
      </c>
      <c r="V902" s="25" t="s">
        <v>1356</v>
      </c>
      <c r="W902" s="27" t="s">
        <v>3365</v>
      </c>
      <c r="X902" s="28" t="s">
        <v>3366</v>
      </c>
      <c r="Y902" s="28"/>
      <c r="Z902" s="29" t="s">
        <v>37</v>
      </c>
    </row>
    <row r="903" spans="1:26" ht="30" customHeight="1" thickBot="1" x14ac:dyDescent="0.25">
      <c r="A903" s="17">
        <f t="shared" si="29"/>
        <v>902</v>
      </c>
      <c r="B903" s="18" t="s">
        <v>25</v>
      </c>
      <c r="C903" s="19">
        <v>3520182775437</v>
      </c>
      <c r="D903" s="19">
        <v>1776</v>
      </c>
      <c r="E903" s="20">
        <v>45197</v>
      </c>
      <c r="F903" s="20">
        <v>48850</v>
      </c>
      <c r="G903" s="21">
        <v>36615</v>
      </c>
      <c r="H903" s="22">
        <f t="shared" ca="1" si="28"/>
        <v>26</v>
      </c>
      <c r="I903" s="19" t="s">
        <v>26</v>
      </c>
      <c r="J903" s="18" t="s">
        <v>27</v>
      </c>
      <c r="K903" s="18"/>
      <c r="L903" s="23" t="s">
        <v>3367</v>
      </c>
      <c r="M903" s="23" t="s">
        <v>3368</v>
      </c>
      <c r="N903" s="23" t="s">
        <v>1499</v>
      </c>
      <c r="O903" s="18">
        <v>1</v>
      </c>
      <c r="P903" s="24"/>
      <c r="Q903" s="25">
        <v>45748</v>
      </c>
      <c r="R903" s="13">
        <v>0</v>
      </c>
      <c r="S903" s="26" t="str">
        <f>VLOOKUP(C903,'[1]Bazaar Salary'!$B$6:$J$1193,9,0)</f>
        <v>00260010138379200013</v>
      </c>
      <c r="T903" s="25" t="s">
        <v>32</v>
      </c>
      <c r="U903" s="25" t="s">
        <v>512</v>
      </c>
      <c r="V903" s="25" t="s">
        <v>1093</v>
      </c>
      <c r="W903" s="27" t="s">
        <v>3369</v>
      </c>
      <c r="X903" s="28" t="s">
        <v>3370</v>
      </c>
      <c r="Y903" s="28"/>
      <c r="Z903" s="29" t="s">
        <v>37</v>
      </c>
    </row>
    <row r="904" spans="1:26" ht="30" customHeight="1" thickBot="1" x14ac:dyDescent="0.25">
      <c r="A904" s="17">
        <f t="shared" si="29"/>
        <v>903</v>
      </c>
      <c r="B904" s="18" t="s">
        <v>25</v>
      </c>
      <c r="C904" s="19">
        <v>7170403392175</v>
      </c>
      <c r="D904" s="19" t="s">
        <v>542</v>
      </c>
      <c r="E904" s="20">
        <v>43904</v>
      </c>
      <c r="F904" s="20">
        <v>47556</v>
      </c>
      <c r="G904" s="21">
        <v>32848</v>
      </c>
      <c r="H904" s="22">
        <f t="shared" ca="1" si="28"/>
        <v>36</v>
      </c>
      <c r="I904" s="19" t="s">
        <v>26</v>
      </c>
      <c r="J904" s="18" t="s">
        <v>27</v>
      </c>
      <c r="K904" s="18"/>
      <c r="L904" s="23" t="s">
        <v>3371</v>
      </c>
      <c r="M904" s="23" t="s">
        <v>3372</v>
      </c>
      <c r="N904" s="23" t="s">
        <v>1499</v>
      </c>
      <c r="O904" s="18">
        <v>1</v>
      </c>
      <c r="P904" s="24"/>
      <c r="Q904" s="25">
        <v>45809</v>
      </c>
      <c r="R904" s="13">
        <v>0</v>
      </c>
      <c r="S904" s="26" t="str">
        <f>VLOOKUP(C904,'[1]Bazaar Salary'!$B$6:$J$1193,9,0)</f>
        <v>06850010095200190019</v>
      </c>
      <c r="T904" s="25" t="s">
        <v>32</v>
      </c>
      <c r="U904" s="25" t="s">
        <v>512</v>
      </c>
      <c r="V904" s="25" t="s">
        <v>3373</v>
      </c>
      <c r="W904" s="27" t="s">
        <v>3374</v>
      </c>
      <c r="X904" s="28" t="s">
        <v>3375</v>
      </c>
      <c r="Y904" s="28"/>
      <c r="Z904" s="29" t="s">
        <v>37</v>
      </c>
    </row>
    <row r="905" spans="1:26" ht="30" customHeight="1" thickBot="1" x14ac:dyDescent="0.25">
      <c r="A905" s="17">
        <f t="shared" si="29"/>
        <v>904</v>
      </c>
      <c r="B905" s="18" t="s">
        <v>25</v>
      </c>
      <c r="C905" s="19">
        <v>3840522828345</v>
      </c>
      <c r="D905" s="19"/>
      <c r="E905" s="20">
        <v>43340</v>
      </c>
      <c r="F905" s="20">
        <v>46993</v>
      </c>
      <c r="G905" s="21">
        <v>30146</v>
      </c>
      <c r="H905" s="22">
        <f t="shared" ca="1" si="28"/>
        <v>43</v>
      </c>
      <c r="I905" s="19" t="s">
        <v>26</v>
      </c>
      <c r="J905" s="18" t="s">
        <v>27</v>
      </c>
      <c r="K905" s="18"/>
      <c r="L905" s="23" t="s">
        <v>1267</v>
      </c>
      <c r="M905" s="23" t="s">
        <v>263</v>
      </c>
      <c r="N905" s="23" t="s">
        <v>1499</v>
      </c>
      <c r="O905" s="18">
        <v>1</v>
      </c>
      <c r="P905" s="24"/>
      <c r="Q905" s="25">
        <v>45748</v>
      </c>
      <c r="R905" s="13">
        <v>0</v>
      </c>
      <c r="S905" s="26" t="str">
        <f>VLOOKUP(C905,'[1]Bazaar Salary'!$B$6:$J$1193,9,0)</f>
        <v>03810010072626500010</v>
      </c>
      <c r="T905" s="25" t="s">
        <v>32</v>
      </c>
      <c r="U905" s="25" t="s">
        <v>512</v>
      </c>
      <c r="V905" s="25" t="s">
        <v>1093</v>
      </c>
      <c r="W905" s="27" t="s">
        <v>1459</v>
      </c>
      <c r="X905" s="28" t="s">
        <v>3376</v>
      </c>
      <c r="Y905" s="28"/>
      <c r="Z905" s="29" t="s">
        <v>37</v>
      </c>
    </row>
    <row r="906" spans="1:26" ht="30" customHeight="1" thickBot="1" x14ac:dyDescent="0.25">
      <c r="A906" s="17">
        <f t="shared" si="29"/>
        <v>905</v>
      </c>
      <c r="B906" s="18" t="s">
        <v>25</v>
      </c>
      <c r="C906" s="19">
        <v>3520230875883</v>
      </c>
      <c r="D906" s="19"/>
      <c r="E906" s="20">
        <v>44720</v>
      </c>
      <c r="F906" s="20">
        <v>48373</v>
      </c>
      <c r="G906" s="21">
        <v>38108</v>
      </c>
      <c r="H906" s="22">
        <f t="shared" ca="1" si="28"/>
        <v>22</v>
      </c>
      <c r="I906" s="19" t="s">
        <v>26</v>
      </c>
      <c r="J906" s="18" t="s">
        <v>27</v>
      </c>
      <c r="K906" s="18"/>
      <c r="L906" s="23" t="s">
        <v>3377</v>
      </c>
      <c r="M906" s="23" t="s">
        <v>3378</v>
      </c>
      <c r="N906" s="23" t="s">
        <v>1499</v>
      </c>
      <c r="O906" s="18"/>
      <c r="P906" s="24"/>
      <c r="Q906" s="25">
        <v>46037</v>
      </c>
      <c r="R906" s="13">
        <v>0</v>
      </c>
      <c r="S906" s="26" t="str">
        <f>VLOOKUP(C906,'[1]Bazaar Salary'!$B$6:$J$1193,9,0)</f>
        <v>05450010114670640014</v>
      </c>
      <c r="T906" s="25" t="s">
        <v>32</v>
      </c>
      <c r="U906" s="25" t="s">
        <v>458</v>
      </c>
      <c r="V906" s="25"/>
      <c r="W906" s="27" t="s">
        <v>3379</v>
      </c>
      <c r="X906" s="28" t="s">
        <v>3380</v>
      </c>
      <c r="Y906" s="28"/>
      <c r="Z906" s="29" t="s">
        <v>37</v>
      </c>
    </row>
    <row r="907" spans="1:26" ht="30" customHeight="1" thickBot="1" x14ac:dyDescent="0.25">
      <c r="A907" s="17">
        <f t="shared" si="29"/>
        <v>906</v>
      </c>
      <c r="B907" s="18" t="s">
        <v>25</v>
      </c>
      <c r="C907" s="19">
        <v>3520182699961</v>
      </c>
      <c r="D907" s="19"/>
      <c r="E907" s="20">
        <v>44040</v>
      </c>
      <c r="F907" s="20">
        <v>47692</v>
      </c>
      <c r="G907" s="21">
        <v>29221</v>
      </c>
      <c r="H907" s="22">
        <f t="shared" ca="1" si="28"/>
        <v>46</v>
      </c>
      <c r="I907" s="19" t="s">
        <v>26</v>
      </c>
      <c r="J907" s="18" t="s">
        <v>27</v>
      </c>
      <c r="K907" s="18"/>
      <c r="L907" s="23" t="s">
        <v>3381</v>
      </c>
      <c r="M907" s="23" t="s">
        <v>950</v>
      </c>
      <c r="N907" s="23" t="s">
        <v>1499</v>
      </c>
      <c r="O907" s="18"/>
      <c r="P907" s="24"/>
      <c r="Q907" s="25">
        <v>46040</v>
      </c>
      <c r="R907" s="13">
        <v>0</v>
      </c>
      <c r="S907" s="26" t="str">
        <f>VLOOKUP(C907,'[1]Bazaar Salary'!$B$6:$J$1193,9,0)</f>
        <v>08770010158659940013</v>
      </c>
      <c r="T907" s="25" t="s">
        <v>32</v>
      </c>
      <c r="U907" s="25" t="s">
        <v>458</v>
      </c>
      <c r="V907" s="25"/>
      <c r="W907" s="27" t="s">
        <v>2127</v>
      </c>
      <c r="X907" s="28" t="s">
        <v>3382</v>
      </c>
      <c r="Y907" s="28"/>
      <c r="Z907" s="29" t="s">
        <v>37</v>
      </c>
    </row>
    <row r="908" spans="1:26" ht="30" customHeight="1" thickBot="1" x14ac:dyDescent="0.25">
      <c r="A908" s="17">
        <f t="shared" si="29"/>
        <v>907</v>
      </c>
      <c r="B908" s="18" t="s">
        <v>25</v>
      </c>
      <c r="C908" s="19">
        <v>3640148239601</v>
      </c>
      <c r="D908" s="19"/>
      <c r="E908" s="20">
        <v>44650</v>
      </c>
      <c r="F908" s="20">
        <v>48303</v>
      </c>
      <c r="G908" s="21">
        <v>31430</v>
      </c>
      <c r="H908" s="22">
        <f t="shared" ca="1" si="28"/>
        <v>40</v>
      </c>
      <c r="I908" s="19" t="s">
        <v>26</v>
      </c>
      <c r="J908" s="18" t="s">
        <v>27</v>
      </c>
      <c r="K908" s="18"/>
      <c r="L908" s="23" t="s">
        <v>3383</v>
      </c>
      <c r="M908" s="23" t="s">
        <v>3384</v>
      </c>
      <c r="N908" s="23" t="s">
        <v>1499</v>
      </c>
      <c r="O908" s="18"/>
      <c r="P908" s="24"/>
      <c r="Q908" s="25">
        <v>46006</v>
      </c>
      <c r="R908" s="13">
        <v>0</v>
      </c>
      <c r="S908" s="26" t="str">
        <f>VLOOKUP(C908,'[1]Bazaar Salary'!$B$6:$J$1193,9,0)</f>
        <v>16130010157857490012</v>
      </c>
      <c r="T908" s="25" t="s">
        <v>32</v>
      </c>
      <c r="U908" s="25" t="s">
        <v>3385</v>
      </c>
      <c r="V908" s="25"/>
      <c r="W908" s="27" t="s">
        <v>3386</v>
      </c>
      <c r="X908" s="28" t="s">
        <v>3387</v>
      </c>
      <c r="Y908" s="28"/>
      <c r="Z908" s="29" t="s">
        <v>37</v>
      </c>
    </row>
    <row r="909" spans="1:26" ht="30" customHeight="1" thickBot="1" x14ac:dyDescent="0.25">
      <c r="A909" s="17">
        <f t="shared" si="29"/>
        <v>908</v>
      </c>
      <c r="B909" s="18" t="s">
        <v>25</v>
      </c>
      <c r="C909" s="19">
        <v>3640166248255</v>
      </c>
      <c r="D909" s="19"/>
      <c r="E909" s="20">
        <v>44531</v>
      </c>
      <c r="F909" s="20">
        <v>48183</v>
      </c>
      <c r="G909" s="21">
        <v>37797</v>
      </c>
      <c r="H909" s="22">
        <f t="shared" ca="1" si="28"/>
        <v>22</v>
      </c>
      <c r="I909" s="19" t="s">
        <v>26</v>
      </c>
      <c r="J909" s="18" t="s">
        <v>27</v>
      </c>
      <c r="K909" s="18"/>
      <c r="L909" s="23" t="s">
        <v>3388</v>
      </c>
      <c r="M909" s="23" t="s">
        <v>3389</v>
      </c>
      <c r="N909" s="23" t="s">
        <v>1295</v>
      </c>
      <c r="O909" s="18"/>
      <c r="P909" s="24"/>
      <c r="Q909" s="25">
        <v>46150</v>
      </c>
      <c r="R909" s="13">
        <v>0</v>
      </c>
      <c r="S909" s="26"/>
      <c r="T909" s="25"/>
      <c r="U909" s="25" t="s">
        <v>3385</v>
      </c>
      <c r="V909" s="25" t="s">
        <v>3391</v>
      </c>
      <c r="W909" s="27" t="s">
        <v>3392</v>
      </c>
      <c r="X909" s="28" t="s">
        <v>3393</v>
      </c>
      <c r="Y909" s="28"/>
      <c r="Z909" s="29" t="s">
        <v>3390</v>
      </c>
    </row>
    <row r="910" spans="1:26" ht="30" customHeight="1" thickBot="1" x14ac:dyDescent="0.25">
      <c r="A910" s="17">
        <f t="shared" si="29"/>
        <v>909</v>
      </c>
      <c r="B910" s="18" t="s">
        <v>25</v>
      </c>
      <c r="C910" s="19">
        <v>3640131820545</v>
      </c>
      <c r="D910" s="19"/>
      <c r="E910" s="20">
        <v>45559</v>
      </c>
      <c r="F910" s="20">
        <v>49211</v>
      </c>
      <c r="G910" s="21">
        <v>38898</v>
      </c>
      <c r="H910" s="22">
        <f t="shared" ca="1" si="28"/>
        <v>19</v>
      </c>
      <c r="I910" s="19" t="s">
        <v>26</v>
      </c>
      <c r="J910" s="18" t="s">
        <v>27</v>
      </c>
      <c r="K910" s="18"/>
      <c r="L910" s="23" t="s">
        <v>3394</v>
      </c>
      <c r="M910" s="23" t="s">
        <v>3395</v>
      </c>
      <c r="N910" s="23" t="s">
        <v>1295</v>
      </c>
      <c r="O910" s="18"/>
      <c r="P910" s="24"/>
      <c r="Q910" s="25">
        <v>46150</v>
      </c>
      <c r="R910" s="13">
        <v>0</v>
      </c>
      <c r="S910" s="26"/>
      <c r="T910" s="25"/>
      <c r="U910" s="25" t="s">
        <v>3385</v>
      </c>
      <c r="V910" s="25" t="s">
        <v>3391</v>
      </c>
      <c r="W910" s="27" t="s">
        <v>3396</v>
      </c>
      <c r="X910" s="28" t="s">
        <v>3397</v>
      </c>
      <c r="Y910" s="28"/>
      <c r="Z910" s="29" t="s">
        <v>3390</v>
      </c>
    </row>
    <row r="911" spans="1:26" ht="30" customHeight="1" thickBot="1" x14ac:dyDescent="0.25">
      <c r="A911" s="17">
        <f t="shared" si="29"/>
        <v>910</v>
      </c>
      <c r="B911" s="18" t="s">
        <v>25</v>
      </c>
      <c r="C911" s="19">
        <v>3640183734959</v>
      </c>
      <c r="D911" s="19"/>
      <c r="E911" s="20">
        <v>44746</v>
      </c>
      <c r="F911" s="20">
        <v>48399</v>
      </c>
      <c r="G911" s="21">
        <v>33604</v>
      </c>
      <c r="H911" s="22">
        <f t="shared" ca="1" si="28"/>
        <v>34</v>
      </c>
      <c r="I911" s="19" t="s">
        <v>26</v>
      </c>
      <c r="J911" s="18" t="s">
        <v>27</v>
      </c>
      <c r="K911" s="18"/>
      <c r="L911" s="23" t="s">
        <v>3398</v>
      </c>
      <c r="M911" s="23" t="s">
        <v>3399</v>
      </c>
      <c r="N911" s="23" t="s">
        <v>1295</v>
      </c>
      <c r="O911" s="18"/>
      <c r="P911" s="24"/>
      <c r="Q911" s="25">
        <v>46150</v>
      </c>
      <c r="R911" s="13">
        <v>0</v>
      </c>
      <c r="S911" s="26"/>
      <c r="T911" s="25"/>
      <c r="U911" s="25" t="s">
        <v>3385</v>
      </c>
      <c r="V911" s="25" t="s">
        <v>293</v>
      </c>
      <c r="W911" s="27" t="s">
        <v>3400</v>
      </c>
      <c r="X911" s="28" t="s">
        <v>3401</v>
      </c>
      <c r="Y911" s="28"/>
      <c r="Z911" s="29" t="s">
        <v>3390</v>
      </c>
    </row>
    <row r="912" spans="1:26" ht="30" customHeight="1" thickBot="1" x14ac:dyDescent="0.25">
      <c r="A912" s="17">
        <f t="shared" si="29"/>
        <v>911</v>
      </c>
      <c r="B912" s="18" t="s">
        <v>25</v>
      </c>
      <c r="C912" s="19">
        <v>3640161184561</v>
      </c>
      <c r="D912" s="19"/>
      <c r="E912" s="20">
        <v>45735</v>
      </c>
      <c r="F912" s="20">
        <v>49387</v>
      </c>
      <c r="G912" s="21">
        <v>39134</v>
      </c>
      <c r="H912" s="22">
        <f t="shared" ca="1" si="28"/>
        <v>19</v>
      </c>
      <c r="I912" s="19" t="s">
        <v>26</v>
      </c>
      <c r="J912" s="18" t="s">
        <v>27</v>
      </c>
      <c r="K912" s="18"/>
      <c r="L912" s="23" t="s">
        <v>3402</v>
      </c>
      <c r="M912" s="23" t="s">
        <v>3403</v>
      </c>
      <c r="N912" s="23" t="s">
        <v>1295</v>
      </c>
      <c r="O912" s="18"/>
      <c r="P912" s="24"/>
      <c r="Q912" s="25">
        <v>46150</v>
      </c>
      <c r="R912" s="13">
        <v>0</v>
      </c>
      <c r="S912" s="26"/>
      <c r="T912" s="25"/>
      <c r="U912" s="25" t="s">
        <v>3385</v>
      </c>
      <c r="V912" s="25" t="s">
        <v>3391</v>
      </c>
      <c r="W912" s="27" t="s">
        <v>3404</v>
      </c>
      <c r="X912" s="28" t="s">
        <v>3405</v>
      </c>
      <c r="Y912" s="28"/>
      <c r="Z912" s="29" t="s">
        <v>3390</v>
      </c>
    </row>
    <row r="913" spans="1:26" ht="30" customHeight="1" thickBot="1" x14ac:dyDescent="0.25">
      <c r="A913" s="17">
        <f t="shared" si="29"/>
        <v>912</v>
      </c>
      <c r="B913" s="18" t="s">
        <v>25</v>
      </c>
      <c r="C913" s="19">
        <v>3660171227973</v>
      </c>
      <c r="D913" s="19"/>
      <c r="E913" s="20">
        <v>45940</v>
      </c>
      <c r="F913" s="20">
        <v>49592</v>
      </c>
      <c r="G913" s="21">
        <v>35433</v>
      </c>
      <c r="H913" s="22">
        <f t="shared" ca="1" si="28"/>
        <v>29</v>
      </c>
      <c r="I913" s="19" t="s">
        <v>26</v>
      </c>
      <c r="J913" s="18" t="s">
        <v>27</v>
      </c>
      <c r="K913" s="18"/>
      <c r="L913" s="23" t="s">
        <v>3406</v>
      </c>
      <c r="M913" s="23" t="s">
        <v>1368</v>
      </c>
      <c r="N913" s="23" t="s">
        <v>308</v>
      </c>
      <c r="O913" s="18"/>
      <c r="P913" s="24"/>
      <c r="Q913" s="25">
        <v>46150</v>
      </c>
      <c r="R913" s="13">
        <v>0</v>
      </c>
      <c r="S913" s="26"/>
      <c r="T913" s="25"/>
      <c r="U913" s="25" t="s">
        <v>3385</v>
      </c>
      <c r="V913" s="25" t="s">
        <v>3407</v>
      </c>
      <c r="W913" s="27" t="s">
        <v>3408</v>
      </c>
      <c r="X913" s="28" t="s">
        <v>3409</v>
      </c>
      <c r="Y913" s="28"/>
      <c r="Z913" s="29" t="s">
        <v>3390</v>
      </c>
    </row>
    <row r="914" spans="1:26" ht="30" customHeight="1" thickBot="1" x14ac:dyDescent="0.25">
      <c r="A914" s="17">
        <f t="shared" si="29"/>
        <v>913</v>
      </c>
      <c r="B914" s="18" t="s">
        <v>25</v>
      </c>
      <c r="C914" s="19">
        <v>3640142823385</v>
      </c>
      <c r="D914" s="19"/>
      <c r="E914" s="20">
        <v>45541</v>
      </c>
      <c r="F914" s="20">
        <v>49193</v>
      </c>
      <c r="G914" s="21">
        <v>33008</v>
      </c>
      <c r="H914" s="22">
        <f t="shared" ca="1" si="28"/>
        <v>36</v>
      </c>
      <c r="I914" s="19" t="s">
        <v>26</v>
      </c>
      <c r="J914" s="18" t="s">
        <v>27</v>
      </c>
      <c r="K914" s="18"/>
      <c r="L914" s="23" t="s">
        <v>3410</v>
      </c>
      <c r="M914" s="23" t="s">
        <v>3411</v>
      </c>
      <c r="N914" s="23" t="s">
        <v>457</v>
      </c>
      <c r="O914" s="18"/>
      <c r="P914" s="24"/>
      <c r="Q914" s="25">
        <v>46150</v>
      </c>
      <c r="R914" s="13">
        <v>0</v>
      </c>
      <c r="S914" s="26"/>
      <c r="T914" s="25"/>
      <c r="U914" s="25" t="s">
        <v>3385</v>
      </c>
      <c r="V914" s="25" t="s">
        <v>293</v>
      </c>
      <c r="W914" s="27" t="s">
        <v>3412</v>
      </c>
      <c r="X914" s="28" t="s">
        <v>3413</v>
      </c>
      <c r="Y914" s="28"/>
      <c r="Z914" s="29" t="s">
        <v>3390</v>
      </c>
    </row>
    <row r="915" spans="1:26" ht="30" customHeight="1" thickBot="1" x14ac:dyDescent="0.25">
      <c r="A915" s="17">
        <f t="shared" si="29"/>
        <v>914</v>
      </c>
      <c r="B915" s="18" t="s">
        <v>25</v>
      </c>
      <c r="C915" s="19">
        <v>3640197410321</v>
      </c>
      <c r="D915" s="19"/>
      <c r="E915" s="20">
        <v>45736</v>
      </c>
      <c r="F915" s="20">
        <v>49388</v>
      </c>
      <c r="G915" s="21">
        <v>26519</v>
      </c>
      <c r="H915" s="22">
        <f t="shared" ca="1" si="28"/>
        <v>53</v>
      </c>
      <c r="I915" s="19" t="s">
        <v>26</v>
      </c>
      <c r="J915" s="18" t="s">
        <v>27</v>
      </c>
      <c r="K915" s="18"/>
      <c r="L915" s="23" t="s">
        <v>3414</v>
      </c>
      <c r="M915" s="23" t="s">
        <v>3415</v>
      </c>
      <c r="N915" s="23" t="s">
        <v>1499</v>
      </c>
      <c r="O915" s="18"/>
      <c r="P915" s="24"/>
      <c r="Q915" s="25">
        <v>46150</v>
      </c>
      <c r="R915" s="13">
        <v>0</v>
      </c>
      <c r="S915" s="26"/>
      <c r="T915" s="25"/>
      <c r="U915" s="25" t="s">
        <v>3385</v>
      </c>
      <c r="V915" s="25"/>
      <c r="W915" s="27" t="s">
        <v>3416</v>
      </c>
      <c r="X915" s="28" t="s">
        <v>3417</v>
      </c>
      <c r="Y915" s="28"/>
      <c r="Z915" s="29" t="s">
        <v>3390</v>
      </c>
    </row>
    <row r="916" spans="1:26" ht="30" customHeight="1" thickBot="1" x14ac:dyDescent="0.25">
      <c r="A916" s="17">
        <f t="shared" si="29"/>
        <v>915</v>
      </c>
      <c r="B916" s="18" t="s">
        <v>25</v>
      </c>
      <c r="C916" s="19">
        <v>3640152824925</v>
      </c>
      <c r="D916" s="19"/>
      <c r="E916" s="20">
        <v>44694</v>
      </c>
      <c r="F916" s="20">
        <v>48347</v>
      </c>
      <c r="G916" s="21">
        <v>38457</v>
      </c>
      <c r="H916" s="22">
        <f t="shared" ca="1" si="28"/>
        <v>21</v>
      </c>
      <c r="I916" s="19" t="s">
        <v>26</v>
      </c>
      <c r="J916" s="18" t="s">
        <v>27</v>
      </c>
      <c r="K916" s="18"/>
      <c r="L916" s="23" t="s">
        <v>402</v>
      </c>
      <c r="M916" s="23" t="s">
        <v>2433</v>
      </c>
      <c r="N916" s="23" t="s">
        <v>1499</v>
      </c>
      <c r="O916" s="18"/>
      <c r="P916" s="24"/>
      <c r="Q916" s="25">
        <v>46150</v>
      </c>
      <c r="R916" s="13">
        <v>0</v>
      </c>
      <c r="S916" s="26"/>
      <c r="T916" s="25"/>
      <c r="U916" s="25" t="s">
        <v>3385</v>
      </c>
      <c r="V916" s="25" t="s">
        <v>884</v>
      </c>
      <c r="W916" s="27" t="s">
        <v>3400</v>
      </c>
      <c r="X916" s="28" t="s">
        <v>3418</v>
      </c>
      <c r="Y916" s="28"/>
      <c r="Z916" s="29" t="s">
        <v>3390</v>
      </c>
    </row>
    <row r="917" spans="1:26" ht="30" customHeight="1" thickBot="1" x14ac:dyDescent="0.25">
      <c r="A917" s="17">
        <f t="shared" si="29"/>
        <v>916</v>
      </c>
      <c r="B917" s="18" t="s">
        <v>25</v>
      </c>
      <c r="C917" s="19">
        <v>3640117045999</v>
      </c>
      <c r="D917" s="19"/>
      <c r="E917" s="20">
        <v>43593</v>
      </c>
      <c r="F917" s="20">
        <v>47246</v>
      </c>
      <c r="G917" s="21">
        <v>29204</v>
      </c>
      <c r="H917" s="22">
        <f t="shared" ca="1" si="28"/>
        <v>46</v>
      </c>
      <c r="I917" s="19" t="s">
        <v>26</v>
      </c>
      <c r="J917" s="18" t="s">
        <v>27</v>
      </c>
      <c r="K917" s="18"/>
      <c r="L917" s="23" t="s">
        <v>2570</v>
      </c>
      <c r="M917" s="23" t="s">
        <v>2433</v>
      </c>
      <c r="N917" s="23" t="s">
        <v>1499</v>
      </c>
      <c r="O917" s="18"/>
      <c r="P917" s="24"/>
      <c r="Q917" s="25">
        <v>46150</v>
      </c>
      <c r="R917" s="13">
        <v>0</v>
      </c>
      <c r="S917" s="26"/>
      <c r="T917" s="25"/>
      <c r="U917" s="25" t="s">
        <v>3385</v>
      </c>
      <c r="V917" s="25"/>
      <c r="W917" s="27" t="s">
        <v>3419</v>
      </c>
      <c r="X917" s="28" t="s">
        <v>3420</v>
      </c>
      <c r="Y917" s="28"/>
      <c r="Z917" s="29" t="s">
        <v>3390</v>
      </c>
    </row>
    <row r="918" spans="1:26" ht="30" customHeight="1" thickBot="1" x14ac:dyDescent="0.25">
      <c r="A918" s="17">
        <f t="shared" si="29"/>
        <v>917</v>
      </c>
      <c r="B918" s="18" t="s">
        <v>25</v>
      </c>
      <c r="C918" s="19">
        <v>3640191423427</v>
      </c>
      <c r="D918" s="19"/>
      <c r="E918" s="20">
        <v>45799</v>
      </c>
      <c r="F918" s="20">
        <v>48765</v>
      </c>
      <c r="G918" s="21">
        <v>35982</v>
      </c>
      <c r="H918" s="22">
        <f t="shared" ca="1" si="28"/>
        <v>27</v>
      </c>
      <c r="I918" s="19" t="s">
        <v>26</v>
      </c>
      <c r="J918" s="18" t="s">
        <v>27</v>
      </c>
      <c r="K918" s="18"/>
      <c r="L918" s="23" t="s">
        <v>3421</v>
      </c>
      <c r="M918" s="23" t="s">
        <v>3422</v>
      </c>
      <c r="N918" s="23" t="s">
        <v>1499</v>
      </c>
      <c r="O918" s="18"/>
      <c r="P918" s="24"/>
      <c r="Q918" s="25">
        <v>46150</v>
      </c>
      <c r="R918" s="13">
        <v>0</v>
      </c>
      <c r="S918" s="26"/>
      <c r="T918" s="25"/>
      <c r="U918" s="25" t="s">
        <v>3385</v>
      </c>
      <c r="V918" s="25" t="s">
        <v>884</v>
      </c>
      <c r="W918" s="27" t="s">
        <v>3423</v>
      </c>
      <c r="X918" s="28" t="s">
        <v>3424</v>
      </c>
      <c r="Y918" s="28"/>
      <c r="Z918" s="29" t="s">
        <v>3390</v>
      </c>
    </row>
    <row r="919" spans="1:26" ht="30" customHeight="1" thickBot="1" x14ac:dyDescent="0.25">
      <c r="A919" s="17">
        <f t="shared" si="29"/>
        <v>918</v>
      </c>
      <c r="B919" s="18" t="s">
        <v>25</v>
      </c>
      <c r="C919" s="19">
        <v>3640166455729</v>
      </c>
      <c r="D919" s="19"/>
      <c r="E919" s="20">
        <v>45775</v>
      </c>
      <c r="F919" s="20">
        <v>49427</v>
      </c>
      <c r="G919" s="21">
        <v>39165</v>
      </c>
      <c r="H919" s="22">
        <f t="shared" ca="1" si="28"/>
        <v>19</v>
      </c>
      <c r="I919" s="19" t="s">
        <v>26</v>
      </c>
      <c r="J919" s="18" t="s">
        <v>27</v>
      </c>
      <c r="K919" s="18"/>
      <c r="L919" s="23" t="s">
        <v>3425</v>
      </c>
      <c r="M919" s="23" t="s">
        <v>3426</v>
      </c>
      <c r="N919" s="23" t="s">
        <v>1499</v>
      </c>
      <c r="O919" s="18"/>
      <c r="P919" s="24"/>
      <c r="Q919" s="25">
        <v>46150</v>
      </c>
      <c r="R919" s="13">
        <v>0</v>
      </c>
      <c r="S919" s="26"/>
      <c r="T919" s="25"/>
      <c r="U919" s="25" t="s">
        <v>3385</v>
      </c>
      <c r="V919" s="25" t="s">
        <v>884</v>
      </c>
      <c r="W919" s="27" t="s">
        <v>3419</v>
      </c>
      <c r="X919" s="28" t="s">
        <v>3427</v>
      </c>
      <c r="Y919" s="28"/>
      <c r="Z919" s="29" t="s">
        <v>3390</v>
      </c>
    </row>
    <row r="920" spans="1:26" ht="30" customHeight="1" thickBot="1" x14ac:dyDescent="0.25">
      <c r="A920" s="17">
        <f t="shared" si="29"/>
        <v>919</v>
      </c>
      <c r="B920" s="18" t="s">
        <v>25</v>
      </c>
      <c r="C920" s="19">
        <v>3520283948783</v>
      </c>
      <c r="D920" s="19"/>
      <c r="E920" s="20">
        <v>45568</v>
      </c>
      <c r="F920" s="20">
        <v>49220</v>
      </c>
      <c r="G920" s="21">
        <v>38707</v>
      </c>
      <c r="H920" s="22">
        <f t="shared" ca="1" si="28"/>
        <v>20</v>
      </c>
      <c r="I920" s="19" t="s">
        <v>26</v>
      </c>
      <c r="J920" s="18" t="s">
        <v>27</v>
      </c>
      <c r="K920" s="18"/>
      <c r="L920" s="23" t="s">
        <v>3428</v>
      </c>
      <c r="M920" s="23" t="s">
        <v>3429</v>
      </c>
      <c r="N920" s="24" t="s">
        <v>1295</v>
      </c>
      <c r="O920" s="18"/>
      <c r="P920" s="24"/>
      <c r="Q920" s="25">
        <v>46039</v>
      </c>
      <c r="R920" s="13">
        <v>0</v>
      </c>
      <c r="S920" s="26" t="str">
        <f>VLOOKUP(C920,'[1]Bazaar Salary'!$B$6:$J$1193,9,0)</f>
        <v>05380010158370630011</v>
      </c>
      <c r="T920" s="25" t="s">
        <v>32</v>
      </c>
      <c r="U920" s="25" t="s">
        <v>534</v>
      </c>
      <c r="V920" s="25"/>
      <c r="W920" s="27" t="s">
        <v>3430</v>
      </c>
      <c r="X920" s="28" t="s">
        <v>3431</v>
      </c>
      <c r="Y920" s="28"/>
      <c r="Z920" s="29" t="s">
        <v>37</v>
      </c>
    </row>
    <row r="921" spans="1:26" ht="30" customHeight="1" thickBot="1" x14ac:dyDescent="0.25">
      <c r="A921" s="17">
        <f t="shared" si="29"/>
        <v>920</v>
      </c>
      <c r="B921" s="18" t="s">
        <v>25</v>
      </c>
      <c r="C921" s="19">
        <v>3650244170677</v>
      </c>
      <c r="D921" s="19">
        <v>1949</v>
      </c>
      <c r="E921" s="20">
        <v>44481</v>
      </c>
      <c r="F921" s="20">
        <v>48133</v>
      </c>
      <c r="G921" s="21">
        <v>33470</v>
      </c>
      <c r="H921" s="22">
        <f t="shared" ca="1" si="28"/>
        <v>34</v>
      </c>
      <c r="I921" s="19" t="s">
        <v>26</v>
      </c>
      <c r="J921" s="18" t="s">
        <v>27</v>
      </c>
      <c r="K921" s="18"/>
      <c r="L921" s="24" t="s">
        <v>3432</v>
      </c>
      <c r="M921" s="23" t="s">
        <v>204</v>
      </c>
      <c r="N921" s="24" t="s">
        <v>468</v>
      </c>
      <c r="O921" s="18"/>
      <c r="P921" s="24"/>
      <c r="Q921" s="25">
        <v>46023</v>
      </c>
      <c r="R921" s="13">
        <v>0</v>
      </c>
      <c r="S921" s="26" t="str">
        <f>VLOOKUP(C921,'[1]Bazaar Salary'!$B$6:$J$1193,9,0)</f>
        <v>00600010152107500014</v>
      </c>
      <c r="T921" s="25" t="s">
        <v>32</v>
      </c>
      <c r="U921" s="25" t="s">
        <v>534</v>
      </c>
      <c r="V921" s="25" t="s">
        <v>3433</v>
      </c>
      <c r="W921" s="27" t="s">
        <v>3434</v>
      </c>
      <c r="X921" s="28" t="s">
        <v>3435</v>
      </c>
      <c r="Y921" s="28"/>
      <c r="Z921" s="29" t="s">
        <v>37</v>
      </c>
    </row>
    <row r="922" spans="1:26" ht="30" customHeight="1" thickBot="1" x14ac:dyDescent="0.25">
      <c r="A922" s="17">
        <f t="shared" si="29"/>
        <v>921</v>
      </c>
      <c r="B922" s="18" t="s">
        <v>25</v>
      </c>
      <c r="C922" s="19">
        <v>3520255150823</v>
      </c>
      <c r="D922" s="19"/>
      <c r="E922" s="20">
        <v>43419</v>
      </c>
      <c r="F922" s="20">
        <v>47072</v>
      </c>
      <c r="G922" s="21">
        <v>36815</v>
      </c>
      <c r="H922" s="22">
        <f t="shared" ca="1" si="28"/>
        <v>25</v>
      </c>
      <c r="I922" s="19" t="s">
        <v>912</v>
      </c>
      <c r="J922" s="18" t="s">
        <v>27</v>
      </c>
      <c r="K922" s="18"/>
      <c r="L922" s="23" t="s">
        <v>3436</v>
      </c>
      <c r="M922" s="23" t="s">
        <v>3437</v>
      </c>
      <c r="N922" s="23" t="s">
        <v>1488</v>
      </c>
      <c r="O922" s="18"/>
      <c r="P922" s="24"/>
      <c r="Q922" s="25">
        <v>46014</v>
      </c>
      <c r="R922" s="13">
        <v>0</v>
      </c>
      <c r="S922" s="26" t="str">
        <f>VLOOKUP(C922,'[1]Bazaar Salary'!$B$6:$J$1193,9,0)</f>
        <v>05380010158101310012</v>
      </c>
      <c r="T922" s="25" t="s">
        <v>32</v>
      </c>
      <c r="U922" s="25" t="s">
        <v>534</v>
      </c>
      <c r="V922" s="25"/>
      <c r="W922" s="27" t="s">
        <v>3438</v>
      </c>
      <c r="X922" s="28" t="s">
        <v>3439</v>
      </c>
      <c r="Y922" s="28"/>
      <c r="Z922" s="29" t="s">
        <v>37</v>
      </c>
    </row>
    <row r="923" spans="1:26" ht="30" customHeight="1" thickBot="1" x14ac:dyDescent="0.25">
      <c r="A923" s="17">
        <f t="shared" si="29"/>
        <v>922</v>
      </c>
      <c r="B923" s="18" t="s">
        <v>25</v>
      </c>
      <c r="C923" s="19">
        <v>3520215820749</v>
      </c>
      <c r="D923" s="19"/>
      <c r="E923" s="20">
        <v>44518</v>
      </c>
      <c r="F923" s="20">
        <v>48170</v>
      </c>
      <c r="G923" s="21">
        <v>34131</v>
      </c>
      <c r="H923" s="22">
        <f t="shared" ca="1" si="28"/>
        <v>33</v>
      </c>
      <c r="I923" s="19" t="s">
        <v>912</v>
      </c>
      <c r="J923" s="18" t="s">
        <v>27</v>
      </c>
      <c r="K923" s="18"/>
      <c r="L923" s="23" t="s">
        <v>2101</v>
      </c>
      <c r="M923" s="23" t="s">
        <v>2424</v>
      </c>
      <c r="N923" s="23" t="s">
        <v>1488</v>
      </c>
      <c r="O923" s="18"/>
      <c r="P923" s="24"/>
      <c r="Q923" s="25">
        <v>45995</v>
      </c>
      <c r="R923" s="13">
        <v>0</v>
      </c>
      <c r="S923" s="26" t="str">
        <f>VLOOKUP(C923,'[1]Bazaar Salary'!$B$6:$J$1193,9,0)</f>
        <v>02880010156170000010</v>
      </c>
      <c r="T923" s="25" t="s">
        <v>32</v>
      </c>
      <c r="U923" s="25" t="s">
        <v>534</v>
      </c>
      <c r="V923" s="25"/>
      <c r="W923" s="27" t="s">
        <v>3440</v>
      </c>
      <c r="X923" s="28" t="s">
        <v>3441</v>
      </c>
      <c r="Y923" s="28"/>
      <c r="Z923" s="29" t="s">
        <v>37</v>
      </c>
    </row>
    <row r="924" spans="1:26" ht="30" customHeight="1" thickBot="1" x14ac:dyDescent="0.25">
      <c r="A924" s="17">
        <f t="shared" si="29"/>
        <v>923</v>
      </c>
      <c r="B924" s="18" t="s">
        <v>25</v>
      </c>
      <c r="C924" s="19">
        <v>3520216051081</v>
      </c>
      <c r="D924" s="19"/>
      <c r="E924" s="20">
        <v>45588</v>
      </c>
      <c r="F924" s="20">
        <v>49240</v>
      </c>
      <c r="G924" s="21">
        <v>38991</v>
      </c>
      <c r="H924" s="22">
        <f t="shared" ca="1" si="28"/>
        <v>19</v>
      </c>
      <c r="I924" s="19" t="s">
        <v>26</v>
      </c>
      <c r="J924" s="18" t="s">
        <v>27</v>
      </c>
      <c r="K924" s="18"/>
      <c r="L924" s="23" t="s">
        <v>3442</v>
      </c>
      <c r="M924" s="23" t="s">
        <v>3443</v>
      </c>
      <c r="N924" s="23" t="s">
        <v>1499</v>
      </c>
      <c r="O924" s="18"/>
      <c r="P924" s="24"/>
      <c r="Q924" s="25">
        <v>45992</v>
      </c>
      <c r="R924" s="13">
        <v>0</v>
      </c>
      <c r="S924" s="26" t="str">
        <f>VLOOKUP(C924,'[1]Bazaar Salary'!$B$6:$J$1193,9,0)</f>
        <v>05380010155102430017</v>
      </c>
      <c r="T924" s="25" t="s">
        <v>32</v>
      </c>
      <c r="U924" s="25" t="s">
        <v>534</v>
      </c>
      <c r="V924" s="25"/>
      <c r="W924" s="27" t="s">
        <v>3444</v>
      </c>
      <c r="X924" s="28" t="s">
        <v>3445</v>
      </c>
      <c r="Y924" s="28"/>
      <c r="Z924" s="29" t="s">
        <v>37</v>
      </c>
    </row>
    <row r="925" spans="1:26" ht="30" customHeight="1" thickBot="1" x14ac:dyDescent="0.25">
      <c r="A925" s="17">
        <f t="shared" si="29"/>
        <v>924</v>
      </c>
      <c r="B925" s="18" t="s">
        <v>25</v>
      </c>
      <c r="C925" s="19">
        <v>3520275747717</v>
      </c>
      <c r="D925" s="19"/>
      <c r="E925" s="20">
        <v>44117</v>
      </c>
      <c r="F925" s="20">
        <v>47769</v>
      </c>
      <c r="G925" s="21">
        <v>33498</v>
      </c>
      <c r="H925" s="22">
        <f t="shared" ca="1" si="28"/>
        <v>34</v>
      </c>
      <c r="I925" s="19" t="s">
        <v>26</v>
      </c>
      <c r="J925" s="18" t="s">
        <v>27</v>
      </c>
      <c r="K925" s="18"/>
      <c r="L925" s="23" t="s">
        <v>521</v>
      </c>
      <c r="M925" s="23" t="s">
        <v>414</v>
      </c>
      <c r="N925" s="23" t="s">
        <v>1499</v>
      </c>
      <c r="O925" s="18"/>
      <c r="P925" s="24"/>
      <c r="Q925" s="25">
        <v>45992</v>
      </c>
      <c r="R925" s="13">
        <v>0</v>
      </c>
      <c r="S925" s="26" t="str">
        <f>VLOOKUP(C925,'[1]Bazaar Salary'!$B$6:$J$1193,9,0)</f>
        <v>09650010155025260019</v>
      </c>
      <c r="T925" s="25" t="s">
        <v>32</v>
      </c>
      <c r="U925" s="25" t="s">
        <v>534</v>
      </c>
      <c r="V925" s="25"/>
      <c r="W925" s="27" t="s">
        <v>3446</v>
      </c>
      <c r="X925" s="28" t="s">
        <v>3447</v>
      </c>
      <c r="Y925" s="28"/>
      <c r="Z925" s="29" t="s">
        <v>37</v>
      </c>
    </row>
    <row r="926" spans="1:26" ht="30" customHeight="1" thickBot="1" x14ac:dyDescent="0.25">
      <c r="A926" s="17">
        <f t="shared" si="29"/>
        <v>925</v>
      </c>
      <c r="B926" s="18" t="s">
        <v>25</v>
      </c>
      <c r="C926" s="19">
        <v>3520261384585</v>
      </c>
      <c r="D926" s="19"/>
      <c r="E926" s="20">
        <v>45138</v>
      </c>
      <c r="F926" s="20">
        <v>48791</v>
      </c>
      <c r="G926" s="21">
        <v>33322</v>
      </c>
      <c r="H926" s="22">
        <f t="shared" ca="1" si="28"/>
        <v>35</v>
      </c>
      <c r="I926" s="19" t="s">
        <v>26</v>
      </c>
      <c r="J926" s="18" t="s">
        <v>27</v>
      </c>
      <c r="K926" s="18"/>
      <c r="L926" s="23" t="s">
        <v>3448</v>
      </c>
      <c r="M926" s="23" t="s">
        <v>3364</v>
      </c>
      <c r="N926" s="23" t="s">
        <v>1499</v>
      </c>
      <c r="O926" s="18"/>
      <c r="P926" s="24"/>
      <c r="Q926" s="25">
        <v>46011</v>
      </c>
      <c r="R926" s="13">
        <v>0</v>
      </c>
      <c r="S926" s="26" t="str">
        <f>VLOOKUP(C926,'[1]Bazaar Salary'!$B$6:$J$1193,9,0)</f>
        <v>05380010010379960026</v>
      </c>
      <c r="T926" s="25" t="s">
        <v>32</v>
      </c>
      <c r="U926" s="25" t="s">
        <v>534</v>
      </c>
      <c r="V926" s="25"/>
      <c r="W926" s="27" t="s">
        <v>3449</v>
      </c>
      <c r="X926" s="28" t="s">
        <v>3450</v>
      </c>
      <c r="Y926" s="28"/>
      <c r="Z926" s="29" t="s">
        <v>37</v>
      </c>
    </row>
    <row r="927" spans="1:26" ht="30" customHeight="1" thickBot="1" x14ac:dyDescent="0.25">
      <c r="A927" s="17">
        <f t="shared" si="29"/>
        <v>926</v>
      </c>
      <c r="B927" s="18" t="s">
        <v>25</v>
      </c>
      <c r="C927" s="19">
        <v>3520280679477</v>
      </c>
      <c r="D927" s="19"/>
      <c r="E927" s="20">
        <v>44566</v>
      </c>
      <c r="F927" s="20">
        <v>48218</v>
      </c>
      <c r="G927" s="21">
        <v>37967</v>
      </c>
      <c r="H927" s="22">
        <f t="shared" ca="1" si="28"/>
        <v>22</v>
      </c>
      <c r="I927" s="19" t="s">
        <v>26</v>
      </c>
      <c r="J927" s="18" t="s">
        <v>27</v>
      </c>
      <c r="K927" s="18"/>
      <c r="L927" s="23" t="s">
        <v>2595</v>
      </c>
      <c r="M927" s="23" t="s">
        <v>3451</v>
      </c>
      <c r="N927" s="23" t="s">
        <v>457</v>
      </c>
      <c r="O927" s="18"/>
      <c r="P927" s="24"/>
      <c r="Q927" s="25">
        <v>46080</v>
      </c>
      <c r="R927" s="13">
        <v>0</v>
      </c>
      <c r="S927" s="26" t="str">
        <f>VLOOKUP(C927,'[3]May-26'!$B$5:$H$89,7,0)</f>
        <v>05380010160620690011</v>
      </c>
      <c r="T927" s="25" t="s">
        <v>32</v>
      </c>
      <c r="U927" s="25" t="s">
        <v>534</v>
      </c>
      <c r="V927" s="25" t="s">
        <v>3452</v>
      </c>
      <c r="W927" s="27" t="s">
        <v>3453</v>
      </c>
      <c r="X927" s="28" t="s">
        <v>3454</v>
      </c>
      <c r="Y927" s="28"/>
      <c r="Z927" s="29" t="s">
        <v>3390</v>
      </c>
    </row>
    <row r="928" spans="1:26" ht="30" customHeight="1" thickBot="1" x14ac:dyDescent="0.25">
      <c r="A928" s="17">
        <f t="shared" si="29"/>
        <v>927</v>
      </c>
      <c r="B928" s="18" t="s">
        <v>25</v>
      </c>
      <c r="C928" s="19">
        <v>3510334489957</v>
      </c>
      <c r="D928" s="19"/>
      <c r="E928" s="20">
        <v>45049</v>
      </c>
      <c r="F928" s="20">
        <v>48702</v>
      </c>
      <c r="G928" s="21">
        <v>38453</v>
      </c>
      <c r="H928" s="22">
        <f t="shared" ca="1" si="28"/>
        <v>21</v>
      </c>
      <c r="I928" s="19" t="s">
        <v>26</v>
      </c>
      <c r="J928" s="18" t="s">
        <v>27</v>
      </c>
      <c r="K928" s="18"/>
      <c r="L928" s="23" t="s">
        <v>133</v>
      </c>
      <c r="M928" s="23" t="s">
        <v>1864</v>
      </c>
      <c r="N928" s="23" t="s">
        <v>1488</v>
      </c>
      <c r="O928" s="18"/>
      <c r="P928" s="24"/>
      <c r="Q928" s="25">
        <v>46053</v>
      </c>
      <c r="R928" s="13">
        <v>0</v>
      </c>
      <c r="S928" s="26" t="str">
        <f>VLOOKUP(C928,'[4]Daily Wages '!$B$6:$G$197,6,0)</f>
        <v>05380010159548160010</v>
      </c>
      <c r="T928" s="25" t="s">
        <v>32</v>
      </c>
      <c r="U928" s="25" t="s">
        <v>534</v>
      </c>
      <c r="V928" s="25"/>
      <c r="W928" s="27" t="s">
        <v>3455</v>
      </c>
      <c r="X928" s="28" t="s">
        <v>3456</v>
      </c>
      <c r="Y928" s="28"/>
      <c r="Z928" s="29" t="s">
        <v>3390</v>
      </c>
    </row>
    <row r="929" spans="1:26" ht="30" customHeight="1" thickBot="1" x14ac:dyDescent="0.25">
      <c r="A929" s="17">
        <f t="shared" si="29"/>
        <v>928</v>
      </c>
      <c r="B929" s="18" t="s">
        <v>25</v>
      </c>
      <c r="C929" s="19">
        <v>3520273808469</v>
      </c>
      <c r="D929" s="19"/>
      <c r="E929" s="20">
        <v>45476</v>
      </c>
      <c r="F929" s="20">
        <v>49128</v>
      </c>
      <c r="G929" s="21">
        <v>38849</v>
      </c>
      <c r="H929" s="22">
        <f t="shared" ca="1" si="28"/>
        <v>20</v>
      </c>
      <c r="I929" s="19" t="s">
        <v>912</v>
      </c>
      <c r="J929" s="18" t="s">
        <v>27</v>
      </c>
      <c r="K929" s="18"/>
      <c r="L929" s="23" t="s">
        <v>3457</v>
      </c>
      <c r="M929" s="23" t="s">
        <v>3458</v>
      </c>
      <c r="N929" s="23" t="s">
        <v>1499</v>
      </c>
      <c r="O929" s="18"/>
      <c r="P929" s="24"/>
      <c r="Q929" s="25">
        <v>46160</v>
      </c>
      <c r="R929" s="13">
        <v>0</v>
      </c>
      <c r="S929" s="26" t="str">
        <f>VLOOKUP(C929,'[4]Daily Wages '!$B$6:$G$197,6,0)</f>
        <v>05320010159230960018</v>
      </c>
      <c r="T929" s="25" t="s">
        <v>32</v>
      </c>
      <c r="U929" s="25" t="s">
        <v>534</v>
      </c>
      <c r="V929" s="25"/>
      <c r="W929" s="27" t="s">
        <v>3459</v>
      </c>
      <c r="X929" s="28" t="s">
        <v>3460</v>
      </c>
      <c r="Y929" s="28"/>
      <c r="Z929" s="29" t="s">
        <v>3390</v>
      </c>
    </row>
    <row r="930" spans="1:26" ht="30" customHeight="1" thickBot="1" x14ac:dyDescent="0.25">
      <c r="A930" s="17">
        <f t="shared" si="29"/>
        <v>929</v>
      </c>
      <c r="B930" s="18" t="s">
        <v>25</v>
      </c>
      <c r="C930" s="19">
        <v>3110476605777</v>
      </c>
      <c r="D930" s="19">
        <v>1865</v>
      </c>
      <c r="E930" s="20">
        <v>45671</v>
      </c>
      <c r="F930" s="20">
        <v>49323</v>
      </c>
      <c r="G930" s="21">
        <v>38943</v>
      </c>
      <c r="H930" s="22">
        <f t="shared" ca="1" si="28"/>
        <v>19</v>
      </c>
      <c r="I930" s="19" t="s">
        <v>26</v>
      </c>
      <c r="J930" s="18" t="s">
        <v>27</v>
      </c>
      <c r="K930" s="18"/>
      <c r="L930" s="23" t="s">
        <v>3461</v>
      </c>
      <c r="M930" s="23" t="s">
        <v>3462</v>
      </c>
      <c r="N930" s="24" t="s">
        <v>1499</v>
      </c>
      <c r="O930" s="18"/>
      <c r="P930" s="24"/>
      <c r="Q930" s="25">
        <v>45992</v>
      </c>
      <c r="R930" s="13">
        <v>0</v>
      </c>
      <c r="S930" s="26" t="str">
        <f>VLOOKUP(C930,'[1]Bazaar Salary'!$B$6:$J$1193,9,0)</f>
        <v>09630010144464000018</v>
      </c>
      <c r="T930" s="25" t="s">
        <v>32</v>
      </c>
      <c r="U930" s="25" t="s">
        <v>539</v>
      </c>
      <c r="V930" s="25"/>
      <c r="W930" s="27" t="s">
        <v>3463</v>
      </c>
      <c r="X930" s="28" t="s">
        <v>3464</v>
      </c>
      <c r="Y930" s="28"/>
      <c r="Z930" s="29" t="s">
        <v>37</v>
      </c>
    </row>
    <row r="931" spans="1:26" ht="30" customHeight="1" thickBot="1" x14ac:dyDescent="0.25">
      <c r="A931" s="17">
        <f t="shared" si="29"/>
        <v>930</v>
      </c>
      <c r="B931" s="18" t="s">
        <v>25</v>
      </c>
      <c r="C931" s="19">
        <v>3130405616867</v>
      </c>
      <c r="D931" s="19"/>
      <c r="E931" s="20">
        <v>45566</v>
      </c>
      <c r="F931" s="20">
        <v>49218</v>
      </c>
      <c r="G931" s="21">
        <v>38827</v>
      </c>
      <c r="H931" s="22">
        <f t="shared" ca="1" si="28"/>
        <v>20</v>
      </c>
      <c r="I931" s="19" t="s">
        <v>26</v>
      </c>
      <c r="J931" s="18" t="s">
        <v>27</v>
      </c>
      <c r="K931" s="18"/>
      <c r="L931" s="23" t="s">
        <v>3465</v>
      </c>
      <c r="M931" s="23" t="s">
        <v>3466</v>
      </c>
      <c r="N931" s="23" t="s">
        <v>1295</v>
      </c>
      <c r="O931" s="18"/>
      <c r="P931" s="24"/>
      <c r="Q931" s="25">
        <v>46063</v>
      </c>
      <c r="R931" s="13">
        <v>0</v>
      </c>
      <c r="S931" s="26" t="str">
        <f>VLOOKUP(C931,'[3]May-26'!$B$5:$H$89,7,0)</f>
        <v>09320010159745300018</v>
      </c>
      <c r="T931" s="25" t="s">
        <v>32</v>
      </c>
      <c r="U931" s="25" t="s">
        <v>539</v>
      </c>
      <c r="V931" s="25" t="s">
        <v>3391</v>
      </c>
      <c r="W931" s="27" t="s">
        <v>3467</v>
      </c>
      <c r="X931" s="28" t="s">
        <v>3468</v>
      </c>
      <c r="Y931" s="28"/>
      <c r="Z931" s="29" t="s">
        <v>3390</v>
      </c>
    </row>
    <row r="932" spans="1:26" ht="30" customHeight="1" thickBot="1" x14ac:dyDescent="0.25">
      <c r="A932" s="17">
        <f t="shared" si="29"/>
        <v>931</v>
      </c>
      <c r="B932" s="18" t="s">
        <v>25</v>
      </c>
      <c r="C932" s="19">
        <v>3110483748533</v>
      </c>
      <c r="D932" s="19"/>
      <c r="E932" s="20">
        <v>44574</v>
      </c>
      <c r="F932" s="20">
        <v>48226</v>
      </c>
      <c r="G932" s="21">
        <v>37834</v>
      </c>
      <c r="H932" s="22">
        <f t="shared" ca="1" si="28"/>
        <v>22</v>
      </c>
      <c r="I932" s="19" t="s">
        <v>26</v>
      </c>
      <c r="J932" s="18" t="s">
        <v>27</v>
      </c>
      <c r="K932" s="18"/>
      <c r="L932" s="23" t="s">
        <v>3469</v>
      </c>
      <c r="M932" s="23" t="s">
        <v>1118</v>
      </c>
      <c r="N932" s="23" t="s">
        <v>1295</v>
      </c>
      <c r="O932" s="18"/>
      <c r="P932" s="24"/>
      <c r="Q932" s="25">
        <v>46092</v>
      </c>
      <c r="R932" s="13">
        <v>0</v>
      </c>
      <c r="S932" s="26" t="str">
        <f>VLOOKUP(C932,'[3]May-26'!$B$5:$H$89,7,0)</f>
        <v>09630010161018000015</v>
      </c>
      <c r="T932" s="25" t="s">
        <v>32</v>
      </c>
      <c r="U932" s="25" t="s">
        <v>539</v>
      </c>
      <c r="V932" s="25"/>
      <c r="W932" s="27" t="s">
        <v>3470</v>
      </c>
      <c r="X932" s="28" t="s">
        <v>3471</v>
      </c>
      <c r="Y932" s="28"/>
      <c r="Z932" s="29" t="s">
        <v>3390</v>
      </c>
    </row>
    <row r="933" spans="1:26" ht="30" customHeight="1" thickBot="1" x14ac:dyDescent="0.25">
      <c r="A933" s="17">
        <f t="shared" si="29"/>
        <v>932</v>
      </c>
      <c r="B933" s="18" t="s">
        <v>25</v>
      </c>
      <c r="C933" s="19">
        <v>3240272589589</v>
      </c>
      <c r="D933" s="19"/>
      <c r="E933" s="20">
        <v>44956</v>
      </c>
      <c r="F933" s="20">
        <v>48609</v>
      </c>
      <c r="G933" s="21">
        <v>38336</v>
      </c>
      <c r="H933" s="22">
        <f t="shared" ca="1" si="28"/>
        <v>21</v>
      </c>
      <c r="I933" s="19" t="s">
        <v>26</v>
      </c>
      <c r="J933" s="18" t="s">
        <v>27</v>
      </c>
      <c r="K933" s="18"/>
      <c r="L933" s="23" t="s">
        <v>3472</v>
      </c>
      <c r="M933" s="23" t="s">
        <v>3473</v>
      </c>
      <c r="N933" s="23" t="s">
        <v>1295</v>
      </c>
      <c r="O933" s="18"/>
      <c r="P933" s="24"/>
      <c r="Q933" s="25">
        <v>46135</v>
      </c>
      <c r="R933" s="13">
        <v>0</v>
      </c>
      <c r="S933" s="26" t="str">
        <f>VLOOKUP(C933,'[3]May-26'!$B$5:$H$89,7,0)</f>
        <v>04850010163056200011</v>
      </c>
      <c r="T933" s="25" t="s">
        <v>32</v>
      </c>
      <c r="U933" s="25" t="s">
        <v>539</v>
      </c>
      <c r="V933" s="25" t="s">
        <v>3474</v>
      </c>
      <c r="W933" s="27" t="s">
        <v>3475</v>
      </c>
      <c r="X933" s="28" t="s">
        <v>3476</v>
      </c>
      <c r="Y933" s="28"/>
      <c r="Z933" s="29" t="s">
        <v>3390</v>
      </c>
    </row>
    <row r="934" spans="1:26" ht="30" customHeight="1" thickBot="1" x14ac:dyDescent="0.25">
      <c r="A934" s="17">
        <f t="shared" si="29"/>
        <v>933</v>
      </c>
      <c r="B934" s="18" t="s">
        <v>25</v>
      </c>
      <c r="C934" s="19">
        <v>3130333806289</v>
      </c>
      <c r="D934" s="19"/>
      <c r="E934" s="20">
        <v>44694</v>
      </c>
      <c r="F934" s="20">
        <v>48347</v>
      </c>
      <c r="G934" s="21">
        <v>34925</v>
      </c>
      <c r="H934" s="22">
        <f t="shared" ca="1" si="28"/>
        <v>30</v>
      </c>
      <c r="I934" s="19" t="s">
        <v>26</v>
      </c>
      <c r="J934" s="18" t="s">
        <v>27</v>
      </c>
      <c r="K934" s="18"/>
      <c r="L934" s="24" t="s">
        <v>3477</v>
      </c>
      <c r="M934" s="23" t="s">
        <v>3478</v>
      </c>
      <c r="N934" s="24" t="s">
        <v>457</v>
      </c>
      <c r="O934" s="18"/>
      <c r="P934" s="24"/>
      <c r="Q934" s="25">
        <v>46057</v>
      </c>
      <c r="R934" s="13">
        <v>0</v>
      </c>
      <c r="S934" s="26" t="str">
        <f>VLOOKUP(C934,'[3]May-26'!$B$5:$H$89,7,0)</f>
        <v>13800010095849670018</v>
      </c>
      <c r="T934" s="25" t="s">
        <v>32</v>
      </c>
      <c r="U934" s="25" t="s">
        <v>539</v>
      </c>
      <c r="V934" s="25" t="s">
        <v>206</v>
      </c>
      <c r="W934" s="27" t="s">
        <v>3479</v>
      </c>
      <c r="X934" s="28" t="s">
        <v>3480</v>
      </c>
      <c r="Y934" s="28"/>
      <c r="Z934" s="29" t="s">
        <v>3390</v>
      </c>
    </row>
    <row r="935" spans="1:26" ht="30" customHeight="1" thickBot="1" x14ac:dyDescent="0.25">
      <c r="A935" s="17">
        <f t="shared" si="29"/>
        <v>934</v>
      </c>
      <c r="B935" s="18" t="s">
        <v>25</v>
      </c>
      <c r="C935" s="19">
        <v>3130459443055</v>
      </c>
      <c r="D935" s="19"/>
      <c r="E935" s="20">
        <v>43698</v>
      </c>
      <c r="F935" s="20">
        <v>47351</v>
      </c>
      <c r="G935" s="21">
        <v>36558</v>
      </c>
      <c r="H935" s="22">
        <f t="shared" ca="1" si="28"/>
        <v>26</v>
      </c>
      <c r="I935" s="19" t="s">
        <v>26</v>
      </c>
      <c r="J935" s="18" t="s">
        <v>27</v>
      </c>
      <c r="K935" s="18"/>
      <c r="L935" s="23" t="s">
        <v>3481</v>
      </c>
      <c r="M935" s="23" t="s">
        <v>3482</v>
      </c>
      <c r="N935" s="23" t="s">
        <v>457</v>
      </c>
      <c r="O935" s="18"/>
      <c r="P935" s="24"/>
      <c r="Q935" s="25">
        <v>46063</v>
      </c>
      <c r="R935" s="13">
        <v>0</v>
      </c>
      <c r="S935" s="26" t="str">
        <f>VLOOKUP(C935,'[3]May-26'!$B$5:$H$89,7,0)</f>
        <v>03500010125998530014</v>
      </c>
      <c r="T935" s="25" t="s">
        <v>32</v>
      </c>
      <c r="U935" s="25" t="s">
        <v>539</v>
      </c>
      <c r="V935" s="25" t="s">
        <v>293</v>
      </c>
      <c r="W935" s="27" t="s">
        <v>3467</v>
      </c>
      <c r="X935" s="28" t="s">
        <v>3483</v>
      </c>
      <c r="Y935" s="28"/>
      <c r="Z935" s="29" t="s">
        <v>3390</v>
      </c>
    </row>
    <row r="936" spans="1:26" ht="30" customHeight="1" thickBot="1" x14ac:dyDescent="0.25">
      <c r="A936" s="17">
        <f t="shared" si="29"/>
        <v>935</v>
      </c>
      <c r="B936" s="18" t="s">
        <v>25</v>
      </c>
      <c r="C936" s="19">
        <v>3120247275759</v>
      </c>
      <c r="D936" s="19"/>
      <c r="E936" s="20">
        <v>44899</v>
      </c>
      <c r="F936" s="20">
        <v>48552</v>
      </c>
      <c r="G936" s="21">
        <v>38231</v>
      </c>
      <c r="H936" s="22">
        <f t="shared" ca="1" si="28"/>
        <v>21</v>
      </c>
      <c r="I936" s="19" t="s">
        <v>912</v>
      </c>
      <c r="J936" s="18" t="s">
        <v>27</v>
      </c>
      <c r="K936" s="18"/>
      <c r="L936" s="23" t="s">
        <v>3484</v>
      </c>
      <c r="M936" s="23" t="s">
        <v>3485</v>
      </c>
      <c r="N936" s="23" t="s">
        <v>1488</v>
      </c>
      <c r="O936" s="18"/>
      <c r="P936" s="24"/>
      <c r="Q936" s="25">
        <v>46068</v>
      </c>
      <c r="R936" s="13">
        <v>0</v>
      </c>
      <c r="S936" s="26" t="str">
        <f>VLOOKUP(C936,'[4]Daily Wages '!$B$6:$G$197,6,0)</f>
        <v>12140010130709520013</v>
      </c>
      <c r="T936" s="25" t="s">
        <v>32</v>
      </c>
      <c r="U936" s="25" t="s">
        <v>539</v>
      </c>
      <c r="V936" s="25"/>
      <c r="W936" s="27" t="s">
        <v>3486</v>
      </c>
      <c r="X936" s="28" t="s">
        <v>3487</v>
      </c>
      <c r="Y936" s="28"/>
      <c r="Z936" s="29" t="s">
        <v>3390</v>
      </c>
    </row>
    <row r="937" spans="1:26" ht="30" customHeight="1" thickBot="1" x14ac:dyDescent="0.25">
      <c r="A937" s="17">
        <f t="shared" si="29"/>
        <v>936</v>
      </c>
      <c r="B937" s="18" t="s">
        <v>25</v>
      </c>
      <c r="C937" s="19">
        <v>3130405909405</v>
      </c>
      <c r="D937" s="19"/>
      <c r="E937" s="20">
        <v>43690</v>
      </c>
      <c r="F937" s="20">
        <v>47343</v>
      </c>
      <c r="G937" s="21">
        <v>36892</v>
      </c>
      <c r="H937" s="22">
        <f t="shared" ca="1" si="28"/>
        <v>25</v>
      </c>
      <c r="I937" s="19" t="s">
        <v>26</v>
      </c>
      <c r="J937" s="18" t="s">
        <v>27</v>
      </c>
      <c r="K937" s="18"/>
      <c r="L937" s="23" t="s">
        <v>772</v>
      </c>
      <c r="M937" s="23" t="s">
        <v>3323</v>
      </c>
      <c r="N937" s="23" t="s">
        <v>1499</v>
      </c>
      <c r="O937" s="18"/>
      <c r="P937" s="24"/>
      <c r="Q937" s="25">
        <v>46070</v>
      </c>
      <c r="R937" s="13">
        <v>0</v>
      </c>
      <c r="S937" s="26" t="str">
        <f>VLOOKUP(C937,'[4]Daily Wages '!$B$6:$G$197,6,0)</f>
        <v>09320010160160300014</v>
      </c>
      <c r="T937" s="25" t="s">
        <v>32</v>
      </c>
      <c r="U937" s="25" t="s">
        <v>539</v>
      </c>
      <c r="V937" s="25"/>
      <c r="W937" s="27" t="s">
        <v>3488</v>
      </c>
      <c r="X937" s="28" t="s">
        <v>3489</v>
      </c>
      <c r="Y937" s="28"/>
      <c r="Z937" s="29" t="s">
        <v>3390</v>
      </c>
    </row>
    <row r="938" spans="1:26" ht="30" customHeight="1" thickBot="1" x14ac:dyDescent="0.25">
      <c r="A938" s="17">
        <f t="shared" si="29"/>
        <v>937</v>
      </c>
      <c r="B938" s="18" t="s">
        <v>25</v>
      </c>
      <c r="C938" s="19">
        <v>3110110559935</v>
      </c>
      <c r="D938" s="19"/>
      <c r="E938" s="20">
        <v>45034</v>
      </c>
      <c r="F938" s="20">
        <v>48687</v>
      </c>
      <c r="G938" s="21">
        <v>33695</v>
      </c>
      <c r="H938" s="22">
        <f t="shared" ca="1" si="28"/>
        <v>34</v>
      </c>
      <c r="I938" s="19" t="s">
        <v>26</v>
      </c>
      <c r="J938" s="18" t="s">
        <v>27</v>
      </c>
      <c r="K938" s="18"/>
      <c r="L938" s="23" t="s">
        <v>1121</v>
      </c>
      <c r="M938" s="23" t="s">
        <v>1776</v>
      </c>
      <c r="N938" s="23" t="s">
        <v>3490</v>
      </c>
      <c r="O938" s="18"/>
      <c r="P938" s="24"/>
      <c r="Q938" s="25">
        <v>46082</v>
      </c>
      <c r="R938" s="13">
        <v>0</v>
      </c>
      <c r="S938" s="26" t="str">
        <f>VLOOKUP(C938,'[1]Bazaar Salary'!$B$6:$J$1193,9,0)</f>
        <v>52710020160980330018</v>
      </c>
      <c r="T938" s="25" t="s">
        <v>32</v>
      </c>
      <c r="U938" s="25" t="s">
        <v>539</v>
      </c>
      <c r="V938" s="25"/>
      <c r="W938" s="27" t="s">
        <v>3491</v>
      </c>
      <c r="X938" s="28" t="s">
        <v>3492</v>
      </c>
      <c r="Y938" s="28"/>
      <c r="Z938" s="29" t="s">
        <v>37</v>
      </c>
    </row>
    <row r="939" spans="1:26" ht="30" customHeight="1" thickBot="1" x14ac:dyDescent="0.25">
      <c r="A939" s="17">
        <f t="shared" si="29"/>
        <v>938</v>
      </c>
      <c r="B939" s="18" t="s">
        <v>25</v>
      </c>
      <c r="C939" s="19">
        <v>3520240878575</v>
      </c>
      <c r="D939" s="19"/>
      <c r="E939" s="20"/>
      <c r="F939" s="20"/>
      <c r="G939" s="21">
        <v>36539</v>
      </c>
      <c r="H939" s="22">
        <f t="shared" ca="1" si="28"/>
        <v>26</v>
      </c>
      <c r="I939" s="19" t="s">
        <v>26</v>
      </c>
      <c r="J939" s="18" t="s">
        <v>27</v>
      </c>
      <c r="K939" s="18"/>
      <c r="L939" s="23" t="s">
        <v>3493</v>
      </c>
      <c r="M939" s="23" t="s">
        <v>199</v>
      </c>
      <c r="N939" s="24" t="s">
        <v>457</v>
      </c>
      <c r="O939" s="18"/>
      <c r="P939" s="24"/>
      <c r="Q939" s="25">
        <v>46057</v>
      </c>
      <c r="R939" s="13">
        <v>0</v>
      </c>
      <c r="S939" s="26" t="str">
        <f>VLOOKUP(C939,'[3]May-26'!$B$5:$H$89,7,0)</f>
        <v>13860010160543840011</v>
      </c>
      <c r="T939" s="25" t="s">
        <v>32</v>
      </c>
      <c r="U939" s="25" t="s">
        <v>1020</v>
      </c>
      <c r="V939" s="25" t="s">
        <v>3494</v>
      </c>
      <c r="W939" s="27" t="s">
        <v>3495</v>
      </c>
      <c r="X939" s="28" t="s">
        <v>3496</v>
      </c>
      <c r="Y939" s="28"/>
      <c r="Z939" s="29" t="s">
        <v>3390</v>
      </c>
    </row>
    <row r="940" spans="1:26" ht="30" customHeight="1" thickBot="1" x14ac:dyDescent="0.25">
      <c r="A940" s="17">
        <f t="shared" si="29"/>
        <v>939</v>
      </c>
      <c r="B940" s="18" t="s">
        <v>25</v>
      </c>
      <c r="C940" s="19">
        <v>3630297514307</v>
      </c>
      <c r="D940" s="19"/>
      <c r="E940" s="20">
        <v>44575</v>
      </c>
      <c r="F940" s="20">
        <v>48227</v>
      </c>
      <c r="G940" s="21">
        <v>30604</v>
      </c>
      <c r="H940" s="22">
        <f t="shared" ca="1" si="28"/>
        <v>42</v>
      </c>
      <c r="I940" s="19" t="s">
        <v>26</v>
      </c>
      <c r="J940" s="18" t="s">
        <v>27</v>
      </c>
      <c r="K940" s="18"/>
      <c r="L940" s="23" t="s">
        <v>3497</v>
      </c>
      <c r="M940" s="23" t="s">
        <v>3498</v>
      </c>
      <c r="N940" s="24" t="s">
        <v>468</v>
      </c>
      <c r="O940" s="18"/>
      <c r="P940" s="24"/>
      <c r="Q940" s="25">
        <v>46070</v>
      </c>
      <c r="R940" s="13">
        <v>0</v>
      </c>
      <c r="S940" s="26" t="str">
        <f>VLOOKUP(C940,'[3]May-26'!$B$5:$H$89,7,0)</f>
        <v>00100010160115780010</v>
      </c>
      <c r="T940" s="25" t="s">
        <v>32</v>
      </c>
      <c r="U940" s="25" t="s">
        <v>1020</v>
      </c>
      <c r="V940" s="25" t="s">
        <v>293</v>
      </c>
      <c r="W940" s="27" t="s">
        <v>3499</v>
      </c>
      <c r="X940" s="28" t="s">
        <v>3500</v>
      </c>
      <c r="Y940" s="28"/>
      <c r="Z940" s="29" t="s">
        <v>3390</v>
      </c>
    </row>
    <row r="941" spans="1:26" ht="30" customHeight="1" thickBot="1" x14ac:dyDescent="0.25">
      <c r="A941" s="17">
        <f t="shared" si="29"/>
        <v>940</v>
      </c>
      <c r="B941" s="18" t="s">
        <v>25</v>
      </c>
      <c r="C941" s="19">
        <v>3620107422361</v>
      </c>
      <c r="D941" s="19"/>
      <c r="E941" s="20">
        <v>43075</v>
      </c>
      <c r="F941" s="20">
        <v>46727</v>
      </c>
      <c r="G941" s="21">
        <v>32240</v>
      </c>
      <c r="H941" s="22">
        <f t="shared" ca="1" si="28"/>
        <v>38</v>
      </c>
      <c r="I941" s="19" t="s">
        <v>26</v>
      </c>
      <c r="J941" s="18" t="s">
        <v>27</v>
      </c>
      <c r="K941" s="18"/>
      <c r="L941" s="23" t="s">
        <v>1277</v>
      </c>
      <c r="M941" s="23" t="s">
        <v>3501</v>
      </c>
      <c r="N941" s="23" t="s">
        <v>1488</v>
      </c>
      <c r="O941" s="18"/>
      <c r="P941" s="24"/>
      <c r="Q941" s="25">
        <v>46070</v>
      </c>
      <c r="R941" s="13">
        <v>0</v>
      </c>
      <c r="S941" s="26" t="str">
        <f>VLOOKUP(C941,'[4]Daily Wages '!$B$6:$G$197,6,0)</f>
        <v>16050010160580950012</v>
      </c>
      <c r="T941" s="25" t="s">
        <v>32</v>
      </c>
      <c r="U941" s="25" t="s">
        <v>1020</v>
      </c>
      <c r="V941" s="25"/>
      <c r="W941" s="27" t="s">
        <v>3502</v>
      </c>
      <c r="X941" s="28" t="s">
        <v>3503</v>
      </c>
      <c r="Y941" s="28"/>
      <c r="Z941" s="29" t="s">
        <v>3390</v>
      </c>
    </row>
    <row r="942" spans="1:26" ht="30" customHeight="1" thickBot="1" x14ac:dyDescent="0.25">
      <c r="A942" s="17">
        <f t="shared" si="29"/>
        <v>941</v>
      </c>
      <c r="B942" s="18" t="s">
        <v>25</v>
      </c>
      <c r="C942" s="19">
        <v>3620143532457</v>
      </c>
      <c r="D942" s="19"/>
      <c r="E942" s="20">
        <v>42607</v>
      </c>
      <c r="F942" s="20">
        <v>46259</v>
      </c>
      <c r="G942" s="21">
        <v>34397</v>
      </c>
      <c r="H942" s="22">
        <f t="shared" ca="1" si="28"/>
        <v>32</v>
      </c>
      <c r="I942" s="19" t="s">
        <v>26</v>
      </c>
      <c r="J942" s="18" t="s">
        <v>27</v>
      </c>
      <c r="K942" s="18"/>
      <c r="L942" s="23" t="s">
        <v>1165</v>
      </c>
      <c r="M942" s="23" t="s">
        <v>935</v>
      </c>
      <c r="N942" s="23" t="s">
        <v>1488</v>
      </c>
      <c r="O942" s="18"/>
      <c r="P942" s="24"/>
      <c r="Q942" s="25">
        <v>46080</v>
      </c>
      <c r="R942" s="13">
        <v>0</v>
      </c>
      <c r="S942" s="26" t="str">
        <f>VLOOKUP(C942,'[4]Daily Wages '!$B$6:$G$197,6,0)</f>
        <v>16050010160768070022</v>
      </c>
      <c r="T942" s="25" t="s">
        <v>32</v>
      </c>
      <c r="U942" s="25" t="s">
        <v>1020</v>
      </c>
      <c r="V942" s="25"/>
      <c r="W942" s="27" t="s">
        <v>3504</v>
      </c>
      <c r="X942" s="28" t="s">
        <v>3505</v>
      </c>
      <c r="Y942" s="28"/>
      <c r="Z942" s="29" t="s">
        <v>3390</v>
      </c>
    </row>
    <row r="943" spans="1:26" ht="30" customHeight="1" thickBot="1" x14ac:dyDescent="0.25">
      <c r="A943" s="17">
        <f t="shared" si="29"/>
        <v>942</v>
      </c>
      <c r="B943" s="18" t="s">
        <v>25</v>
      </c>
      <c r="C943" s="19">
        <v>3520133083761</v>
      </c>
      <c r="D943" s="19"/>
      <c r="E943" s="20">
        <v>43908</v>
      </c>
      <c r="F943" s="20">
        <v>47560</v>
      </c>
      <c r="G943" s="21">
        <v>36315</v>
      </c>
      <c r="H943" s="22">
        <f t="shared" ca="1" si="28"/>
        <v>27</v>
      </c>
      <c r="I943" s="19" t="s">
        <v>912</v>
      </c>
      <c r="J943" s="18" t="s">
        <v>27</v>
      </c>
      <c r="K943" s="18"/>
      <c r="L943" s="23" t="s">
        <v>3506</v>
      </c>
      <c r="M943" s="23" t="s">
        <v>3507</v>
      </c>
      <c r="N943" s="23" t="s">
        <v>1488</v>
      </c>
      <c r="O943" s="18"/>
      <c r="P943" s="24"/>
      <c r="Q943" s="25">
        <v>46134</v>
      </c>
      <c r="R943" s="13">
        <v>0</v>
      </c>
      <c r="S943" s="26" t="str">
        <f>VLOOKUP(C943,'[1]Bazaar Salary'!$B$6:$J$1193,9,0)</f>
        <v>51890020094165620017</v>
      </c>
      <c r="T943" s="25" t="s">
        <v>32</v>
      </c>
      <c r="U943" s="25" t="s">
        <v>1020</v>
      </c>
      <c r="V943" s="25"/>
      <c r="W943" s="27" t="s">
        <v>3508</v>
      </c>
      <c r="X943" s="28" t="s">
        <v>3509</v>
      </c>
      <c r="Y943" s="28"/>
      <c r="Z943" s="29" t="s">
        <v>37</v>
      </c>
    </row>
    <row r="944" spans="1:26" ht="30" customHeight="1" thickBot="1" x14ac:dyDescent="0.25">
      <c r="A944" s="17">
        <f t="shared" si="29"/>
        <v>943</v>
      </c>
      <c r="B944" s="18" t="s">
        <v>25</v>
      </c>
      <c r="C944" s="19">
        <v>3520110960633</v>
      </c>
      <c r="D944" s="19"/>
      <c r="E944" s="20">
        <v>45636</v>
      </c>
      <c r="F944" s="20">
        <v>49288</v>
      </c>
      <c r="G944" s="21">
        <v>33604</v>
      </c>
      <c r="H944" s="22">
        <f t="shared" ca="1" si="28"/>
        <v>34</v>
      </c>
      <c r="I944" s="19" t="s">
        <v>26</v>
      </c>
      <c r="J944" s="18" t="s">
        <v>27</v>
      </c>
      <c r="K944" s="18"/>
      <c r="L944" s="23" t="s">
        <v>3510</v>
      </c>
      <c r="M944" s="23" t="s">
        <v>3511</v>
      </c>
      <c r="N944" s="23" t="s">
        <v>1488</v>
      </c>
      <c r="O944" s="18"/>
      <c r="P944" s="24"/>
      <c r="Q944" s="25">
        <v>46069</v>
      </c>
      <c r="R944" s="13">
        <v>0</v>
      </c>
      <c r="S944" s="26" t="str">
        <f>VLOOKUP(C944,'[4]Daily Wages '!$B$6:$G$197,6,0)</f>
        <v>10210010126141540014</v>
      </c>
      <c r="T944" s="25" t="s">
        <v>32</v>
      </c>
      <c r="U944" s="25" t="s">
        <v>1020</v>
      </c>
      <c r="V944" s="25"/>
      <c r="W944" s="27" t="s">
        <v>3512</v>
      </c>
      <c r="X944" s="28" t="s">
        <v>3513</v>
      </c>
      <c r="Y944" s="28"/>
      <c r="Z944" s="29" t="s">
        <v>3390</v>
      </c>
    </row>
    <row r="945" spans="1:26" ht="30" customHeight="1" thickBot="1" x14ac:dyDescent="0.25">
      <c r="A945" s="17">
        <f t="shared" si="29"/>
        <v>944</v>
      </c>
      <c r="B945" s="18" t="s">
        <v>25</v>
      </c>
      <c r="C945" s="19">
        <v>3510281220783</v>
      </c>
      <c r="D945" s="19"/>
      <c r="E945" s="20">
        <v>45120</v>
      </c>
      <c r="F945" s="20">
        <v>48773</v>
      </c>
      <c r="G945" s="21">
        <v>39273</v>
      </c>
      <c r="H945" s="22">
        <f t="shared" ca="1" si="28"/>
        <v>18</v>
      </c>
      <c r="I945" s="19" t="s">
        <v>26</v>
      </c>
      <c r="J945" s="18" t="s">
        <v>27</v>
      </c>
      <c r="K945" s="18"/>
      <c r="L945" s="23" t="s">
        <v>3514</v>
      </c>
      <c r="M945" s="23" t="s">
        <v>3515</v>
      </c>
      <c r="N945" s="23" t="s">
        <v>1499</v>
      </c>
      <c r="O945" s="18"/>
      <c r="P945" s="24"/>
      <c r="Q945" s="25">
        <v>46077</v>
      </c>
      <c r="R945" s="13">
        <v>0</v>
      </c>
      <c r="S945" s="26" t="str">
        <f>VLOOKUP(C945,'[4]Daily Wages '!$B$6:$G$197,6,0)</f>
        <v>16050010160793680013</v>
      </c>
      <c r="T945" s="25" t="s">
        <v>32</v>
      </c>
      <c r="U945" s="25" t="s">
        <v>1020</v>
      </c>
      <c r="V945" s="25"/>
      <c r="W945" s="27" t="s">
        <v>3516</v>
      </c>
      <c r="X945" s="28" t="s">
        <v>3517</v>
      </c>
      <c r="Y945" s="28"/>
      <c r="Z945" s="29" t="s">
        <v>3390</v>
      </c>
    </row>
    <row r="946" spans="1:26" ht="30" customHeight="1" thickBot="1" x14ac:dyDescent="0.25">
      <c r="A946" s="17">
        <f t="shared" si="29"/>
        <v>945</v>
      </c>
      <c r="B946" s="18" t="s">
        <v>25</v>
      </c>
      <c r="C946" s="19">
        <v>3520296457859</v>
      </c>
      <c r="D946" s="19"/>
      <c r="E946" s="20">
        <v>45303</v>
      </c>
      <c r="F946" s="20">
        <v>48956</v>
      </c>
      <c r="G946" s="21">
        <v>34708</v>
      </c>
      <c r="H946" s="22">
        <f t="shared" ca="1" si="28"/>
        <v>31</v>
      </c>
      <c r="I946" s="19" t="s">
        <v>26</v>
      </c>
      <c r="J946" s="18" t="s">
        <v>27</v>
      </c>
      <c r="K946" s="18"/>
      <c r="L946" s="23" t="s">
        <v>3518</v>
      </c>
      <c r="M946" s="23" t="s">
        <v>3519</v>
      </c>
      <c r="N946" s="23" t="s">
        <v>1499</v>
      </c>
      <c r="O946" s="18"/>
      <c r="P946" s="24"/>
      <c r="Q946" s="25">
        <v>46160</v>
      </c>
      <c r="R946" s="13">
        <v>0</v>
      </c>
      <c r="S946" s="26" t="str">
        <f>VLOOKUP(C946,'[4]Daily Wages '!$B$6:$G$197,6,0)</f>
        <v>16050010164582010015</v>
      </c>
      <c r="T946" s="25" t="s">
        <v>32</v>
      </c>
      <c r="U946" s="25" t="s">
        <v>1020</v>
      </c>
      <c r="V946" s="25"/>
      <c r="W946" s="27" t="s">
        <v>3520</v>
      </c>
      <c r="X946" s="28" t="s">
        <v>3521</v>
      </c>
      <c r="Y946" s="28"/>
      <c r="Z946" s="29" t="s">
        <v>3390</v>
      </c>
    </row>
    <row r="947" spans="1:26" ht="30" customHeight="1" thickBot="1" x14ac:dyDescent="0.25">
      <c r="A947" s="17">
        <f t="shared" si="29"/>
        <v>946</v>
      </c>
      <c r="B947" s="18" t="s">
        <v>25</v>
      </c>
      <c r="C947" s="19">
        <v>3520403695585</v>
      </c>
      <c r="D947" s="19"/>
      <c r="E947" s="20">
        <v>43271</v>
      </c>
      <c r="F947" s="20">
        <v>46924</v>
      </c>
      <c r="G947" s="21">
        <v>36496</v>
      </c>
      <c r="H947" s="22">
        <f t="shared" ca="1" si="28"/>
        <v>26</v>
      </c>
      <c r="I947" s="19" t="s">
        <v>26</v>
      </c>
      <c r="J947" s="18" t="s">
        <v>27</v>
      </c>
      <c r="K947" s="18"/>
      <c r="L947" s="23" t="s">
        <v>3225</v>
      </c>
      <c r="M947" s="23" t="s">
        <v>1640</v>
      </c>
      <c r="N947" s="23" t="s">
        <v>1499</v>
      </c>
      <c r="O947" s="18"/>
      <c r="P947" s="24"/>
      <c r="Q947" s="25">
        <v>46108</v>
      </c>
      <c r="R947" s="13">
        <v>0</v>
      </c>
      <c r="S947" s="26" t="str">
        <f>VLOOKUP(C947,'[4]Daily Wages '!$B$6:$G$197,6,0)</f>
        <v>01530010162704540012</v>
      </c>
      <c r="T947" s="25" t="s">
        <v>32</v>
      </c>
      <c r="U947" s="25" t="s">
        <v>1020</v>
      </c>
      <c r="V947" s="25"/>
      <c r="W947" s="27" t="s">
        <v>3522</v>
      </c>
      <c r="X947" s="28" t="s">
        <v>3523</v>
      </c>
      <c r="Y947" s="28"/>
      <c r="Z947" s="29" t="s">
        <v>3390</v>
      </c>
    </row>
    <row r="948" spans="1:26" ht="30" customHeight="1" thickBot="1" x14ac:dyDescent="0.25">
      <c r="A948" s="17">
        <f t="shared" si="29"/>
        <v>947</v>
      </c>
      <c r="B948" s="18" t="s">
        <v>25</v>
      </c>
      <c r="C948" s="19">
        <v>3520154208801</v>
      </c>
      <c r="D948" s="19"/>
      <c r="E948" s="20">
        <v>42880</v>
      </c>
      <c r="F948" s="20">
        <v>46532</v>
      </c>
      <c r="G948" s="21">
        <v>36069</v>
      </c>
      <c r="H948" s="22">
        <f t="shared" ca="1" si="28"/>
        <v>27</v>
      </c>
      <c r="I948" s="19" t="s">
        <v>26</v>
      </c>
      <c r="J948" s="18" t="s">
        <v>27</v>
      </c>
      <c r="K948" s="18"/>
      <c r="L948" s="23" t="s">
        <v>3524</v>
      </c>
      <c r="M948" s="23" t="s">
        <v>3525</v>
      </c>
      <c r="N948" s="23" t="s">
        <v>1499</v>
      </c>
      <c r="O948" s="18"/>
      <c r="P948" s="24"/>
      <c r="Q948" s="25">
        <v>46070</v>
      </c>
      <c r="R948" s="13">
        <v>0</v>
      </c>
      <c r="S948" s="26" t="str">
        <f>VLOOKUP(C948,'[4]Daily Wages '!$B$6:$G$197,6,0)</f>
        <v>09340010090370660014</v>
      </c>
      <c r="T948" s="25" t="s">
        <v>32</v>
      </c>
      <c r="U948" s="25" t="s">
        <v>1020</v>
      </c>
      <c r="V948" s="25"/>
      <c r="W948" s="27" t="s">
        <v>3526</v>
      </c>
      <c r="X948" s="28" t="s">
        <v>3527</v>
      </c>
      <c r="Y948" s="28"/>
      <c r="Z948" s="29" t="s">
        <v>3390</v>
      </c>
    </row>
    <row r="949" spans="1:26" ht="30" customHeight="1" thickBot="1" x14ac:dyDescent="0.25">
      <c r="A949" s="17">
        <f t="shared" si="29"/>
        <v>948</v>
      </c>
      <c r="B949" s="18" t="s">
        <v>25</v>
      </c>
      <c r="C949" s="19">
        <v>3520153324689</v>
      </c>
      <c r="D949" s="19"/>
      <c r="E949" s="20">
        <v>45803</v>
      </c>
      <c r="F949" s="20">
        <v>48982</v>
      </c>
      <c r="G949" s="21">
        <v>38703</v>
      </c>
      <c r="H949" s="22">
        <f t="shared" ca="1" si="28"/>
        <v>20</v>
      </c>
      <c r="I949" s="19" t="s">
        <v>26</v>
      </c>
      <c r="J949" s="18" t="s">
        <v>27</v>
      </c>
      <c r="K949" s="18"/>
      <c r="L949" s="23" t="s">
        <v>1412</v>
      </c>
      <c r="M949" s="23" t="s">
        <v>1384</v>
      </c>
      <c r="N949" s="23" t="s">
        <v>1499</v>
      </c>
      <c r="O949" s="18"/>
      <c r="P949" s="24"/>
      <c r="Q949" s="25">
        <v>46108</v>
      </c>
      <c r="R949" s="13">
        <v>0</v>
      </c>
      <c r="S949" s="26" t="str">
        <f>VLOOKUP(C949,'[4]Daily Wages '!$B$6:$G$197,6,0)</f>
        <v>02130010155452890013</v>
      </c>
      <c r="T949" s="25" t="s">
        <v>32</v>
      </c>
      <c r="U949" s="25" t="s">
        <v>1020</v>
      </c>
      <c r="V949" s="25"/>
      <c r="W949" s="27" t="s">
        <v>3528</v>
      </c>
      <c r="X949" s="28" t="s">
        <v>3529</v>
      </c>
      <c r="Y949" s="28"/>
      <c r="Z949" s="29" t="s">
        <v>3390</v>
      </c>
    </row>
    <row r="950" spans="1:26" ht="30" customHeight="1" thickBot="1" x14ac:dyDescent="0.25">
      <c r="A950" s="17">
        <f t="shared" si="29"/>
        <v>949</v>
      </c>
      <c r="B950" s="18" t="s">
        <v>25</v>
      </c>
      <c r="C950" s="19">
        <v>3810387508545</v>
      </c>
      <c r="D950" s="19"/>
      <c r="E950" s="20">
        <v>45293</v>
      </c>
      <c r="F950" s="20">
        <v>48946</v>
      </c>
      <c r="G950" s="21">
        <v>38478</v>
      </c>
      <c r="H950" s="22">
        <f t="shared" ca="1" si="28"/>
        <v>21</v>
      </c>
      <c r="I950" s="19" t="s">
        <v>26</v>
      </c>
      <c r="J950" s="18" t="s">
        <v>27</v>
      </c>
      <c r="K950" s="18"/>
      <c r="L950" s="23" t="s">
        <v>3530</v>
      </c>
      <c r="M950" s="23" t="s">
        <v>1635</v>
      </c>
      <c r="N950" s="23" t="s">
        <v>1499</v>
      </c>
      <c r="O950" s="18"/>
      <c r="P950" s="24"/>
      <c r="Q950" s="25">
        <v>45992</v>
      </c>
      <c r="R950" s="13">
        <v>0</v>
      </c>
      <c r="S950" s="26" t="str">
        <f>VLOOKUP(C950,'[1]Bazaar Salary'!$B$6:$J$1193,9,0)</f>
        <v>05030010155652440017</v>
      </c>
      <c r="T950" s="25" t="s">
        <v>32</v>
      </c>
      <c r="U950" s="25" t="s">
        <v>153</v>
      </c>
      <c r="V950" s="25"/>
      <c r="W950" s="27" t="s">
        <v>3531</v>
      </c>
      <c r="X950" s="28" t="s">
        <v>3532</v>
      </c>
      <c r="Y950" s="28"/>
      <c r="Z950" s="29" t="s">
        <v>37</v>
      </c>
    </row>
    <row r="951" spans="1:26" ht="30" customHeight="1" thickBot="1" x14ac:dyDescent="0.25">
      <c r="A951" s="17">
        <f t="shared" si="29"/>
        <v>950</v>
      </c>
      <c r="B951" s="18" t="s">
        <v>25</v>
      </c>
      <c r="C951" s="19">
        <v>3810376008603</v>
      </c>
      <c r="D951" s="19"/>
      <c r="E951" s="20">
        <v>45721</v>
      </c>
      <c r="F951" s="20">
        <v>49373</v>
      </c>
      <c r="G951" s="21">
        <v>35165</v>
      </c>
      <c r="H951" s="22">
        <f t="shared" ca="1" si="28"/>
        <v>30</v>
      </c>
      <c r="I951" s="19" t="s">
        <v>26</v>
      </c>
      <c r="J951" s="18" t="s">
        <v>27</v>
      </c>
      <c r="K951" s="18"/>
      <c r="L951" s="23" t="s">
        <v>3533</v>
      </c>
      <c r="M951" s="23" t="s">
        <v>3534</v>
      </c>
      <c r="N951" s="23" t="s">
        <v>457</v>
      </c>
      <c r="O951" s="18"/>
      <c r="P951" s="24"/>
      <c r="Q951" s="25">
        <v>46057</v>
      </c>
      <c r="R951" s="13">
        <v>0</v>
      </c>
      <c r="S951" s="26" t="str">
        <f>VLOOKUP(C951,'[3]May-26'!$B$5:$H$89,7,0)</f>
        <v>05030010159573740010</v>
      </c>
      <c r="T951" s="25" t="s">
        <v>32</v>
      </c>
      <c r="U951" s="25" t="s">
        <v>153</v>
      </c>
      <c r="V951" s="25" t="s">
        <v>293</v>
      </c>
      <c r="W951" s="27" t="s">
        <v>3535</v>
      </c>
      <c r="X951" s="28" t="s">
        <v>3536</v>
      </c>
      <c r="Y951" s="28"/>
      <c r="Z951" s="29" t="s">
        <v>3390</v>
      </c>
    </row>
    <row r="952" spans="1:26" ht="30" customHeight="1" thickBot="1" x14ac:dyDescent="0.25">
      <c r="A952" s="17">
        <f t="shared" si="29"/>
        <v>951</v>
      </c>
      <c r="B952" s="18" t="s">
        <v>25</v>
      </c>
      <c r="C952" s="19">
        <v>3810142966223</v>
      </c>
      <c r="D952" s="19"/>
      <c r="E952" s="20">
        <v>45068</v>
      </c>
      <c r="F952" s="20">
        <v>48721</v>
      </c>
      <c r="G952" s="21">
        <v>37155</v>
      </c>
      <c r="H952" s="22">
        <f t="shared" ca="1" si="28"/>
        <v>24</v>
      </c>
      <c r="I952" s="19" t="s">
        <v>26</v>
      </c>
      <c r="J952" s="18" t="s">
        <v>27</v>
      </c>
      <c r="K952" s="18"/>
      <c r="L952" s="23" t="s">
        <v>3537</v>
      </c>
      <c r="M952" s="23" t="s">
        <v>1645</v>
      </c>
      <c r="N952" s="23" t="s">
        <v>1488</v>
      </c>
      <c r="O952" s="18"/>
      <c r="P952" s="24"/>
      <c r="Q952" s="25">
        <v>46106</v>
      </c>
      <c r="R952" s="13">
        <v>0</v>
      </c>
      <c r="S952" s="26" t="str">
        <f>VLOOKUP(C952,'[4]Daily Wages '!$B$6:$G$197,6,0)</f>
        <v>05030010161942070016</v>
      </c>
      <c r="T952" s="25" t="s">
        <v>32</v>
      </c>
      <c r="U952" s="25" t="s">
        <v>153</v>
      </c>
      <c r="V952" s="25"/>
      <c r="W952" s="27" t="s">
        <v>3538</v>
      </c>
      <c r="X952" s="28" t="s">
        <v>3539</v>
      </c>
      <c r="Y952" s="28"/>
      <c r="Z952" s="29" t="s">
        <v>3390</v>
      </c>
    </row>
    <row r="953" spans="1:26" ht="30" customHeight="1" thickBot="1" x14ac:dyDescent="0.25">
      <c r="A953" s="17">
        <f t="shared" si="29"/>
        <v>952</v>
      </c>
      <c r="B953" s="18" t="s">
        <v>25</v>
      </c>
      <c r="C953" s="19">
        <v>3810176878339</v>
      </c>
      <c r="D953" s="19"/>
      <c r="E953" s="20">
        <v>45404</v>
      </c>
      <c r="F953" s="20">
        <v>49056</v>
      </c>
      <c r="G953" s="21">
        <v>37632</v>
      </c>
      <c r="H953" s="22">
        <f t="shared" ca="1" si="28"/>
        <v>23</v>
      </c>
      <c r="I953" s="19" t="s">
        <v>26</v>
      </c>
      <c r="J953" s="18" t="s">
        <v>27</v>
      </c>
      <c r="K953" s="18"/>
      <c r="L953" s="23" t="s">
        <v>3540</v>
      </c>
      <c r="M953" s="23" t="s">
        <v>127</v>
      </c>
      <c r="N953" s="23" t="s">
        <v>1499</v>
      </c>
      <c r="O953" s="18"/>
      <c r="P953" s="24"/>
      <c r="Q953" s="25">
        <v>46071</v>
      </c>
      <c r="R953" s="13">
        <v>0</v>
      </c>
      <c r="S953" s="26" t="str">
        <f>VLOOKUP(C953,'[4]Daily Wages '!$B$6:$G$197,6,0)</f>
        <v>05030010160722070016</v>
      </c>
      <c r="T953" s="25" t="s">
        <v>32</v>
      </c>
      <c r="U953" s="25" t="s">
        <v>153</v>
      </c>
      <c r="V953" s="25"/>
      <c r="W953" s="27" t="s">
        <v>3541</v>
      </c>
      <c r="X953" s="28" t="s">
        <v>3542</v>
      </c>
      <c r="Y953" s="28"/>
      <c r="Z953" s="29" t="s">
        <v>3390</v>
      </c>
    </row>
    <row r="954" spans="1:26" ht="30" customHeight="1" thickBot="1" x14ac:dyDescent="0.25">
      <c r="A954" s="17">
        <f t="shared" si="29"/>
        <v>953</v>
      </c>
      <c r="B954" s="18" t="s">
        <v>25</v>
      </c>
      <c r="C954" s="19">
        <v>3840107552198</v>
      </c>
      <c r="D954" s="19"/>
      <c r="E954" s="20">
        <v>43732</v>
      </c>
      <c r="F954" s="20">
        <v>47385</v>
      </c>
      <c r="G954" s="21">
        <v>36618</v>
      </c>
      <c r="H954" s="22">
        <f t="shared" ca="1" si="28"/>
        <v>26</v>
      </c>
      <c r="I954" s="19" t="s">
        <v>26</v>
      </c>
      <c r="J954" s="18" t="s">
        <v>27</v>
      </c>
      <c r="K954" s="18"/>
      <c r="L954" s="23" t="s">
        <v>3543</v>
      </c>
      <c r="M954" s="23" t="s">
        <v>1201</v>
      </c>
      <c r="N954" s="24" t="s">
        <v>457</v>
      </c>
      <c r="O954" s="18"/>
      <c r="P954" s="24"/>
      <c r="Q954" s="25">
        <v>46023</v>
      </c>
      <c r="R954" s="13">
        <v>0</v>
      </c>
      <c r="S954" s="26" t="str">
        <f>VLOOKUP(C954,'[1]Bazaar Salary'!$B$6:$J$1193,9,0)</f>
        <v>00520010156436250016</v>
      </c>
      <c r="T954" s="25" t="s">
        <v>32</v>
      </c>
      <c r="U954" s="25" t="s">
        <v>469</v>
      </c>
      <c r="V954" s="25"/>
      <c r="W954" s="27" t="s">
        <v>3544</v>
      </c>
      <c r="X954" s="28" t="s">
        <v>3545</v>
      </c>
      <c r="Y954" s="28"/>
      <c r="Z954" s="29" t="s">
        <v>37</v>
      </c>
    </row>
    <row r="955" spans="1:26" ht="30" customHeight="1" thickBot="1" x14ac:dyDescent="0.25">
      <c r="A955" s="17">
        <f t="shared" si="29"/>
        <v>954</v>
      </c>
      <c r="B955" s="18" t="s">
        <v>25</v>
      </c>
      <c r="C955" s="19">
        <v>3840178007871</v>
      </c>
      <c r="D955" s="19"/>
      <c r="E955" s="20">
        <v>44558</v>
      </c>
      <c r="F955" s="20">
        <v>48210</v>
      </c>
      <c r="G955" s="21">
        <v>37206</v>
      </c>
      <c r="H955" s="22">
        <f t="shared" ca="1" si="28"/>
        <v>24</v>
      </c>
      <c r="I955" s="19" t="s">
        <v>912</v>
      </c>
      <c r="J955" s="18" t="s">
        <v>27</v>
      </c>
      <c r="K955" s="18"/>
      <c r="L955" s="23" t="s">
        <v>3436</v>
      </c>
      <c r="M955" s="23" t="s">
        <v>2178</v>
      </c>
      <c r="N955" s="23" t="s">
        <v>1488</v>
      </c>
      <c r="O955" s="18"/>
      <c r="P955" s="24"/>
      <c r="Q955" s="25">
        <v>45992</v>
      </c>
      <c r="R955" s="13">
        <v>0</v>
      </c>
      <c r="S955" s="26" t="str">
        <f>VLOOKUP(C955,'[1]Bazaar Salary'!$B$6:$J$1193,9,0)</f>
        <v>00520010154498440013</v>
      </c>
      <c r="T955" s="25" t="s">
        <v>32</v>
      </c>
      <c r="U955" s="25" t="s">
        <v>469</v>
      </c>
      <c r="V955" s="25"/>
      <c r="W955" s="27" t="s">
        <v>3546</v>
      </c>
      <c r="X955" s="28" t="s">
        <v>3547</v>
      </c>
      <c r="Y955" s="28"/>
      <c r="Z955" s="29" t="s">
        <v>37</v>
      </c>
    </row>
    <row r="956" spans="1:26" ht="30" customHeight="1" thickBot="1" x14ac:dyDescent="0.25">
      <c r="A956" s="17">
        <f t="shared" si="29"/>
        <v>955</v>
      </c>
      <c r="B956" s="18" t="s">
        <v>25</v>
      </c>
      <c r="C956" s="19">
        <v>3840162694509</v>
      </c>
      <c r="D956" s="19"/>
      <c r="E956" s="20">
        <v>42435</v>
      </c>
      <c r="F956" s="20">
        <v>46087</v>
      </c>
      <c r="G956" s="21">
        <v>32603</v>
      </c>
      <c r="H956" s="22">
        <f t="shared" ca="1" si="28"/>
        <v>37</v>
      </c>
      <c r="I956" s="19" t="s">
        <v>26</v>
      </c>
      <c r="J956" s="18" t="s">
        <v>27</v>
      </c>
      <c r="K956" s="18"/>
      <c r="L956" s="23" t="s">
        <v>3548</v>
      </c>
      <c r="M956" s="23" t="s">
        <v>3549</v>
      </c>
      <c r="N956" s="23" t="s">
        <v>1488</v>
      </c>
      <c r="O956" s="18"/>
      <c r="P956" s="24"/>
      <c r="Q956" s="25">
        <v>45992</v>
      </c>
      <c r="R956" s="13">
        <v>0</v>
      </c>
      <c r="S956" s="26" t="str">
        <f>VLOOKUP(C956,'[1]Bazaar Salary'!$B$6:$J$1193,9,0)</f>
        <v>00520010155266720013</v>
      </c>
      <c r="T956" s="25" t="s">
        <v>32</v>
      </c>
      <c r="U956" s="25" t="s">
        <v>469</v>
      </c>
      <c r="V956" s="25"/>
      <c r="W956" s="27" t="s">
        <v>3550</v>
      </c>
      <c r="X956" s="28" t="s">
        <v>3551</v>
      </c>
      <c r="Y956" s="28"/>
      <c r="Z956" s="29" t="s">
        <v>37</v>
      </c>
    </row>
    <row r="957" spans="1:26" ht="30" customHeight="1" thickBot="1" x14ac:dyDescent="0.25">
      <c r="A957" s="17">
        <f t="shared" si="29"/>
        <v>956</v>
      </c>
      <c r="B957" s="18" t="s">
        <v>25</v>
      </c>
      <c r="C957" s="19">
        <v>3840116554710</v>
      </c>
      <c r="D957" s="19"/>
      <c r="E957" s="20">
        <v>45699</v>
      </c>
      <c r="F957" s="20">
        <v>49351</v>
      </c>
      <c r="G957" s="21">
        <v>33239</v>
      </c>
      <c r="H957" s="22">
        <f t="shared" ca="1" si="28"/>
        <v>35</v>
      </c>
      <c r="I957" s="19" t="s">
        <v>26</v>
      </c>
      <c r="J957" s="18" t="s">
        <v>27</v>
      </c>
      <c r="K957" s="18"/>
      <c r="L957" s="23" t="s">
        <v>3552</v>
      </c>
      <c r="M957" s="23" t="s">
        <v>3553</v>
      </c>
      <c r="N957" s="23" t="s">
        <v>1488</v>
      </c>
      <c r="O957" s="18"/>
      <c r="P957" s="24"/>
      <c r="Q957" s="25">
        <v>45992</v>
      </c>
      <c r="R957" s="13">
        <v>0</v>
      </c>
      <c r="S957" s="26" t="str">
        <f>VLOOKUP(C957,'[1]Bazaar Salary'!$B$6:$J$1193,9,0)</f>
        <v>00520010154478540010</v>
      </c>
      <c r="T957" s="25" t="s">
        <v>32</v>
      </c>
      <c r="U957" s="25" t="s">
        <v>469</v>
      </c>
      <c r="V957" s="25"/>
      <c r="W957" s="27" t="s">
        <v>3554</v>
      </c>
      <c r="X957" s="28" t="s">
        <v>3555</v>
      </c>
      <c r="Y957" s="28"/>
      <c r="Z957" s="29" t="s">
        <v>37</v>
      </c>
    </row>
    <row r="958" spans="1:26" ht="30" customHeight="1" thickBot="1" x14ac:dyDescent="0.25">
      <c r="A958" s="17">
        <f t="shared" si="29"/>
        <v>957</v>
      </c>
      <c r="B958" s="18" t="s">
        <v>25</v>
      </c>
      <c r="C958" s="19">
        <v>3840139135215</v>
      </c>
      <c r="D958" s="19"/>
      <c r="E958" s="20">
        <v>44437</v>
      </c>
      <c r="F958" s="20">
        <v>48089</v>
      </c>
      <c r="G958" s="21">
        <v>30376</v>
      </c>
      <c r="H958" s="22">
        <f t="shared" ca="1" si="28"/>
        <v>43</v>
      </c>
      <c r="I958" s="19" t="s">
        <v>26</v>
      </c>
      <c r="J958" s="18" t="s">
        <v>27</v>
      </c>
      <c r="K958" s="18"/>
      <c r="L958" s="23" t="s">
        <v>3556</v>
      </c>
      <c r="M958" s="23" t="s">
        <v>3557</v>
      </c>
      <c r="N958" s="23" t="s">
        <v>1499</v>
      </c>
      <c r="O958" s="18"/>
      <c r="P958" s="24"/>
      <c r="Q958" s="25">
        <v>45992</v>
      </c>
      <c r="R958" s="13">
        <v>0</v>
      </c>
      <c r="S958" s="26" t="str">
        <f>VLOOKUP(C958,'[1]Bazaar Salary'!$B$6:$J$1193,9,0)</f>
        <v>00520010154491830013</v>
      </c>
      <c r="T958" s="25" t="s">
        <v>32</v>
      </c>
      <c r="U958" s="25" t="s">
        <v>469</v>
      </c>
      <c r="V958" s="25"/>
      <c r="W958" s="27" t="s">
        <v>3558</v>
      </c>
      <c r="X958" s="28" t="s">
        <v>3559</v>
      </c>
      <c r="Y958" s="28"/>
      <c r="Z958" s="29" t="s">
        <v>37</v>
      </c>
    </row>
    <row r="959" spans="1:26" ht="30" customHeight="1" thickBot="1" x14ac:dyDescent="0.25">
      <c r="A959" s="17">
        <f t="shared" si="29"/>
        <v>958</v>
      </c>
      <c r="B959" s="18" t="s">
        <v>25</v>
      </c>
      <c r="C959" s="19">
        <v>3840138514391</v>
      </c>
      <c r="D959" s="19"/>
      <c r="E959" s="20">
        <v>45287</v>
      </c>
      <c r="F959" s="20">
        <v>48940</v>
      </c>
      <c r="G959" s="21">
        <v>38353</v>
      </c>
      <c r="H959" s="22">
        <f t="shared" ca="1" si="28"/>
        <v>21</v>
      </c>
      <c r="I959" s="19" t="s">
        <v>26</v>
      </c>
      <c r="J959" s="18" t="s">
        <v>27</v>
      </c>
      <c r="K959" s="18"/>
      <c r="L959" s="23" t="s">
        <v>3560</v>
      </c>
      <c r="M959" s="23" t="s">
        <v>3561</v>
      </c>
      <c r="N959" s="23" t="s">
        <v>1499</v>
      </c>
      <c r="O959" s="18"/>
      <c r="P959" s="24"/>
      <c r="Q959" s="25">
        <v>45992</v>
      </c>
      <c r="R959" s="13">
        <v>0</v>
      </c>
      <c r="S959" s="26" t="str">
        <f>VLOOKUP(C959,'[1]Bazaar Salary'!$B$6:$J$1193,9,0)</f>
        <v>00520010156176200013</v>
      </c>
      <c r="T959" s="25" t="s">
        <v>32</v>
      </c>
      <c r="U959" s="25" t="s">
        <v>469</v>
      </c>
      <c r="V959" s="25"/>
      <c r="W959" s="27" t="s">
        <v>3562</v>
      </c>
      <c r="X959" s="28" t="s">
        <v>3563</v>
      </c>
      <c r="Y959" s="28"/>
      <c r="Z959" s="29" t="s">
        <v>37</v>
      </c>
    </row>
    <row r="960" spans="1:26" ht="30" customHeight="1" thickBot="1" x14ac:dyDescent="0.25">
      <c r="A960" s="17">
        <f t="shared" si="29"/>
        <v>959</v>
      </c>
      <c r="B960" s="18" t="s">
        <v>25</v>
      </c>
      <c r="C960" s="19">
        <v>3840115198197</v>
      </c>
      <c r="D960" s="19"/>
      <c r="E960" s="20">
        <v>44964</v>
      </c>
      <c r="F960" s="20">
        <v>48617</v>
      </c>
      <c r="G960" s="21">
        <v>33057</v>
      </c>
      <c r="H960" s="22">
        <f t="shared" ca="1" si="28"/>
        <v>35</v>
      </c>
      <c r="I960" s="19" t="s">
        <v>26</v>
      </c>
      <c r="J960" s="18" t="s">
        <v>27</v>
      </c>
      <c r="K960" s="18"/>
      <c r="L960" s="23" t="s">
        <v>934</v>
      </c>
      <c r="M960" s="23" t="s">
        <v>3564</v>
      </c>
      <c r="N960" s="23" t="s">
        <v>1499</v>
      </c>
      <c r="O960" s="18"/>
      <c r="P960" s="24"/>
      <c r="Q960" s="25">
        <v>45992</v>
      </c>
      <c r="R960" s="13">
        <v>0</v>
      </c>
      <c r="S960" s="26" t="str">
        <f>VLOOKUP(C960,'[1]Bazaar Salary'!$B$6:$J$1193,9,0)</f>
        <v>00520010154484320016</v>
      </c>
      <c r="T960" s="25" t="s">
        <v>32</v>
      </c>
      <c r="U960" s="25" t="s">
        <v>469</v>
      </c>
      <c r="V960" s="25"/>
      <c r="W960" s="27" t="s">
        <v>3565</v>
      </c>
      <c r="X960" s="28" t="s">
        <v>3566</v>
      </c>
      <c r="Y960" s="28"/>
      <c r="Z960" s="29" t="s">
        <v>37</v>
      </c>
    </row>
    <row r="961" spans="1:26" ht="30" customHeight="1" thickBot="1" x14ac:dyDescent="0.25">
      <c r="A961" s="17">
        <f t="shared" si="29"/>
        <v>960</v>
      </c>
      <c r="B961" s="18" t="s">
        <v>25</v>
      </c>
      <c r="C961" s="19">
        <v>3840155737359</v>
      </c>
      <c r="D961" s="19"/>
      <c r="E961" s="20">
        <v>43182</v>
      </c>
      <c r="F961" s="20">
        <v>46835</v>
      </c>
      <c r="G961" s="21">
        <v>36049</v>
      </c>
      <c r="H961" s="22">
        <f t="shared" ca="1" si="28"/>
        <v>27</v>
      </c>
      <c r="I961" s="19" t="s">
        <v>26</v>
      </c>
      <c r="J961" s="18" t="s">
        <v>27</v>
      </c>
      <c r="K961" s="18"/>
      <c r="L961" s="23" t="s">
        <v>3567</v>
      </c>
      <c r="M961" s="23" t="s">
        <v>3568</v>
      </c>
      <c r="N961" s="23" t="s">
        <v>1499</v>
      </c>
      <c r="O961" s="18"/>
      <c r="P961" s="24"/>
      <c r="Q961" s="25">
        <v>45992</v>
      </c>
      <c r="R961" s="13">
        <v>0</v>
      </c>
      <c r="S961" s="26" t="str">
        <f>VLOOKUP(C961,'[1]Bazaar Salary'!$B$6:$J$1193,9,0)</f>
        <v>00520010154495960011</v>
      </c>
      <c r="T961" s="25" t="s">
        <v>32</v>
      </c>
      <c r="U961" s="25" t="s">
        <v>469</v>
      </c>
      <c r="V961" s="25"/>
      <c r="W961" s="27" t="s">
        <v>3569</v>
      </c>
      <c r="X961" s="28" t="s">
        <v>3570</v>
      </c>
      <c r="Y961" s="28"/>
      <c r="Z961" s="29" t="s">
        <v>37</v>
      </c>
    </row>
    <row r="962" spans="1:26" ht="30" customHeight="1" thickBot="1" x14ac:dyDescent="0.25">
      <c r="A962" s="17">
        <f t="shared" si="29"/>
        <v>961</v>
      </c>
      <c r="B962" s="18" t="s">
        <v>25</v>
      </c>
      <c r="C962" s="19">
        <v>3840121296433</v>
      </c>
      <c r="D962" s="19"/>
      <c r="E962" s="20">
        <v>44169</v>
      </c>
      <c r="F962" s="20">
        <v>47821</v>
      </c>
      <c r="G962" s="21">
        <v>31533</v>
      </c>
      <c r="H962" s="22">
        <f t="shared" ref="H962:H1025" ca="1" si="30">INT((TODAY()-G962)/365)</f>
        <v>40</v>
      </c>
      <c r="I962" s="19" t="s">
        <v>26</v>
      </c>
      <c r="J962" s="18" t="s">
        <v>27</v>
      </c>
      <c r="K962" s="18"/>
      <c r="L962" s="23" t="s">
        <v>3571</v>
      </c>
      <c r="M962" s="23" t="s">
        <v>385</v>
      </c>
      <c r="N962" s="23" t="s">
        <v>1499</v>
      </c>
      <c r="O962" s="18"/>
      <c r="P962" s="24"/>
      <c r="Q962" s="25">
        <v>45993</v>
      </c>
      <c r="R962" s="13">
        <v>0</v>
      </c>
      <c r="S962" s="26" t="str">
        <f>VLOOKUP(C962,'[1]Bazaar Salary'!$B$6:$J$1193,9,0)</f>
        <v>00520010156214950010</v>
      </c>
      <c r="T962" s="25" t="s">
        <v>32</v>
      </c>
      <c r="U962" s="25" t="s">
        <v>469</v>
      </c>
      <c r="V962" s="25"/>
      <c r="W962" s="27" t="s">
        <v>3572</v>
      </c>
      <c r="X962" s="28" t="s">
        <v>3573</v>
      </c>
      <c r="Y962" s="28"/>
      <c r="Z962" s="29" t="s">
        <v>37</v>
      </c>
    </row>
    <row r="963" spans="1:26" ht="30" customHeight="1" thickBot="1" x14ac:dyDescent="0.25">
      <c r="A963" s="17">
        <f t="shared" si="29"/>
        <v>962</v>
      </c>
      <c r="B963" s="18" t="s">
        <v>25</v>
      </c>
      <c r="C963" s="19">
        <v>3840604196201</v>
      </c>
      <c r="D963" s="19"/>
      <c r="E963" s="20">
        <v>45853</v>
      </c>
      <c r="F963" s="20">
        <v>49505</v>
      </c>
      <c r="G963" s="21">
        <v>33573</v>
      </c>
      <c r="H963" s="22">
        <f t="shared" ca="1" si="30"/>
        <v>34</v>
      </c>
      <c r="I963" s="19" t="s">
        <v>26</v>
      </c>
      <c r="J963" s="18" t="s">
        <v>27</v>
      </c>
      <c r="K963" s="18"/>
      <c r="L963" s="23" t="s">
        <v>3574</v>
      </c>
      <c r="M963" s="23" t="s">
        <v>3575</v>
      </c>
      <c r="N963" s="23" t="s">
        <v>1499</v>
      </c>
      <c r="O963" s="18"/>
      <c r="P963" s="24"/>
      <c r="Q963" s="25">
        <v>45992</v>
      </c>
      <c r="R963" s="13">
        <v>0</v>
      </c>
      <c r="S963" s="26" t="str">
        <f>VLOOKUP(C963,'[1]Bazaar Salary'!$B$6:$J$1193,9,0)</f>
        <v>00520010154485900019</v>
      </c>
      <c r="T963" s="25" t="s">
        <v>32</v>
      </c>
      <c r="U963" s="25" t="s">
        <v>469</v>
      </c>
      <c r="V963" s="25"/>
      <c r="W963" s="27" t="s">
        <v>3576</v>
      </c>
      <c r="X963" s="28" t="s">
        <v>3577</v>
      </c>
      <c r="Y963" s="28"/>
      <c r="Z963" s="29" t="s">
        <v>37</v>
      </c>
    </row>
    <row r="964" spans="1:26" ht="30" customHeight="1" thickBot="1" x14ac:dyDescent="0.25">
      <c r="A964" s="17">
        <f t="shared" ref="A964:A1027" si="31">A963+1</f>
        <v>963</v>
      </c>
      <c r="B964" s="18" t="s">
        <v>25</v>
      </c>
      <c r="C964" s="19">
        <v>3840159267375</v>
      </c>
      <c r="D964" s="19"/>
      <c r="E964" s="20">
        <v>44083</v>
      </c>
      <c r="F964" s="20">
        <v>47735</v>
      </c>
      <c r="G964" s="21">
        <v>36771</v>
      </c>
      <c r="H964" s="22">
        <f t="shared" ca="1" si="30"/>
        <v>25</v>
      </c>
      <c r="I964" s="19" t="s">
        <v>26</v>
      </c>
      <c r="J964" s="18" t="s">
        <v>27</v>
      </c>
      <c r="K964" s="18"/>
      <c r="L964" s="23" t="s">
        <v>3578</v>
      </c>
      <c r="M964" s="23" t="s">
        <v>3579</v>
      </c>
      <c r="N964" s="23" t="s">
        <v>1499</v>
      </c>
      <c r="O964" s="18"/>
      <c r="P964" s="24"/>
      <c r="Q964" s="25">
        <v>45992</v>
      </c>
      <c r="R964" s="13">
        <v>0</v>
      </c>
      <c r="S964" s="26" t="str">
        <f>VLOOKUP(C964,'[1]Bazaar Salary'!$B$6:$J$1193,9,0)</f>
        <v>00520010154494260018</v>
      </c>
      <c r="T964" s="25" t="s">
        <v>32</v>
      </c>
      <c r="U964" s="25" t="s">
        <v>469</v>
      </c>
      <c r="V964" s="25"/>
      <c r="W964" s="27" t="s">
        <v>3580</v>
      </c>
      <c r="X964" s="28" t="s">
        <v>3581</v>
      </c>
      <c r="Y964" s="28"/>
      <c r="Z964" s="29" t="s">
        <v>37</v>
      </c>
    </row>
    <row r="965" spans="1:26" ht="30" customHeight="1" thickBot="1" x14ac:dyDescent="0.25">
      <c r="A965" s="17">
        <f t="shared" si="31"/>
        <v>964</v>
      </c>
      <c r="B965" s="18" t="s">
        <v>25</v>
      </c>
      <c r="C965" s="19">
        <v>3840102019933</v>
      </c>
      <c r="D965" s="19"/>
      <c r="E965" s="20">
        <v>42738</v>
      </c>
      <c r="F965" s="20">
        <v>46390</v>
      </c>
      <c r="G965" s="21">
        <v>27671</v>
      </c>
      <c r="H965" s="22">
        <f t="shared" ca="1" si="30"/>
        <v>50</v>
      </c>
      <c r="I965" s="19" t="s">
        <v>26</v>
      </c>
      <c r="J965" s="18" t="s">
        <v>27</v>
      </c>
      <c r="K965" s="18"/>
      <c r="L965" s="23" t="s">
        <v>3582</v>
      </c>
      <c r="M965" s="23" t="s">
        <v>3583</v>
      </c>
      <c r="N965" s="23" t="s">
        <v>1488</v>
      </c>
      <c r="O965" s="18"/>
      <c r="P965" s="24"/>
      <c r="Q965" s="25">
        <v>46157</v>
      </c>
      <c r="R965" s="13">
        <v>0</v>
      </c>
      <c r="S965" s="26" t="str">
        <f>VLOOKUP(C965,'[4]Daily Wages '!$B$6:$G$197,6,0)</f>
        <v>00520010164543210012</v>
      </c>
      <c r="T965" s="25" t="s">
        <v>32</v>
      </c>
      <c r="U965" s="25" t="s">
        <v>469</v>
      </c>
      <c r="V965" s="25"/>
      <c r="W965" s="27" t="s">
        <v>3584</v>
      </c>
      <c r="X965" s="28" t="s">
        <v>3585</v>
      </c>
      <c r="Y965" s="28"/>
      <c r="Z965" s="29" t="s">
        <v>3390</v>
      </c>
    </row>
    <row r="966" spans="1:26" ht="30" customHeight="1" thickBot="1" x14ac:dyDescent="0.25">
      <c r="A966" s="17">
        <f t="shared" si="31"/>
        <v>965</v>
      </c>
      <c r="B966" s="18" t="s">
        <v>25</v>
      </c>
      <c r="C966" s="19">
        <v>3840327273625</v>
      </c>
      <c r="D966" s="19"/>
      <c r="E966" s="20">
        <v>43189</v>
      </c>
      <c r="F966" s="20">
        <v>46842</v>
      </c>
      <c r="G966" s="21">
        <v>35431</v>
      </c>
      <c r="H966" s="22">
        <f t="shared" ca="1" si="30"/>
        <v>29</v>
      </c>
      <c r="I966" s="19" t="s">
        <v>26</v>
      </c>
      <c r="J966" s="18" t="s">
        <v>27</v>
      </c>
      <c r="K966" s="18"/>
      <c r="L966" s="23" t="s">
        <v>3575</v>
      </c>
      <c r="M966" s="23" t="s">
        <v>145</v>
      </c>
      <c r="N966" s="23" t="s">
        <v>1488</v>
      </c>
      <c r="O966" s="18"/>
      <c r="P966" s="24"/>
      <c r="Q966" s="25">
        <v>46157</v>
      </c>
      <c r="R966" s="13">
        <v>0</v>
      </c>
      <c r="S966" s="26" t="str">
        <f>VLOOKUP(C966,'[4]Daily Wages '!$B$6:$G$197,6,0)</f>
        <v>00520010164543520010</v>
      </c>
      <c r="T966" s="25" t="s">
        <v>32</v>
      </c>
      <c r="U966" s="25" t="s">
        <v>469</v>
      </c>
      <c r="V966" s="25"/>
      <c r="W966" s="27" t="s">
        <v>3586</v>
      </c>
      <c r="X966" s="28" t="s">
        <v>3587</v>
      </c>
      <c r="Y966" s="28"/>
      <c r="Z966" s="29" t="s">
        <v>3390</v>
      </c>
    </row>
    <row r="967" spans="1:26" ht="30" customHeight="1" thickBot="1" x14ac:dyDescent="0.25">
      <c r="A967" s="17">
        <f t="shared" si="31"/>
        <v>966</v>
      </c>
      <c r="B967" s="18" t="s">
        <v>25</v>
      </c>
      <c r="C967" s="19">
        <v>3840160750455</v>
      </c>
      <c r="D967" s="19"/>
      <c r="E967" s="20">
        <v>45203</v>
      </c>
      <c r="F967" s="20">
        <v>48856</v>
      </c>
      <c r="G967" s="21">
        <v>33244</v>
      </c>
      <c r="H967" s="22">
        <f t="shared" ca="1" si="30"/>
        <v>35</v>
      </c>
      <c r="I967" s="19" t="s">
        <v>26</v>
      </c>
      <c r="J967" s="18" t="s">
        <v>27</v>
      </c>
      <c r="K967" s="18"/>
      <c r="L967" s="23" t="s">
        <v>2520</v>
      </c>
      <c r="M967" s="23" t="s">
        <v>3588</v>
      </c>
      <c r="N967" s="23" t="s">
        <v>1499</v>
      </c>
      <c r="O967" s="18"/>
      <c r="P967" s="24"/>
      <c r="Q967" s="25">
        <v>46071</v>
      </c>
      <c r="R967" s="13">
        <v>0</v>
      </c>
      <c r="S967" s="26" t="str">
        <f>VLOOKUP(C967,'[4]Daily Wages '!$B$6:$G$197,6,0)</f>
        <v>00520010160108230016</v>
      </c>
      <c r="T967" s="25" t="s">
        <v>32</v>
      </c>
      <c r="U967" s="25" t="s">
        <v>469</v>
      </c>
      <c r="V967" s="25"/>
      <c r="W967" s="27" t="s">
        <v>3589</v>
      </c>
      <c r="X967" s="28" t="s">
        <v>3590</v>
      </c>
      <c r="Y967" s="28"/>
      <c r="Z967" s="29" t="s">
        <v>3390</v>
      </c>
    </row>
    <row r="968" spans="1:26" ht="30" customHeight="1" thickBot="1" x14ac:dyDescent="0.25">
      <c r="A968" s="17">
        <f t="shared" si="31"/>
        <v>967</v>
      </c>
      <c r="B968" s="18" t="s">
        <v>25</v>
      </c>
      <c r="C968" s="19">
        <v>3840191007057</v>
      </c>
      <c r="D968" s="19"/>
      <c r="E968" s="20">
        <v>45132</v>
      </c>
      <c r="F968" s="20">
        <v>48785</v>
      </c>
      <c r="G968" s="21">
        <v>28491</v>
      </c>
      <c r="H968" s="22">
        <f t="shared" ca="1" si="30"/>
        <v>48</v>
      </c>
      <c r="I968" s="19" t="s">
        <v>26</v>
      </c>
      <c r="J968" s="18" t="s">
        <v>27</v>
      </c>
      <c r="K968" s="18"/>
      <c r="L968" s="23" t="s">
        <v>68</v>
      </c>
      <c r="M968" s="23" t="s">
        <v>3591</v>
      </c>
      <c r="N968" s="23" t="s">
        <v>1499</v>
      </c>
      <c r="O968" s="18"/>
      <c r="P968" s="24"/>
      <c r="Q968" s="25">
        <v>45992</v>
      </c>
      <c r="R968" s="13">
        <v>0</v>
      </c>
      <c r="S968" s="26" t="str">
        <f>VLOOKUP(C968,'[1]Bazaar Salary'!$B$6:$J$1193,9,0)</f>
        <v>04190010146373270018</v>
      </c>
      <c r="T968" s="25" t="s">
        <v>32</v>
      </c>
      <c r="U968" s="25" t="s">
        <v>264</v>
      </c>
      <c r="V968" s="25"/>
      <c r="W968" s="27" t="s">
        <v>3592</v>
      </c>
      <c r="X968" s="28" t="s">
        <v>3593</v>
      </c>
      <c r="Y968" s="28"/>
      <c r="Z968" s="29" t="s">
        <v>37</v>
      </c>
    </row>
    <row r="969" spans="1:26" ht="30" customHeight="1" thickBot="1" x14ac:dyDescent="0.25">
      <c r="A969" s="17">
        <f t="shared" si="31"/>
        <v>968</v>
      </c>
      <c r="B969" s="18" t="s">
        <v>25</v>
      </c>
      <c r="C969" s="19">
        <v>3230372077383</v>
      </c>
      <c r="D969" s="19"/>
      <c r="E969" s="20">
        <v>45202</v>
      </c>
      <c r="F969" s="20">
        <v>48855</v>
      </c>
      <c r="G969" s="21">
        <v>34886</v>
      </c>
      <c r="H969" s="22">
        <f t="shared" ca="1" si="30"/>
        <v>30</v>
      </c>
      <c r="I969" s="19" t="s">
        <v>26</v>
      </c>
      <c r="J969" s="18" t="s">
        <v>27</v>
      </c>
      <c r="K969" s="18"/>
      <c r="L969" s="23" t="s">
        <v>3594</v>
      </c>
      <c r="M969" s="23" t="s">
        <v>785</v>
      </c>
      <c r="N969" s="23" t="s">
        <v>457</v>
      </c>
      <c r="O969" s="18"/>
      <c r="P969" s="24"/>
      <c r="Q969" s="25">
        <v>46062</v>
      </c>
      <c r="R969" s="13">
        <v>0</v>
      </c>
      <c r="S969" s="26" t="str">
        <f>VLOOKUP(C969,'[3]May-26'!$B$5:$H$89,7,0)</f>
        <v>02810010046898840025</v>
      </c>
      <c r="T969" s="25" t="s">
        <v>32</v>
      </c>
      <c r="U969" s="25" t="s">
        <v>264</v>
      </c>
      <c r="V969" s="25" t="s">
        <v>3595</v>
      </c>
      <c r="W969" s="27" t="s">
        <v>3596</v>
      </c>
      <c r="X969" s="28" t="s">
        <v>3597</v>
      </c>
      <c r="Y969" s="28"/>
      <c r="Z969" s="29" t="s">
        <v>3390</v>
      </c>
    </row>
    <row r="970" spans="1:26" ht="30" customHeight="1" thickBot="1" x14ac:dyDescent="0.25">
      <c r="A970" s="17">
        <f t="shared" si="31"/>
        <v>969</v>
      </c>
      <c r="B970" s="18" t="s">
        <v>25</v>
      </c>
      <c r="C970" s="19">
        <v>3430177808319</v>
      </c>
      <c r="D970" s="19"/>
      <c r="E970" s="20">
        <v>45404</v>
      </c>
      <c r="F970" s="20">
        <v>49056</v>
      </c>
      <c r="G970" s="21">
        <v>36816</v>
      </c>
      <c r="H970" s="22">
        <f t="shared" ca="1" si="30"/>
        <v>25</v>
      </c>
      <c r="I970" s="19" t="s">
        <v>26</v>
      </c>
      <c r="J970" s="18" t="s">
        <v>27</v>
      </c>
      <c r="K970" s="18"/>
      <c r="L970" s="23" t="s">
        <v>3598</v>
      </c>
      <c r="M970" s="23" t="s">
        <v>1910</v>
      </c>
      <c r="N970" s="23" t="s">
        <v>1488</v>
      </c>
      <c r="O970" s="18"/>
      <c r="P970" s="24"/>
      <c r="Q970" s="25">
        <v>46069</v>
      </c>
      <c r="R970" s="13">
        <v>0</v>
      </c>
      <c r="S970" s="26" t="str">
        <f>VLOOKUP(C970,'[4]Daily Wages '!$B$6:$G$197,6,0)</f>
        <v>06150010160765300017</v>
      </c>
      <c r="T970" s="25" t="s">
        <v>32</v>
      </c>
      <c r="U970" s="25" t="s">
        <v>264</v>
      </c>
      <c r="V970" s="25"/>
      <c r="W970" s="27" t="s">
        <v>3599</v>
      </c>
      <c r="X970" s="28" t="s">
        <v>3600</v>
      </c>
      <c r="Y970" s="28"/>
      <c r="Z970" s="29" t="s">
        <v>3390</v>
      </c>
    </row>
    <row r="971" spans="1:26" ht="30" customHeight="1" thickBot="1" x14ac:dyDescent="0.25">
      <c r="A971" s="17">
        <f t="shared" si="31"/>
        <v>970</v>
      </c>
      <c r="B971" s="18" t="s">
        <v>25</v>
      </c>
      <c r="C971" s="19">
        <v>3640191273779</v>
      </c>
      <c r="D971" s="19"/>
      <c r="E971" s="20">
        <v>44998</v>
      </c>
      <c r="F971" s="20">
        <v>48651</v>
      </c>
      <c r="G971" s="21">
        <v>38471</v>
      </c>
      <c r="H971" s="22">
        <f t="shared" ca="1" si="30"/>
        <v>21</v>
      </c>
      <c r="I971" s="19" t="s">
        <v>26</v>
      </c>
      <c r="J971" s="18" t="s">
        <v>27</v>
      </c>
      <c r="K971" s="18"/>
      <c r="L971" s="23" t="s">
        <v>3601</v>
      </c>
      <c r="M971" s="23" t="s">
        <v>3602</v>
      </c>
      <c r="N971" s="23" t="s">
        <v>1295</v>
      </c>
      <c r="O971" s="18"/>
      <c r="P971" s="24"/>
      <c r="Q971" s="25">
        <v>46022</v>
      </c>
      <c r="R971" s="13">
        <v>0</v>
      </c>
      <c r="S971" s="26" t="str">
        <f>VLOOKUP(C971,'[1]Bazaar Salary'!$B$6:$J$1193,9,0)</f>
        <v>06120010158083800011</v>
      </c>
      <c r="T971" s="25" t="s">
        <v>32</v>
      </c>
      <c r="U971" s="25" t="s">
        <v>270</v>
      </c>
      <c r="V971" s="25"/>
      <c r="W971" s="27" t="s">
        <v>738</v>
      </c>
      <c r="X971" s="28" t="s">
        <v>3603</v>
      </c>
      <c r="Y971" s="28"/>
      <c r="Z971" s="29" t="s">
        <v>37</v>
      </c>
    </row>
    <row r="972" spans="1:26" ht="30" customHeight="1" thickBot="1" x14ac:dyDescent="0.25">
      <c r="A972" s="17">
        <f t="shared" si="31"/>
        <v>971</v>
      </c>
      <c r="B972" s="18" t="s">
        <v>25</v>
      </c>
      <c r="C972" s="19">
        <v>3660128648365</v>
      </c>
      <c r="D972" s="19"/>
      <c r="E972" s="20">
        <v>45754</v>
      </c>
      <c r="F972" s="20">
        <v>49406</v>
      </c>
      <c r="G972" s="21">
        <v>35331</v>
      </c>
      <c r="H972" s="22">
        <f t="shared" ca="1" si="30"/>
        <v>29</v>
      </c>
      <c r="I972" s="19" t="s">
        <v>26</v>
      </c>
      <c r="J972" s="18" t="s">
        <v>27</v>
      </c>
      <c r="K972" s="18"/>
      <c r="L972" s="23" t="s">
        <v>3604</v>
      </c>
      <c r="M972" s="23" t="s">
        <v>974</v>
      </c>
      <c r="N972" s="23" t="s">
        <v>1295</v>
      </c>
      <c r="O972" s="18"/>
      <c r="P972" s="24"/>
      <c r="Q972" s="25">
        <v>46037</v>
      </c>
      <c r="R972" s="13">
        <v>0</v>
      </c>
      <c r="S972" s="26" t="str">
        <f>VLOOKUP(C972,'[1]Bazaar Salary'!$B$6:$J$1193,9,0)</f>
        <v>06120010158750160019</v>
      </c>
      <c r="T972" s="25" t="s">
        <v>32</v>
      </c>
      <c r="U972" s="25" t="s">
        <v>270</v>
      </c>
      <c r="V972" s="25"/>
      <c r="W972" s="27" t="s">
        <v>3605</v>
      </c>
      <c r="X972" s="28" t="s">
        <v>3606</v>
      </c>
      <c r="Y972" s="28"/>
      <c r="Z972" s="29" t="s">
        <v>37</v>
      </c>
    </row>
    <row r="973" spans="1:26" ht="30" customHeight="1" thickBot="1" x14ac:dyDescent="0.25">
      <c r="A973" s="17">
        <f t="shared" si="31"/>
        <v>972</v>
      </c>
      <c r="B973" s="18" t="s">
        <v>25</v>
      </c>
      <c r="C973" s="19">
        <v>3510337144329</v>
      </c>
      <c r="D973" s="19"/>
      <c r="E973" s="20">
        <v>43670</v>
      </c>
      <c r="F973" s="20">
        <v>47323</v>
      </c>
      <c r="G973" s="21">
        <v>36422</v>
      </c>
      <c r="H973" s="22">
        <f t="shared" ca="1" si="30"/>
        <v>26</v>
      </c>
      <c r="I973" s="19" t="s">
        <v>26</v>
      </c>
      <c r="J973" s="18" t="s">
        <v>27</v>
      </c>
      <c r="K973" s="18"/>
      <c r="L973" s="23" t="s">
        <v>3607</v>
      </c>
      <c r="M973" s="23" t="s">
        <v>3608</v>
      </c>
      <c r="N973" s="24" t="s">
        <v>1295</v>
      </c>
      <c r="O973" s="18"/>
      <c r="P973" s="24"/>
      <c r="Q973" s="25">
        <v>45992</v>
      </c>
      <c r="R973" s="13">
        <v>0</v>
      </c>
      <c r="S973" s="26" t="str">
        <f>VLOOKUP(C973,'[1]Bazaar Salary'!$B$6:$J$1193,9,0)</f>
        <v>09000010152398210013</v>
      </c>
      <c r="T973" s="25" t="s">
        <v>32</v>
      </c>
      <c r="U973" s="25" t="s">
        <v>270</v>
      </c>
      <c r="V973" s="25" t="s">
        <v>3609</v>
      </c>
      <c r="W973" s="27" t="s">
        <v>3610</v>
      </c>
      <c r="X973" s="28" t="s">
        <v>3611</v>
      </c>
      <c r="Y973" s="28"/>
      <c r="Z973" s="29" t="s">
        <v>37</v>
      </c>
    </row>
    <row r="974" spans="1:26" ht="30" customHeight="1" thickBot="1" x14ac:dyDescent="0.25">
      <c r="A974" s="17">
        <f t="shared" si="31"/>
        <v>973</v>
      </c>
      <c r="B974" s="18" t="s">
        <v>25</v>
      </c>
      <c r="C974" s="19">
        <v>3660167782253</v>
      </c>
      <c r="D974" s="19"/>
      <c r="E974" s="20">
        <v>45134</v>
      </c>
      <c r="F974" s="20">
        <v>48787</v>
      </c>
      <c r="G974" s="21">
        <v>38505</v>
      </c>
      <c r="H974" s="22">
        <f t="shared" ca="1" si="30"/>
        <v>21</v>
      </c>
      <c r="I974" s="19" t="s">
        <v>26</v>
      </c>
      <c r="J974" s="18" t="s">
        <v>27</v>
      </c>
      <c r="K974" s="18"/>
      <c r="L974" s="23" t="s">
        <v>3612</v>
      </c>
      <c r="M974" s="23" t="s">
        <v>1258</v>
      </c>
      <c r="N974" s="24" t="s">
        <v>1295</v>
      </c>
      <c r="O974" s="18"/>
      <c r="P974" s="24"/>
      <c r="Q974" s="25">
        <v>45992</v>
      </c>
      <c r="R974" s="13">
        <v>0</v>
      </c>
      <c r="S974" s="26" t="str">
        <f>VLOOKUP(C974,'[1]Bazaar Salary'!$B$6:$J$1193,9,0)</f>
        <v>51260020153947060011</v>
      </c>
      <c r="T974" s="25" t="s">
        <v>32</v>
      </c>
      <c r="U974" s="25" t="s">
        <v>270</v>
      </c>
      <c r="V974" s="25" t="s">
        <v>3391</v>
      </c>
      <c r="W974" s="27" t="s">
        <v>3613</v>
      </c>
      <c r="X974" s="28" t="s">
        <v>3614</v>
      </c>
      <c r="Y974" s="28"/>
      <c r="Z974" s="29" t="s">
        <v>37</v>
      </c>
    </row>
    <row r="975" spans="1:26" ht="30" customHeight="1" thickBot="1" x14ac:dyDescent="0.25">
      <c r="A975" s="17">
        <f t="shared" si="31"/>
        <v>974</v>
      </c>
      <c r="B975" s="18" t="s">
        <v>25</v>
      </c>
      <c r="C975" s="19">
        <v>3660193159413</v>
      </c>
      <c r="D975" s="19"/>
      <c r="E975" s="20">
        <v>45952</v>
      </c>
      <c r="F975" s="20">
        <v>49604</v>
      </c>
      <c r="G975" s="21">
        <v>39307</v>
      </c>
      <c r="H975" s="22">
        <f t="shared" ca="1" si="30"/>
        <v>18</v>
      </c>
      <c r="I975" s="19" t="s">
        <v>26</v>
      </c>
      <c r="J975" s="18" t="s">
        <v>27</v>
      </c>
      <c r="K975" s="18"/>
      <c r="L975" s="23" t="s">
        <v>402</v>
      </c>
      <c r="M975" s="23" t="s">
        <v>1100</v>
      </c>
      <c r="N975" s="23" t="s">
        <v>1499</v>
      </c>
      <c r="O975" s="18"/>
      <c r="P975" s="24"/>
      <c r="Q975" s="25">
        <v>46031</v>
      </c>
      <c r="R975" s="13">
        <v>0</v>
      </c>
      <c r="S975" s="26" t="str">
        <f>VLOOKUP(C975,'[1]Bazaar Salary'!$B$6:$J$1193,9,0)</f>
        <v>06120010159371040012</v>
      </c>
      <c r="T975" s="25" t="s">
        <v>32</v>
      </c>
      <c r="U975" s="25" t="s">
        <v>270</v>
      </c>
      <c r="V975" s="25"/>
      <c r="W975" s="27" t="s">
        <v>3615</v>
      </c>
      <c r="X975" s="28" t="s">
        <v>3616</v>
      </c>
      <c r="Y975" s="28"/>
      <c r="Z975" s="29" t="s">
        <v>37</v>
      </c>
    </row>
    <row r="976" spans="1:26" ht="30" customHeight="1" thickBot="1" x14ac:dyDescent="0.25">
      <c r="A976" s="17">
        <f t="shared" si="31"/>
        <v>975</v>
      </c>
      <c r="B976" s="18" t="s">
        <v>25</v>
      </c>
      <c r="C976" s="19">
        <v>3660108324201</v>
      </c>
      <c r="D976" s="19"/>
      <c r="E976" s="20">
        <v>45461</v>
      </c>
      <c r="F976" s="20">
        <v>49113</v>
      </c>
      <c r="G976" s="21">
        <v>38568</v>
      </c>
      <c r="H976" s="22">
        <f t="shared" ca="1" si="30"/>
        <v>20</v>
      </c>
      <c r="I976" s="19" t="s">
        <v>26</v>
      </c>
      <c r="J976" s="18" t="s">
        <v>27</v>
      </c>
      <c r="K976" s="18"/>
      <c r="L976" s="23" t="s">
        <v>3617</v>
      </c>
      <c r="M976" s="23" t="s">
        <v>1621</v>
      </c>
      <c r="N976" s="23" t="s">
        <v>1499</v>
      </c>
      <c r="O976" s="18"/>
      <c r="P976" s="24"/>
      <c r="Q976" s="25">
        <v>45996</v>
      </c>
      <c r="R976" s="13">
        <v>0</v>
      </c>
      <c r="S976" s="26" t="str">
        <f>VLOOKUP(C976,'[1]Bazaar Salary'!$B$6:$J$1193,9,0)</f>
        <v>06120010157497830011</v>
      </c>
      <c r="T976" s="25" t="s">
        <v>32</v>
      </c>
      <c r="U976" s="25" t="s">
        <v>270</v>
      </c>
      <c r="V976" s="25"/>
      <c r="W976" s="27" t="s">
        <v>3618</v>
      </c>
      <c r="X976" s="28" t="s">
        <v>3619</v>
      </c>
      <c r="Y976" s="28"/>
      <c r="Z976" s="29" t="s">
        <v>37</v>
      </c>
    </row>
    <row r="977" spans="1:26" ht="30" customHeight="1" thickBot="1" x14ac:dyDescent="0.25">
      <c r="A977" s="17">
        <f t="shared" si="31"/>
        <v>976</v>
      </c>
      <c r="B977" s="18" t="s">
        <v>25</v>
      </c>
      <c r="C977" s="19">
        <v>3520273956351</v>
      </c>
      <c r="D977" s="19"/>
      <c r="E977" s="20">
        <v>43848</v>
      </c>
      <c r="F977" s="20">
        <v>47501</v>
      </c>
      <c r="G977" s="21">
        <v>37155</v>
      </c>
      <c r="H977" s="22">
        <f t="shared" ca="1" si="30"/>
        <v>24</v>
      </c>
      <c r="I977" s="19" t="s">
        <v>26</v>
      </c>
      <c r="J977" s="18" t="s">
        <v>27</v>
      </c>
      <c r="K977" s="18"/>
      <c r="L977" s="23" t="s">
        <v>3620</v>
      </c>
      <c r="M977" s="23" t="s">
        <v>3621</v>
      </c>
      <c r="N977" s="23" t="s">
        <v>1295</v>
      </c>
      <c r="O977" s="18"/>
      <c r="P977" s="24"/>
      <c r="Q977" s="25">
        <v>46065</v>
      </c>
      <c r="R977" s="13">
        <v>0</v>
      </c>
      <c r="S977" s="26" t="str">
        <f>VLOOKUP(C977,'[3]May-26'!$B$5:$H$89,7,0)</f>
        <v>51260020160102150014</v>
      </c>
      <c r="T977" s="25" t="s">
        <v>32</v>
      </c>
      <c r="U977" s="25" t="s">
        <v>270</v>
      </c>
      <c r="V977" s="25" t="s">
        <v>884</v>
      </c>
      <c r="W977" s="27" t="s">
        <v>3622</v>
      </c>
      <c r="X977" s="28" t="s">
        <v>3623</v>
      </c>
      <c r="Y977" s="28"/>
      <c r="Z977" s="29" t="s">
        <v>3390</v>
      </c>
    </row>
    <row r="978" spans="1:26" ht="30" customHeight="1" thickBot="1" x14ac:dyDescent="0.25">
      <c r="A978" s="17">
        <f t="shared" si="31"/>
        <v>977</v>
      </c>
      <c r="B978" s="18" t="s">
        <v>25</v>
      </c>
      <c r="C978" s="19">
        <v>3660157434809</v>
      </c>
      <c r="D978" s="19"/>
      <c r="E978" s="20">
        <v>45824</v>
      </c>
      <c r="F978" s="20">
        <v>49476</v>
      </c>
      <c r="G978" s="21">
        <v>35291</v>
      </c>
      <c r="H978" s="22">
        <f t="shared" ca="1" si="30"/>
        <v>29</v>
      </c>
      <c r="I978" s="19" t="s">
        <v>912</v>
      </c>
      <c r="J978" s="18" t="s">
        <v>27</v>
      </c>
      <c r="K978" s="18"/>
      <c r="L978" s="23" t="s">
        <v>2040</v>
      </c>
      <c r="M978" s="23" t="s">
        <v>3624</v>
      </c>
      <c r="N978" s="23" t="s">
        <v>1488</v>
      </c>
      <c r="O978" s="18"/>
      <c r="P978" s="24"/>
      <c r="Q978" s="25">
        <v>46062</v>
      </c>
      <c r="R978" s="13">
        <v>0</v>
      </c>
      <c r="S978" s="26" t="str">
        <f>VLOOKUP(C978,'[4]Daily Wages '!$B$6:$G$197,6,0)</f>
        <v>51260020160105010019</v>
      </c>
      <c r="T978" s="25" t="s">
        <v>32</v>
      </c>
      <c r="U978" s="25" t="s">
        <v>270</v>
      </c>
      <c r="V978" s="25"/>
      <c r="W978" s="27" t="s">
        <v>3625</v>
      </c>
      <c r="X978" s="28" t="s">
        <v>3626</v>
      </c>
      <c r="Y978" s="28"/>
      <c r="Z978" s="29" t="s">
        <v>3390</v>
      </c>
    </row>
    <row r="979" spans="1:26" ht="30" customHeight="1" thickBot="1" x14ac:dyDescent="0.25">
      <c r="A979" s="17">
        <f t="shared" si="31"/>
        <v>978</v>
      </c>
      <c r="B979" s="18" t="s">
        <v>25</v>
      </c>
      <c r="C979" s="19">
        <v>3660189714757</v>
      </c>
      <c r="D979" s="19"/>
      <c r="E979" s="20">
        <v>43852</v>
      </c>
      <c r="F979" s="20">
        <v>47505</v>
      </c>
      <c r="G979" s="21">
        <v>37365</v>
      </c>
      <c r="H979" s="22">
        <f t="shared" ca="1" si="30"/>
        <v>24</v>
      </c>
      <c r="I979" s="19" t="s">
        <v>912</v>
      </c>
      <c r="J979" s="18" t="s">
        <v>27</v>
      </c>
      <c r="K979" s="18"/>
      <c r="L979" s="23" t="s">
        <v>3627</v>
      </c>
      <c r="M979" s="23" t="s">
        <v>2179</v>
      </c>
      <c r="N979" s="23" t="s">
        <v>1488</v>
      </c>
      <c r="O979" s="18"/>
      <c r="P979" s="24"/>
      <c r="Q979" s="25">
        <v>46065</v>
      </c>
      <c r="R979" s="13">
        <v>0</v>
      </c>
      <c r="S979" s="26" t="str">
        <f>VLOOKUP(C979,'[4]Daily Wages '!$B$6:$G$197,6,0)</f>
        <v>00540010160759540019</v>
      </c>
      <c r="T979" s="25" t="s">
        <v>32</v>
      </c>
      <c r="U979" s="25" t="s">
        <v>270</v>
      </c>
      <c r="V979" s="25"/>
      <c r="W979" s="27" t="s">
        <v>3628</v>
      </c>
      <c r="X979" s="28" t="s">
        <v>3629</v>
      </c>
      <c r="Y979" s="28"/>
      <c r="Z979" s="29" t="s">
        <v>3390</v>
      </c>
    </row>
    <row r="980" spans="1:26" ht="30" customHeight="1" thickBot="1" x14ac:dyDescent="0.25">
      <c r="A980" s="17">
        <f t="shared" si="31"/>
        <v>979</v>
      </c>
      <c r="B980" s="18" t="s">
        <v>25</v>
      </c>
      <c r="C980" s="19">
        <v>3310083020231</v>
      </c>
      <c r="D980" s="19"/>
      <c r="E980" s="20">
        <v>43129</v>
      </c>
      <c r="F980" s="20">
        <v>46781</v>
      </c>
      <c r="G980" s="21">
        <v>30952</v>
      </c>
      <c r="H980" s="22">
        <f t="shared" ca="1" si="30"/>
        <v>41</v>
      </c>
      <c r="I980" s="19" t="s">
        <v>912</v>
      </c>
      <c r="J980" s="18" t="s">
        <v>27</v>
      </c>
      <c r="K980" s="18"/>
      <c r="L980" s="23" t="s">
        <v>2043</v>
      </c>
      <c r="M980" s="23" t="s">
        <v>1971</v>
      </c>
      <c r="N980" s="23" t="s">
        <v>1488</v>
      </c>
      <c r="O980" s="18"/>
      <c r="P980" s="24"/>
      <c r="Q980" s="25">
        <v>46062</v>
      </c>
      <c r="R980" s="13">
        <v>0</v>
      </c>
      <c r="S980" s="26" t="str">
        <f>VLOOKUP(C980,'[4]Daily Wages '!$B$6:$G$197,6,0)</f>
        <v>00540010077357030010</v>
      </c>
      <c r="T980" s="25" t="s">
        <v>32</v>
      </c>
      <c r="U980" s="25" t="s">
        <v>270</v>
      </c>
      <c r="V980" s="25"/>
      <c r="W980" s="27" t="s">
        <v>3630</v>
      </c>
      <c r="X980" s="28" t="s">
        <v>3631</v>
      </c>
      <c r="Y980" s="28"/>
      <c r="Z980" s="29" t="s">
        <v>3390</v>
      </c>
    </row>
    <row r="981" spans="1:26" ht="30" customHeight="1" thickBot="1" x14ac:dyDescent="0.25">
      <c r="A981" s="17">
        <f t="shared" si="31"/>
        <v>980</v>
      </c>
      <c r="B981" s="18" t="s">
        <v>25</v>
      </c>
      <c r="C981" s="19">
        <v>3660138173423</v>
      </c>
      <c r="D981" s="19"/>
      <c r="E981" s="20">
        <v>45462</v>
      </c>
      <c r="F981" s="20">
        <v>49114</v>
      </c>
      <c r="G981" s="21">
        <v>30441</v>
      </c>
      <c r="H981" s="22">
        <f t="shared" ca="1" si="30"/>
        <v>43</v>
      </c>
      <c r="I981" s="19" t="s">
        <v>912</v>
      </c>
      <c r="J981" s="18" t="s">
        <v>27</v>
      </c>
      <c r="K981" s="18"/>
      <c r="L981" s="23" t="s">
        <v>3632</v>
      </c>
      <c r="M981" s="23" t="s">
        <v>3633</v>
      </c>
      <c r="N981" s="23" t="s">
        <v>1488</v>
      </c>
      <c r="O981" s="18"/>
      <c r="P981" s="24"/>
      <c r="Q981" s="25">
        <v>46062</v>
      </c>
      <c r="R981" s="13">
        <v>0</v>
      </c>
      <c r="S981" s="26" t="str">
        <f>VLOOKUP(C981,'[4]Daily Wages '!$B$6:$G$197,6,0)</f>
        <v>00540010077356380010</v>
      </c>
      <c r="T981" s="25" t="s">
        <v>32</v>
      </c>
      <c r="U981" s="25" t="s">
        <v>270</v>
      </c>
      <c r="V981" s="25"/>
      <c r="W981" s="27" t="s">
        <v>3634</v>
      </c>
      <c r="X981" s="28" t="s">
        <v>3635</v>
      </c>
      <c r="Y981" s="28"/>
      <c r="Z981" s="29" t="s">
        <v>3390</v>
      </c>
    </row>
    <row r="982" spans="1:26" ht="30" customHeight="1" thickBot="1" x14ac:dyDescent="0.25">
      <c r="A982" s="17">
        <f t="shared" si="31"/>
        <v>981</v>
      </c>
      <c r="B982" s="18" t="s">
        <v>25</v>
      </c>
      <c r="C982" s="19">
        <v>3660197607257</v>
      </c>
      <c r="D982" s="19"/>
      <c r="E982" s="20">
        <v>44880</v>
      </c>
      <c r="F982" s="20">
        <v>48533</v>
      </c>
      <c r="G982" s="21">
        <v>26038</v>
      </c>
      <c r="H982" s="22">
        <f t="shared" ca="1" si="30"/>
        <v>55</v>
      </c>
      <c r="I982" s="19" t="s">
        <v>26</v>
      </c>
      <c r="J982" s="18" t="s">
        <v>27</v>
      </c>
      <c r="K982" s="18"/>
      <c r="L982" s="23" t="s">
        <v>3044</v>
      </c>
      <c r="M982" s="23" t="s">
        <v>3636</v>
      </c>
      <c r="N982" s="23" t="s">
        <v>1499</v>
      </c>
      <c r="O982" s="18"/>
      <c r="P982" s="24"/>
      <c r="Q982" s="25">
        <v>46080</v>
      </c>
      <c r="R982" s="13">
        <v>0</v>
      </c>
      <c r="S982" s="26" t="str">
        <f>VLOOKUP(C982,'[4]Daily Wages '!$B$6:$G$197,6,0)</f>
        <v>00540010160597140011</v>
      </c>
      <c r="T982" s="25" t="s">
        <v>32</v>
      </c>
      <c r="U982" s="25" t="s">
        <v>270</v>
      </c>
      <c r="V982" s="25"/>
      <c r="W982" s="27" t="s">
        <v>3637</v>
      </c>
      <c r="X982" s="28" t="s">
        <v>3638</v>
      </c>
      <c r="Y982" s="28"/>
      <c r="Z982" s="29" t="s">
        <v>3390</v>
      </c>
    </row>
    <row r="983" spans="1:26" ht="30" customHeight="1" thickBot="1" x14ac:dyDescent="0.25">
      <c r="A983" s="17">
        <f t="shared" si="31"/>
        <v>982</v>
      </c>
      <c r="B983" s="18" t="s">
        <v>25</v>
      </c>
      <c r="C983" s="19">
        <v>3110205344179</v>
      </c>
      <c r="D983" s="19"/>
      <c r="E983" s="20">
        <v>45582</v>
      </c>
      <c r="F983" s="20">
        <v>49234</v>
      </c>
      <c r="G983" s="21">
        <v>31354</v>
      </c>
      <c r="H983" s="22">
        <f t="shared" ca="1" si="30"/>
        <v>40</v>
      </c>
      <c r="I983" s="19" t="s">
        <v>26</v>
      </c>
      <c r="J983" s="18" t="s">
        <v>27</v>
      </c>
      <c r="K983" s="18"/>
      <c r="L983" s="23" t="s">
        <v>1786</v>
      </c>
      <c r="M983" s="23" t="s">
        <v>1028</v>
      </c>
      <c r="N983" s="23" t="s">
        <v>1499</v>
      </c>
      <c r="O983" s="18"/>
      <c r="P983" s="24"/>
      <c r="Q983" s="25">
        <v>46069</v>
      </c>
      <c r="R983" s="13">
        <v>0</v>
      </c>
      <c r="S983" s="26" t="str">
        <f>VLOOKUP(C983,'[4]Daily Wages '!$B$6:$G$197,6,0)</f>
        <v>00540010160478910014</v>
      </c>
      <c r="T983" s="25" t="s">
        <v>32</v>
      </c>
      <c r="U983" s="25" t="s">
        <v>270</v>
      </c>
      <c r="V983" s="25"/>
      <c r="W983" s="27" t="s">
        <v>3639</v>
      </c>
      <c r="X983" s="28" t="s">
        <v>3640</v>
      </c>
      <c r="Y983" s="28"/>
      <c r="Z983" s="29" t="s">
        <v>3390</v>
      </c>
    </row>
    <row r="984" spans="1:26" ht="30" customHeight="1" thickBot="1" x14ac:dyDescent="0.25">
      <c r="A984" s="17">
        <f t="shared" si="31"/>
        <v>983</v>
      </c>
      <c r="B984" s="18" t="s">
        <v>25</v>
      </c>
      <c r="C984" s="19">
        <v>3660191055769</v>
      </c>
      <c r="D984" s="19"/>
      <c r="E984" s="20">
        <v>44214</v>
      </c>
      <c r="F984" s="20">
        <v>47866</v>
      </c>
      <c r="G984" s="21">
        <v>31641</v>
      </c>
      <c r="H984" s="22">
        <f t="shared" ca="1" si="30"/>
        <v>39</v>
      </c>
      <c r="I984" s="19" t="s">
        <v>26</v>
      </c>
      <c r="J984" s="18" t="s">
        <v>27</v>
      </c>
      <c r="K984" s="18"/>
      <c r="L984" s="23" t="s">
        <v>1178</v>
      </c>
      <c r="M984" s="23" t="s">
        <v>971</v>
      </c>
      <c r="N984" s="23" t="s">
        <v>1499</v>
      </c>
      <c r="O984" s="18"/>
      <c r="P984" s="24"/>
      <c r="Q984" s="25">
        <v>46174</v>
      </c>
      <c r="R984" s="13">
        <v>0</v>
      </c>
      <c r="S984" s="26"/>
      <c r="T984" s="25"/>
      <c r="U984" s="25" t="s">
        <v>270</v>
      </c>
      <c r="V984" s="25"/>
      <c r="W984" s="27" t="s">
        <v>3641</v>
      </c>
      <c r="X984" s="28" t="s">
        <v>3642</v>
      </c>
      <c r="Y984" s="28"/>
      <c r="Z984" s="29" t="s">
        <v>3390</v>
      </c>
    </row>
    <row r="985" spans="1:26" ht="30" customHeight="1" thickBot="1" x14ac:dyDescent="0.25">
      <c r="A985" s="17">
        <f t="shared" si="31"/>
        <v>984</v>
      </c>
      <c r="B985" s="18" t="s">
        <v>25</v>
      </c>
      <c r="C985" s="19">
        <v>3660139714143</v>
      </c>
      <c r="D985" s="19"/>
      <c r="E985" s="20">
        <v>45152</v>
      </c>
      <c r="F985" s="20">
        <v>48805</v>
      </c>
      <c r="G985" s="21">
        <v>38669</v>
      </c>
      <c r="H985" s="22">
        <f t="shared" ca="1" si="30"/>
        <v>20</v>
      </c>
      <c r="I985" s="19" t="s">
        <v>26</v>
      </c>
      <c r="J985" s="18" t="s">
        <v>27</v>
      </c>
      <c r="K985" s="18"/>
      <c r="L985" s="23" t="s">
        <v>3643</v>
      </c>
      <c r="M985" s="23" t="s">
        <v>3644</v>
      </c>
      <c r="N985" s="23" t="s">
        <v>1499</v>
      </c>
      <c r="O985" s="18"/>
      <c r="P985" s="24"/>
      <c r="Q985" s="25">
        <v>46066</v>
      </c>
      <c r="R985" s="13">
        <v>0</v>
      </c>
      <c r="S985" s="26" t="str">
        <f>VLOOKUP(C985,'[4]Daily Wages '!$B$6:$G$197,6,0)</f>
        <v>53760020159861910011</v>
      </c>
      <c r="T985" s="25" t="s">
        <v>32</v>
      </c>
      <c r="U985" s="25" t="s">
        <v>270</v>
      </c>
      <c r="V985" s="25"/>
      <c r="W985" s="27" t="s">
        <v>3645</v>
      </c>
      <c r="X985" s="28" t="s">
        <v>3646</v>
      </c>
      <c r="Y985" s="28"/>
      <c r="Z985" s="29" t="s">
        <v>3390</v>
      </c>
    </row>
    <row r="986" spans="1:26" ht="30" customHeight="1" thickBot="1" x14ac:dyDescent="0.25">
      <c r="A986" s="17">
        <f t="shared" si="31"/>
        <v>985</v>
      </c>
      <c r="B986" s="18" t="s">
        <v>25</v>
      </c>
      <c r="C986" s="19">
        <v>3660171102117</v>
      </c>
      <c r="D986" s="19"/>
      <c r="E986" s="20">
        <v>45536</v>
      </c>
      <c r="F986" s="20">
        <v>49188</v>
      </c>
      <c r="G986" s="21">
        <v>33832</v>
      </c>
      <c r="H986" s="22">
        <f t="shared" ca="1" si="30"/>
        <v>33</v>
      </c>
      <c r="I986" s="19" t="s">
        <v>26</v>
      </c>
      <c r="J986" s="18" t="s">
        <v>27</v>
      </c>
      <c r="K986" s="18"/>
      <c r="L986" s="23" t="s">
        <v>204</v>
      </c>
      <c r="M986" s="23" t="s">
        <v>2214</v>
      </c>
      <c r="N986" s="23" t="s">
        <v>1499</v>
      </c>
      <c r="O986" s="18"/>
      <c r="P986" s="24"/>
      <c r="Q986" s="25">
        <v>46081</v>
      </c>
      <c r="R986" s="13">
        <v>0</v>
      </c>
      <c r="S986" s="26" t="str">
        <f>VLOOKUP(C986,'[4]Daily Wages '!$B$6:$G$197,6,0)</f>
        <v>00540010160562030012</v>
      </c>
      <c r="T986" s="25" t="s">
        <v>32</v>
      </c>
      <c r="U986" s="25" t="s">
        <v>270</v>
      </c>
      <c r="V986" s="25"/>
      <c r="W986" s="27" t="s">
        <v>3637</v>
      </c>
      <c r="X986" s="28" t="s">
        <v>3647</v>
      </c>
      <c r="Y986" s="28"/>
      <c r="Z986" s="29" t="s">
        <v>3390</v>
      </c>
    </row>
    <row r="987" spans="1:26" ht="30" customHeight="1" thickBot="1" x14ac:dyDescent="0.25">
      <c r="A987" s="17">
        <f t="shared" si="31"/>
        <v>986</v>
      </c>
      <c r="B987" s="18" t="s">
        <v>25</v>
      </c>
      <c r="C987" s="19">
        <v>3520226370997</v>
      </c>
      <c r="D987" s="19"/>
      <c r="E987" s="20">
        <v>43477</v>
      </c>
      <c r="F987" s="20">
        <v>47130</v>
      </c>
      <c r="G987" s="21">
        <v>36078</v>
      </c>
      <c r="H987" s="22">
        <f t="shared" ca="1" si="30"/>
        <v>27</v>
      </c>
      <c r="I987" s="19" t="s">
        <v>26</v>
      </c>
      <c r="J987" s="18" t="s">
        <v>27</v>
      </c>
      <c r="K987" s="18"/>
      <c r="L987" s="23" t="s">
        <v>3648</v>
      </c>
      <c r="M987" s="23" t="s">
        <v>1928</v>
      </c>
      <c r="N987" s="24" t="s">
        <v>1295</v>
      </c>
      <c r="O987" s="18"/>
      <c r="P987" s="24"/>
      <c r="Q987" s="25">
        <v>46013</v>
      </c>
      <c r="R987" s="13">
        <v>0</v>
      </c>
      <c r="S987" s="26" t="str">
        <f>VLOOKUP(C987,'[1]Bazaar Salary'!$B$6:$J$1193,9,0)</f>
        <v>02880010071903700011</v>
      </c>
      <c r="T987" s="25" t="s">
        <v>32</v>
      </c>
      <c r="U987" s="25" t="s">
        <v>276</v>
      </c>
      <c r="V987" s="25"/>
      <c r="W987" s="27" t="s">
        <v>3649</v>
      </c>
      <c r="X987" s="28" t="s">
        <v>3650</v>
      </c>
      <c r="Y987" s="28"/>
      <c r="Z987" s="29" t="s">
        <v>37</v>
      </c>
    </row>
    <row r="988" spans="1:26" ht="30" customHeight="1" thickBot="1" x14ac:dyDescent="0.25">
      <c r="A988" s="17">
        <f t="shared" si="31"/>
        <v>987</v>
      </c>
      <c r="B988" s="18" t="s">
        <v>25</v>
      </c>
      <c r="C988" s="19">
        <v>3720113227879</v>
      </c>
      <c r="D988" s="19"/>
      <c r="E988" s="20">
        <v>44836</v>
      </c>
      <c r="F988" s="20">
        <v>48489</v>
      </c>
      <c r="G988" s="21">
        <v>38081</v>
      </c>
      <c r="H988" s="22">
        <f t="shared" ca="1" si="30"/>
        <v>22</v>
      </c>
      <c r="I988" s="19" t="s">
        <v>912</v>
      </c>
      <c r="J988" s="18" t="s">
        <v>27</v>
      </c>
      <c r="K988" s="18"/>
      <c r="L988" s="23" t="s">
        <v>3651</v>
      </c>
      <c r="M988" s="23" t="s">
        <v>1557</v>
      </c>
      <c r="N988" s="23" t="s">
        <v>1488</v>
      </c>
      <c r="O988" s="18"/>
      <c r="P988" s="24"/>
      <c r="Q988" s="25">
        <v>46078</v>
      </c>
      <c r="R988" s="13">
        <v>0</v>
      </c>
      <c r="S988" s="26" t="str">
        <f>VLOOKUP(C988,'[4]Daily Wages '!$B$6:$G$197,6,0)</f>
        <v>51340020135465110012</v>
      </c>
      <c r="T988" s="25" t="s">
        <v>32</v>
      </c>
      <c r="U988" s="25" t="s">
        <v>276</v>
      </c>
      <c r="V988" s="25"/>
      <c r="W988" s="27" t="s">
        <v>3652</v>
      </c>
      <c r="X988" s="28" t="s">
        <v>3653</v>
      </c>
      <c r="Y988" s="28"/>
      <c r="Z988" s="29" t="s">
        <v>3390</v>
      </c>
    </row>
    <row r="989" spans="1:26" ht="30" customHeight="1" thickBot="1" x14ac:dyDescent="0.25">
      <c r="A989" s="17">
        <f t="shared" si="31"/>
        <v>988</v>
      </c>
      <c r="B989" s="18" t="s">
        <v>25</v>
      </c>
      <c r="C989" s="19">
        <v>3720193938787</v>
      </c>
      <c r="D989" s="19"/>
      <c r="E989" s="20">
        <v>44992</v>
      </c>
      <c r="F989" s="20">
        <v>48645</v>
      </c>
      <c r="G989" s="21">
        <v>38303</v>
      </c>
      <c r="H989" s="22">
        <f t="shared" ca="1" si="30"/>
        <v>21</v>
      </c>
      <c r="I989" s="19" t="s">
        <v>912</v>
      </c>
      <c r="J989" s="18" t="s">
        <v>27</v>
      </c>
      <c r="K989" s="18"/>
      <c r="L989" s="23" t="s">
        <v>3654</v>
      </c>
      <c r="M989" s="23" t="s">
        <v>3655</v>
      </c>
      <c r="N989" s="23" t="s">
        <v>1488</v>
      </c>
      <c r="O989" s="18"/>
      <c r="P989" s="24"/>
      <c r="Q989" s="25">
        <v>46078</v>
      </c>
      <c r="R989" s="13">
        <v>0</v>
      </c>
      <c r="S989" s="26" t="str">
        <f>VLOOKUP(C989,'[4]Daily Wages '!$B$6:$G$197,6,0)</f>
        <v>51340020160956190010</v>
      </c>
      <c r="T989" s="25" t="s">
        <v>32</v>
      </c>
      <c r="U989" s="25" t="s">
        <v>276</v>
      </c>
      <c r="V989" s="25"/>
      <c r="W989" s="27" t="s">
        <v>3656</v>
      </c>
      <c r="X989" s="28" t="s">
        <v>3657</v>
      </c>
      <c r="Y989" s="28"/>
      <c r="Z989" s="29" t="s">
        <v>3390</v>
      </c>
    </row>
    <row r="990" spans="1:26" ht="30" customHeight="1" thickBot="1" x14ac:dyDescent="0.25">
      <c r="A990" s="17">
        <f t="shared" si="31"/>
        <v>989</v>
      </c>
      <c r="B990" s="18" t="s">
        <v>25</v>
      </c>
      <c r="C990" s="19">
        <v>3830288287241</v>
      </c>
      <c r="D990" s="19"/>
      <c r="E990" s="20">
        <v>42289</v>
      </c>
      <c r="F990" s="20">
        <v>45942</v>
      </c>
      <c r="G990" s="21">
        <v>34950</v>
      </c>
      <c r="H990" s="22">
        <f t="shared" ca="1" si="30"/>
        <v>30</v>
      </c>
      <c r="I990" s="19" t="s">
        <v>26</v>
      </c>
      <c r="J990" s="18" t="s">
        <v>27</v>
      </c>
      <c r="K990" s="18"/>
      <c r="L990" s="23" t="s">
        <v>3658</v>
      </c>
      <c r="M990" s="23" t="s">
        <v>894</v>
      </c>
      <c r="N990" s="23" t="s">
        <v>1499</v>
      </c>
      <c r="O990" s="18"/>
      <c r="P990" s="24"/>
      <c r="Q990" s="25">
        <v>46066</v>
      </c>
      <c r="R990" s="13">
        <v>0</v>
      </c>
      <c r="S990" s="26" t="str">
        <f>VLOOKUP(C990,'[4]Daily Wages '!$B$6:$G$197,6,0)</f>
        <v>51340020161162870014</v>
      </c>
      <c r="T990" s="25" t="s">
        <v>32</v>
      </c>
      <c r="U990" s="25" t="s">
        <v>276</v>
      </c>
      <c r="V990" s="25"/>
      <c r="W990" s="27" t="s">
        <v>3659</v>
      </c>
      <c r="X990" s="28" t="s">
        <v>3660</v>
      </c>
      <c r="Y990" s="28"/>
      <c r="Z990" s="29" t="s">
        <v>3390</v>
      </c>
    </row>
    <row r="991" spans="1:26" ht="30" customHeight="1" thickBot="1" x14ac:dyDescent="0.25">
      <c r="A991" s="17">
        <f t="shared" si="31"/>
        <v>990</v>
      </c>
      <c r="B991" s="18" t="s">
        <v>25</v>
      </c>
      <c r="C991" s="19">
        <v>3660314350513</v>
      </c>
      <c r="D991" s="19">
        <v>1938</v>
      </c>
      <c r="E991" s="20">
        <v>42514</v>
      </c>
      <c r="F991" s="20">
        <v>46166</v>
      </c>
      <c r="G991" s="21">
        <v>30615</v>
      </c>
      <c r="H991" s="22">
        <f t="shared" ca="1" si="30"/>
        <v>42</v>
      </c>
      <c r="I991" s="19" t="s">
        <v>26</v>
      </c>
      <c r="J991" s="18" t="s">
        <v>27</v>
      </c>
      <c r="K991" s="18"/>
      <c r="L991" s="23" t="s">
        <v>3661</v>
      </c>
      <c r="M991" s="23" t="s">
        <v>3662</v>
      </c>
      <c r="N991" s="24" t="s">
        <v>1295</v>
      </c>
      <c r="O991" s="18"/>
      <c r="P991" s="24"/>
      <c r="Q991" s="25">
        <v>45992</v>
      </c>
      <c r="R991" s="13">
        <v>0</v>
      </c>
      <c r="S991" s="26" t="str">
        <f>VLOOKUP(C991,'[1]Bazaar Salary'!$B$6:$J$1193,9,0)</f>
        <v>08370010146429030012</v>
      </c>
      <c r="T991" s="25" t="s">
        <v>32</v>
      </c>
      <c r="U991" s="25" t="s">
        <v>281</v>
      </c>
      <c r="V991" s="25" t="s">
        <v>3663</v>
      </c>
      <c r="W991" s="27" t="s">
        <v>3664</v>
      </c>
      <c r="X991" s="28" t="s">
        <v>3665</v>
      </c>
      <c r="Y991" s="28"/>
      <c r="Z991" s="29" t="s">
        <v>37</v>
      </c>
    </row>
    <row r="992" spans="1:26" ht="30" customHeight="1" thickBot="1" x14ac:dyDescent="0.25">
      <c r="A992" s="17">
        <f t="shared" si="31"/>
        <v>991</v>
      </c>
      <c r="B992" s="18" t="s">
        <v>25</v>
      </c>
      <c r="C992" s="19">
        <v>3520101549635</v>
      </c>
      <c r="D992" s="19">
        <v>1926</v>
      </c>
      <c r="E992" s="20">
        <v>45673</v>
      </c>
      <c r="F992" s="20">
        <v>49325</v>
      </c>
      <c r="G992" s="21">
        <v>34009</v>
      </c>
      <c r="H992" s="22">
        <f t="shared" ca="1" si="30"/>
        <v>33</v>
      </c>
      <c r="I992" s="19" t="s">
        <v>912</v>
      </c>
      <c r="J992" s="18" t="s">
        <v>27</v>
      </c>
      <c r="K992" s="18"/>
      <c r="L992" s="23" t="s">
        <v>3666</v>
      </c>
      <c r="M992" s="23" t="s">
        <v>3667</v>
      </c>
      <c r="N992" s="23" t="s">
        <v>1488</v>
      </c>
      <c r="O992" s="18"/>
      <c r="P992" s="24"/>
      <c r="Q992" s="25">
        <v>45992</v>
      </c>
      <c r="R992" s="13">
        <v>0</v>
      </c>
      <c r="S992" s="26" t="str">
        <f>VLOOKUP(C992,'[1]Bazaar Salary'!$B$6:$J$1193,9,0)</f>
        <v>07040010151053030017</v>
      </c>
      <c r="T992" s="25" t="s">
        <v>32</v>
      </c>
      <c r="U992" s="25" t="s">
        <v>281</v>
      </c>
      <c r="V992" s="25"/>
      <c r="W992" s="27" t="s">
        <v>3668</v>
      </c>
      <c r="X992" s="28" t="s">
        <v>3669</v>
      </c>
      <c r="Y992" s="28"/>
      <c r="Z992" s="29" t="s">
        <v>37</v>
      </c>
    </row>
    <row r="993" spans="1:26" ht="30" customHeight="1" thickBot="1" x14ac:dyDescent="0.25">
      <c r="A993" s="17">
        <f t="shared" si="31"/>
        <v>992</v>
      </c>
      <c r="B993" s="18" t="s">
        <v>25</v>
      </c>
      <c r="C993" s="19">
        <v>3520135717925</v>
      </c>
      <c r="D993" s="19"/>
      <c r="E993" s="20">
        <v>45177</v>
      </c>
      <c r="F993" s="20">
        <v>48830</v>
      </c>
      <c r="G993" s="21">
        <v>38582</v>
      </c>
      <c r="H993" s="22">
        <f t="shared" ca="1" si="30"/>
        <v>20</v>
      </c>
      <c r="I993" s="19" t="s">
        <v>26</v>
      </c>
      <c r="J993" s="18" t="s">
        <v>27</v>
      </c>
      <c r="K993" s="18"/>
      <c r="L993" s="23" t="s">
        <v>3670</v>
      </c>
      <c r="M993" s="23" t="s">
        <v>2020</v>
      </c>
      <c r="N993" s="23" t="s">
        <v>1499</v>
      </c>
      <c r="O993" s="18"/>
      <c r="P993" s="24"/>
      <c r="Q993" s="25">
        <v>46037</v>
      </c>
      <c r="R993" s="13">
        <v>0</v>
      </c>
      <c r="S993" s="26" t="str">
        <f>VLOOKUP(C993,'[1]Bazaar Salary'!$B$6:$J$1193,9,0)</f>
        <v>02130010158748470014</v>
      </c>
      <c r="T993" s="25" t="s">
        <v>32</v>
      </c>
      <c r="U993" s="25" t="s">
        <v>281</v>
      </c>
      <c r="V993" s="25"/>
      <c r="W993" s="27" t="s">
        <v>3671</v>
      </c>
      <c r="X993" s="28" t="s">
        <v>3672</v>
      </c>
      <c r="Y993" s="28"/>
      <c r="Z993" s="29" t="s">
        <v>37</v>
      </c>
    </row>
    <row r="994" spans="1:26" ht="30" customHeight="1" thickBot="1" x14ac:dyDescent="0.25">
      <c r="A994" s="17">
        <f t="shared" si="31"/>
        <v>993</v>
      </c>
      <c r="B994" s="18" t="s">
        <v>25</v>
      </c>
      <c r="C994" s="19">
        <v>3520122819053</v>
      </c>
      <c r="D994" s="19">
        <v>1914</v>
      </c>
      <c r="E994" s="20">
        <v>42746</v>
      </c>
      <c r="F994" s="20">
        <v>46398</v>
      </c>
      <c r="G994" s="21">
        <v>35431</v>
      </c>
      <c r="H994" s="22">
        <f t="shared" ca="1" si="30"/>
        <v>29</v>
      </c>
      <c r="I994" s="19" t="s">
        <v>26</v>
      </c>
      <c r="J994" s="18" t="s">
        <v>27</v>
      </c>
      <c r="K994" s="18"/>
      <c r="L994" s="23" t="s">
        <v>3673</v>
      </c>
      <c r="M994" s="23" t="s">
        <v>1773</v>
      </c>
      <c r="N994" s="23" t="s">
        <v>1499</v>
      </c>
      <c r="O994" s="18"/>
      <c r="P994" s="24"/>
      <c r="Q994" s="25">
        <v>45992</v>
      </c>
      <c r="R994" s="13">
        <v>0</v>
      </c>
      <c r="S994" s="26" t="str">
        <f>VLOOKUP(C994,'[1]Bazaar Salary'!$B$6:$J$1193,9,0)</f>
        <v>07040010147490770018</v>
      </c>
      <c r="T994" s="25" t="s">
        <v>32</v>
      </c>
      <c r="U994" s="25" t="s">
        <v>281</v>
      </c>
      <c r="V994" s="25"/>
      <c r="W994" s="27" t="s">
        <v>3674</v>
      </c>
      <c r="X994" s="28" t="s">
        <v>3675</v>
      </c>
      <c r="Y994" s="28"/>
      <c r="Z994" s="29" t="s">
        <v>37</v>
      </c>
    </row>
    <row r="995" spans="1:26" ht="30" customHeight="1" thickBot="1" x14ac:dyDescent="0.25">
      <c r="A995" s="17">
        <f t="shared" si="31"/>
        <v>994</v>
      </c>
      <c r="B995" s="18" t="s">
        <v>25</v>
      </c>
      <c r="C995" s="19">
        <v>3520143451069</v>
      </c>
      <c r="D995" s="19"/>
      <c r="E995" s="20">
        <v>43433</v>
      </c>
      <c r="F995" s="20">
        <v>47086</v>
      </c>
      <c r="G995" s="21">
        <v>34700</v>
      </c>
      <c r="H995" s="22">
        <f t="shared" ca="1" si="30"/>
        <v>31</v>
      </c>
      <c r="I995" s="19" t="s">
        <v>26</v>
      </c>
      <c r="J995" s="18" t="s">
        <v>27</v>
      </c>
      <c r="K995" s="18"/>
      <c r="L995" s="23" t="s">
        <v>3607</v>
      </c>
      <c r="M995" s="23" t="s">
        <v>1709</v>
      </c>
      <c r="N995" s="23" t="s">
        <v>1499</v>
      </c>
      <c r="O995" s="18"/>
      <c r="P995" s="24"/>
      <c r="Q995" s="25">
        <v>46034</v>
      </c>
      <c r="R995" s="13">
        <v>0</v>
      </c>
      <c r="S995" s="26" t="str">
        <f>VLOOKUP(C995,'[1]Bazaar Salary'!$B$6:$J$1193,9,0)</f>
        <v>16200010158711130013</v>
      </c>
      <c r="T995" s="25" t="s">
        <v>32</v>
      </c>
      <c r="U995" s="25" t="s">
        <v>281</v>
      </c>
      <c r="V995" s="25"/>
      <c r="W995" s="27" t="s">
        <v>3676</v>
      </c>
      <c r="X995" s="28" t="s">
        <v>3677</v>
      </c>
      <c r="Y995" s="28"/>
      <c r="Z995" s="29" t="s">
        <v>37</v>
      </c>
    </row>
    <row r="996" spans="1:26" ht="30" customHeight="1" thickBot="1" x14ac:dyDescent="0.25">
      <c r="A996" s="17">
        <f t="shared" si="31"/>
        <v>995</v>
      </c>
      <c r="B996" s="18" t="s">
        <v>25</v>
      </c>
      <c r="C996" s="19">
        <v>3430117809957</v>
      </c>
      <c r="D996" s="19"/>
      <c r="E996" s="20">
        <v>43109</v>
      </c>
      <c r="F996" s="20">
        <v>46761</v>
      </c>
      <c r="G996" s="21">
        <v>29952</v>
      </c>
      <c r="H996" s="22">
        <f t="shared" ca="1" si="30"/>
        <v>44</v>
      </c>
      <c r="I996" s="19" t="s">
        <v>26</v>
      </c>
      <c r="J996" s="18" t="s">
        <v>27</v>
      </c>
      <c r="K996" s="18"/>
      <c r="L996" s="23" t="s">
        <v>3678</v>
      </c>
      <c r="M996" s="23" t="s">
        <v>3679</v>
      </c>
      <c r="N996" s="23" t="s">
        <v>1551</v>
      </c>
      <c r="O996" s="18"/>
      <c r="P996" s="24"/>
      <c r="Q996" s="25">
        <v>45992</v>
      </c>
      <c r="R996" s="13">
        <v>0</v>
      </c>
      <c r="S996" s="26" t="str">
        <f>VLOOKUP(C996,'[1]Bazaar Salary'!$B$6:$J$1193,9,0)</f>
        <v>07940010154368850019</v>
      </c>
      <c r="T996" s="25" t="s">
        <v>32</v>
      </c>
      <c r="U996" s="25" t="s">
        <v>1787</v>
      </c>
      <c r="V996" s="25"/>
      <c r="W996" s="27" t="s">
        <v>3680</v>
      </c>
      <c r="X996" s="28" t="s">
        <v>3681</v>
      </c>
      <c r="Y996" s="28"/>
      <c r="Z996" s="29" t="s">
        <v>37</v>
      </c>
    </row>
    <row r="997" spans="1:26" ht="30" customHeight="1" thickBot="1" x14ac:dyDescent="0.25">
      <c r="A997" s="17">
        <f t="shared" si="31"/>
        <v>996</v>
      </c>
      <c r="B997" s="18" t="s">
        <v>25</v>
      </c>
      <c r="C997" s="19">
        <v>3310474797603</v>
      </c>
      <c r="D997" s="19"/>
      <c r="E997" s="20">
        <v>43023</v>
      </c>
      <c r="F997" s="20">
        <v>46675</v>
      </c>
      <c r="G997" s="21">
        <v>36193</v>
      </c>
      <c r="H997" s="22">
        <f t="shared" ca="1" si="30"/>
        <v>27</v>
      </c>
      <c r="I997" s="19" t="s">
        <v>26</v>
      </c>
      <c r="J997" s="18" t="s">
        <v>27</v>
      </c>
      <c r="K997" s="18"/>
      <c r="L997" s="23" t="s">
        <v>3682</v>
      </c>
      <c r="M997" s="23" t="s">
        <v>1588</v>
      </c>
      <c r="N997" s="24" t="s">
        <v>457</v>
      </c>
      <c r="O997" s="18"/>
      <c r="P997" s="24"/>
      <c r="Q997" s="25">
        <v>46023</v>
      </c>
      <c r="R997" s="13">
        <v>0</v>
      </c>
      <c r="S997" s="26" t="str">
        <f>VLOOKUP(C997,'[1]Bazaar Salary'!$B$6:$J$1193,9,0)</f>
        <v>01210010153413240016</v>
      </c>
      <c r="T997" s="25" t="s">
        <v>32</v>
      </c>
      <c r="U997" s="25" t="s">
        <v>1787</v>
      </c>
      <c r="V997" s="25" t="s">
        <v>3683</v>
      </c>
      <c r="W997" s="27" t="s">
        <v>3684</v>
      </c>
      <c r="X997" s="28" t="s">
        <v>3685</v>
      </c>
      <c r="Y997" s="28"/>
      <c r="Z997" s="29" t="s">
        <v>37</v>
      </c>
    </row>
    <row r="998" spans="1:26" ht="30" customHeight="1" thickBot="1" x14ac:dyDescent="0.25">
      <c r="A998" s="17">
        <f t="shared" si="31"/>
        <v>997</v>
      </c>
      <c r="B998" s="18" t="s">
        <v>25</v>
      </c>
      <c r="C998" s="19">
        <v>3340104576445</v>
      </c>
      <c r="D998" s="19"/>
      <c r="E998" s="20">
        <v>44893</v>
      </c>
      <c r="F998" s="20">
        <v>48546</v>
      </c>
      <c r="G998" s="21">
        <v>37254</v>
      </c>
      <c r="H998" s="22">
        <f t="shared" ca="1" si="30"/>
        <v>24</v>
      </c>
      <c r="I998" s="19" t="s">
        <v>26</v>
      </c>
      <c r="J998" s="18" t="s">
        <v>27</v>
      </c>
      <c r="K998" s="18"/>
      <c r="L998" s="23" t="s">
        <v>3686</v>
      </c>
      <c r="M998" s="23" t="s">
        <v>3687</v>
      </c>
      <c r="N998" s="23" t="s">
        <v>457</v>
      </c>
      <c r="O998" s="18"/>
      <c r="P998" s="24"/>
      <c r="Q998" s="25">
        <v>46023</v>
      </c>
      <c r="R998" s="13">
        <v>0</v>
      </c>
      <c r="S998" s="26" t="str">
        <f>VLOOKUP(C998,'[1]Bazaar Salary'!$B$6:$J$1193,9,0)</f>
        <v>04990010154105410019</v>
      </c>
      <c r="T998" s="25" t="s">
        <v>32</v>
      </c>
      <c r="U998" s="25" t="s">
        <v>1787</v>
      </c>
      <c r="V998" s="25" t="s">
        <v>3688</v>
      </c>
      <c r="W998" s="27" t="s">
        <v>3689</v>
      </c>
      <c r="X998" s="28" t="s">
        <v>3690</v>
      </c>
      <c r="Y998" s="28"/>
      <c r="Z998" s="29" t="s">
        <v>37</v>
      </c>
    </row>
    <row r="999" spans="1:26" ht="30" customHeight="1" thickBot="1" x14ac:dyDescent="0.25">
      <c r="A999" s="17">
        <f t="shared" si="31"/>
        <v>998</v>
      </c>
      <c r="B999" s="18" t="s">
        <v>25</v>
      </c>
      <c r="C999" s="19">
        <v>3430197633398</v>
      </c>
      <c r="D999" s="19"/>
      <c r="E999" s="20">
        <v>45000</v>
      </c>
      <c r="F999" s="20">
        <v>48653</v>
      </c>
      <c r="G999" s="21"/>
      <c r="H999" s="22">
        <f t="shared" ca="1" si="30"/>
        <v>126</v>
      </c>
      <c r="I999" s="40" t="s">
        <v>26</v>
      </c>
      <c r="J999" s="18" t="s">
        <v>66</v>
      </c>
      <c r="K999" s="18"/>
      <c r="L999" s="23" t="s">
        <v>3691</v>
      </c>
      <c r="M999" s="41" t="s">
        <v>3692</v>
      </c>
      <c r="N999" s="24" t="s">
        <v>468</v>
      </c>
      <c r="O999" s="18"/>
      <c r="P999" s="24"/>
      <c r="Q999" s="25">
        <v>46023</v>
      </c>
      <c r="R999" s="13">
        <v>0</v>
      </c>
      <c r="S999" s="26" t="str">
        <f>VLOOKUP(C999,'[1]Bazaar Salary'!$B$6:$J$1193,9,0)</f>
        <v>04990010152839440011</v>
      </c>
      <c r="T999" s="25" t="s">
        <v>32</v>
      </c>
      <c r="U999" s="25" t="s">
        <v>1787</v>
      </c>
      <c r="V999" s="25" t="s">
        <v>371</v>
      </c>
      <c r="W999" s="42" t="s">
        <v>3693</v>
      </c>
      <c r="X999" s="40" t="s">
        <v>3694</v>
      </c>
      <c r="Y999" s="28"/>
      <c r="Z999" s="29" t="s">
        <v>37</v>
      </c>
    </row>
    <row r="1000" spans="1:26" ht="30" customHeight="1" thickBot="1" x14ac:dyDescent="0.25">
      <c r="A1000" s="17">
        <f t="shared" si="31"/>
        <v>999</v>
      </c>
      <c r="B1000" s="18" t="s">
        <v>25</v>
      </c>
      <c r="C1000" s="19">
        <v>3340106552259</v>
      </c>
      <c r="D1000" s="19"/>
      <c r="E1000" s="20">
        <v>45755</v>
      </c>
      <c r="F1000" s="20">
        <v>49407</v>
      </c>
      <c r="G1000" s="21">
        <v>39145</v>
      </c>
      <c r="H1000" s="22">
        <f t="shared" ca="1" si="30"/>
        <v>19</v>
      </c>
      <c r="I1000" s="19" t="s">
        <v>26</v>
      </c>
      <c r="J1000" s="18" t="s">
        <v>27</v>
      </c>
      <c r="K1000" s="18"/>
      <c r="L1000" s="23" t="s">
        <v>3695</v>
      </c>
      <c r="M1000" s="23" t="s">
        <v>3696</v>
      </c>
      <c r="N1000" s="23" t="s">
        <v>1488</v>
      </c>
      <c r="O1000" s="18"/>
      <c r="P1000" s="24"/>
      <c r="Q1000" s="25">
        <v>45992</v>
      </c>
      <c r="R1000" s="13">
        <v>0</v>
      </c>
      <c r="S1000" s="26" t="str">
        <f>VLOOKUP(C1000,'[1]Bazaar Salary'!$B$6:$J$1193,9,0)</f>
        <v>04990010155064640010</v>
      </c>
      <c r="T1000" s="25" t="s">
        <v>32</v>
      </c>
      <c r="U1000" s="25" t="s">
        <v>1787</v>
      </c>
      <c r="V1000" s="25"/>
      <c r="W1000" s="27" t="s">
        <v>3697</v>
      </c>
      <c r="X1000" s="28" t="s">
        <v>972</v>
      </c>
      <c r="Y1000" s="28"/>
      <c r="Z1000" s="29" t="s">
        <v>37</v>
      </c>
    </row>
    <row r="1001" spans="1:26" ht="30" customHeight="1" thickBot="1" x14ac:dyDescent="0.25">
      <c r="A1001" s="17">
        <f t="shared" si="31"/>
        <v>1000</v>
      </c>
      <c r="B1001" s="18" t="s">
        <v>25</v>
      </c>
      <c r="C1001" s="19">
        <v>3340105620107</v>
      </c>
      <c r="D1001" s="19"/>
      <c r="E1001" s="20">
        <v>43180</v>
      </c>
      <c r="F1001" s="20">
        <v>46833</v>
      </c>
      <c r="G1001" s="21">
        <v>34700</v>
      </c>
      <c r="H1001" s="22">
        <f t="shared" ca="1" si="30"/>
        <v>31</v>
      </c>
      <c r="I1001" s="19" t="s">
        <v>26</v>
      </c>
      <c r="J1001" s="18" t="s">
        <v>27</v>
      </c>
      <c r="K1001" s="18"/>
      <c r="L1001" s="23" t="s">
        <v>3698</v>
      </c>
      <c r="M1001" s="23" t="s">
        <v>3699</v>
      </c>
      <c r="N1001" s="23" t="s">
        <v>1488</v>
      </c>
      <c r="O1001" s="18"/>
      <c r="P1001" s="24"/>
      <c r="Q1001" s="25">
        <v>45992</v>
      </c>
      <c r="R1001" s="13">
        <v>0</v>
      </c>
      <c r="S1001" s="26" t="str">
        <f>VLOOKUP(C1001,'[1]Bazaar Salary'!$B$6:$J$1193,9,0)</f>
        <v>04990010156073930016</v>
      </c>
      <c r="T1001" s="25" t="s">
        <v>32</v>
      </c>
      <c r="U1001" s="25" t="s">
        <v>1787</v>
      </c>
      <c r="V1001" s="25"/>
      <c r="W1001" s="27" t="s">
        <v>3700</v>
      </c>
      <c r="X1001" s="28" t="s">
        <v>3701</v>
      </c>
      <c r="Y1001" s="28"/>
      <c r="Z1001" s="29" t="s">
        <v>37</v>
      </c>
    </row>
    <row r="1002" spans="1:26" ht="30" customHeight="1" thickBot="1" x14ac:dyDescent="0.25">
      <c r="A1002" s="17">
        <f t="shared" si="31"/>
        <v>1001</v>
      </c>
      <c r="B1002" s="18" t="s">
        <v>25</v>
      </c>
      <c r="C1002" s="19">
        <v>3330195989111</v>
      </c>
      <c r="D1002" s="19"/>
      <c r="E1002" s="20">
        <v>44006</v>
      </c>
      <c r="F1002" s="20">
        <v>47658</v>
      </c>
      <c r="G1002" s="21">
        <v>37009</v>
      </c>
      <c r="H1002" s="22">
        <f t="shared" ca="1" si="30"/>
        <v>25</v>
      </c>
      <c r="I1002" s="19" t="s">
        <v>26</v>
      </c>
      <c r="J1002" s="18" t="s">
        <v>27</v>
      </c>
      <c r="K1002" s="18"/>
      <c r="L1002" s="23" t="s">
        <v>3702</v>
      </c>
      <c r="M1002" s="23" t="s">
        <v>2554</v>
      </c>
      <c r="N1002" s="23" t="s">
        <v>1499</v>
      </c>
      <c r="O1002" s="18"/>
      <c r="P1002" s="24"/>
      <c r="Q1002" s="25">
        <v>45992</v>
      </c>
      <c r="R1002" s="13">
        <v>0</v>
      </c>
      <c r="S1002" s="26" t="str">
        <f>VLOOKUP(C1002,'[1]Bazaar Salary'!$B$6:$J$1193,9,0)</f>
        <v>00870010154776290018</v>
      </c>
      <c r="T1002" s="25" t="s">
        <v>32</v>
      </c>
      <c r="U1002" s="25" t="s">
        <v>1787</v>
      </c>
      <c r="V1002" s="25" t="s">
        <v>884</v>
      </c>
      <c r="W1002" s="27" t="s">
        <v>3703</v>
      </c>
      <c r="X1002" s="28" t="s">
        <v>3704</v>
      </c>
      <c r="Y1002" s="28"/>
      <c r="Z1002" s="29" t="s">
        <v>37</v>
      </c>
    </row>
    <row r="1003" spans="1:26" ht="30" customHeight="1" thickBot="1" x14ac:dyDescent="0.25">
      <c r="A1003" s="17">
        <f t="shared" si="31"/>
        <v>1002</v>
      </c>
      <c r="B1003" s="18" t="s">
        <v>25</v>
      </c>
      <c r="C1003" s="19">
        <v>3340103723843</v>
      </c>
      <c r="D1003" s="19"/>
      <c r="E1003" s="20">
        <v>42343</v>
      </c>
      <c r="F1003" s="20">
        <v>45996</v>
      </c>
      <c r="G1003" s="21">
        <v>31687</v>
      </c>
      <c r="H1003" s="22">
        <f t="shared" ca="1" si="30"/>
        <v>39</v>
      </c>
      <c r="I1003" s="19" t="s">
        <v>26</v>
      </c>
      <c r="J1003" s="18" t="s">
        <v>27</v>
      </c>
      <c r="K1003" s="18"/>
      <c r="L1003" s="23" t="s">
        <v>3705</v>
      </c>
      <c r="M1003" s="23" t="s">
        <v>3706</v>
      </c>
      <c r="N1003" s="23" t="s">
        <v>1499</v>
      </c>
      <c r="O1003" s="18"/>
      <c r="P1003" s="24"/>
      <c r="Q1003" s="25">
        <v>45994</v>
      </c>
      <c r="R1003" s="13">
        <v>0</v>
      </c>
      <c r="S1003" s="26" t="str">
        <f>VLOOKUP(C1003,'[1]Bazaar Salary'!$B$6:$J$1193,9,0)</f>
        <v>04990010156653820018</v>
      </c>
      <c r="T1003" s="25" t="s">
        <v>32</v>
      </c>
      <c r="U1003" s="25" t="s">
        <v>1787</v>
      </c>
      <c r="V1003" s="25"/>
      <c r="W1003" s="27" t="s">
        <v>3707</v>
      </c>
      <c r="X1003" s="28" t="s">
        <v>3708</v>
      </c>
      <c r="Y1003" s="28"/>
      <c r="Z1003" s="29" t="s">
        <v>37</v>
      </c>
    </row>
    <row r="1004" spans="1:26" ht="30" customHeight="1" thickBot="1" x14ac:dyDescent="0.25">
      <c r="A1004" s="17">
        <f t="shared" si="31"/>
        <v>1003</v>
      </c>
      <c r="B1004" s="18" t="s">
        <v>25</v>
      </c>
      <c r="C1004" s="19">
        <v>3330120673617</v>
      </c>
      <c r="D1004" s="19"/>
      <c r="E1004" s="20">
        <v>43321</v>
      </c>
      <c r="F1004" s="20">
        <v>46974</v>
      </c>
      <c r="G1004" s="21">
        <v>28528</v>
      </c>
      <c r="H1004" s="22">
        <f t="shared" ca="1" si="30"/>
        <v>48</v>
      </c>
      <c r="I1004" s="19" t="s">
        <v>26</v>
      </c>
      <c r="J1004" s="18" t="s">
        <v>27</v>
      </c>
      <c r="K1004" s="18"/>
      <c r="L1004" s="23" t="s">
        <v>3709</v>
      </c>
      <c r="M1004" s="23" t="s">
        <v>285</v>
      </c>
      <c r="N1004" s="23" t="s">
        <v>1499</v>
      </c>
      <c r="O1004" s="18"/>
      <c r="P1004" s="24"/>
      <c r="Q1004" s="25">
        <v>45992</v>
      </c>
      <c r="R1004" s="13">
        <v>0</v>
      </c>
      <c r="S1004" s="26" t="str">
        <f>VLOOKUP(C1004,'[1]Bazaar Salary'!$B$6:$J$1193,9,0)</f>
        <v>00870010153474580014</v>
      </c>
      <c r="T1004" s="25" t="s">
        <v>32</v>
      </c>
      <c r="U1004" s="25" t="s">
        <v>1787</v>
      </c>
      <c r="V1004" s="25"/>
      <c r="W1004" s="27" t="s">
        <v>3710</v>
      </c>
      <c r="X1004" s="28" t="s">
        <v>3711</v>
      </c>
      <c r="Y1004" s="28"/>
      <c r="Z1004" s="29" t="s">
        <v>37</v>
      </c>
    </row>
    <row r="1005" spans="1:26" ht="30" customHeight="1" thickBot="1" x14ac:dyDescent="0.25">
      <c r="A1005" s="17">
        <f t="shared" si="31"/>
        <v>1004</v>
      </c>
      <c r="B1005" s="18" t="s">
        <v>25</v>
      </c>
      <c r="C1005" s="19">
        <v>3540437499367</v>
      </c>
      <c r="D1005" s="19"/>
      <c r="E1005" s="20">
        <v>44586</v>
      </c>
      <c r="F1005" s="20">
        <v>48238</v>
      </c>
      <c r="G1005" s="21">
        <v>38000</v>
      </c>
      <c r="H1005" s="22">
        <f t="shared" ca="1" si="30"/>
        <v>22</v>
      </c>
      <c r="I1005" s="19" t="s">
        <v>26</v>
      </c>
      <c r="J1005" s="18" t="s">
        <v>27</v>
      </c>
      <c r="K1005" s="18"/>
      <c r="L1005" s="23" t="s">
        <v>3712</v>
      </c>
      <c r="M1005" s="23" t="s">
        <v>3713</v>
      </c>
      <c r="N1005" s="23" t="s">
        <v>1499</v>
      </c>
      <c r="O1005" s="18"/>
      <c r="P1005" s="24"/>
      <c r="Q1005" s="25">
        <v>45992</v>
      </c>
      <c r="R1005" s="13">
        <v>0</v>
      </c>
      <c r="S1005" s="26" t="str">
        <f>VLOOKUP(C1005,'[1]Bazaar Salary'!$B$6:$J$1193,9,0)</f>
        <v>03750010154339950011</v>
      </c>
      <c r="T1005" s="25" t="s">
        <v>32</v>
      </c>
      <c r="U1005" s="25" t="s">
        <v>1787</v>
      </c>
      <c r="V1005" s="25"/>
      <c r="W1005" s="27" t="s">
        <v>3714</v>
      </c>
      <c r="X1005" s="28" t="s">
        <v>3715</v>
      </c>
      <c r="Y1005" s="28"/>
      <c r="Z1005" s="29" t="s">
        <v>37</v>
      </c>
    </row>
    <row r="1006" spans="1:26" ht="30" customHeight="1" thickBot="1" x14ac:dyDescent="0.25">
      <c r="A1006" s="17">
        <f t="shared" si="31"/>
        <v>1005</v>
      </c>
      <c r="B1006" s="18" t="s">
        <v>25</v>
      </c>
      <c r="C1006" s="19">
        <v>3340105445975</v>
      </c>
      <c r="D1006" s="19"/>
      <c r="E1006" s="20">
        <v>43914</v>
      </c>
      <c r="F1006" s="20">
        <v>47566</v>
      </c>
      <c r="G1006" s="21">
        <v>36660</v>
      </c>
      <c r="H1006" s="22">
        <f t="shared" ca="1" si="30"/>
        <v>26</v>
      </c>
      <c r="I1006" s="19" t="s">
        <v>26</v>
      </c>
      <c r="J1006" s="18" t="s">
        <v>27</v>
      </c>
      <c r="K1006" s="18"/>
      <c r="L1006" s="23" t="s">
        <v>772</v>
      </c>
      <c r="M1006" s="23" t="s">
        <v>145</v>
      </c>
      <c r="N1006" s="23" t="s">
        <v>1499</v>
      </c>
      <c r="O1006" s="18"/>
      <c r="P1006" s="24"/>
      <c r="Q1006" s="25">
        <v>45992</v>
      </c>
      <c r="R1006" s="13">
        <v>0</v>
      </c>
      <c r="S1006" s="26" t="str">
        <f>VLOOKUP(C1006,'[1]Bazaar Salary'!$B$6:$J$1193,9,0)</f>
        <v>04990010153631040018</v>
      </c>
      <c r="T1006" s="25" t="s">
        <v>32</v>
      </c>
      <c r="U1006" s="25" t="s">
        <v>1787</v>
      </c>
      <c r="V1006" s="25"/>
      <c r="W1006" s="27" t="s">
        <v>3697</v>
      </c>
      <c r="X1006" s="28" t="s">
        <v>3716</v>
      </c>
      <c r="Y1006" s="28"/>
      <c r="Z1006" s="29" t="s">
        <v>37</v>
      </c>
    </row>
    <row r="1007" spans="1:26" ht="30" customHeight="1" thickBot="1" x14ac:dyDescent="0.25">
      <c r="A1007" s="17">
        <f t="shared" si="31"/>
        <v>1006</v>
      </c>
      <c r="B1007" s="18" t="s">
        <v>25</v>
      </c>
      <c r="C1007" s="19">
        <v>3340107426098</v>
      </c>
      <c r="D1007" s="19"/>
      <c r="E1007" s="20">
        <v>45131</v>
      </c>
      <c r="F1007" s="20">
        <v>48784</v>
      </c>
      <c r="G1007" s="21">
        <v>36957</v>
      </c>
      <c r="H1007" s="22">
        <f t="shared" ca="1" si="30"/>
        <v>25</v>
      </c>
      <c r="I1007" s="19" t="s">
        <v>26</v>
      </c>
      <c r="J1007" s="18" t="s">
        <v>66</v>
      </c>
      <c r="K1007" s="18"/>
      <c r="L1007" s="23" t="s">
        <v>3717</v>
      </c>
      <c r="M1007" s="23" t="s">
        <v>3718</v>
      </c>
      <c r="N1007" s="23" t="s">
        <v>1499</v>
      </c>
      <c r="O1007" s="18"/>
      <c r="P1007" s="24"/>
      <c r="Q1007" s="25">
        <v>46000</v>
      </c>
      <c r="R1007" s="13">
        <v>0</v>
      </c>
      <c r="S1007" s="26" t="str">
        <f>VLOOKUP(C1007,'[1]Bazaar Salary'!$B$6:$J$1193,9,0)</f>
        <v>04990010156438760018</v>
      </c>
      <c r="T1007" s="25" t="s">
        <v>32</v>
      </c>
      <c r="U1007" s="25" t="s">
        <v>1787</v>
      </c>
      <c r="V1007" s="25"/>
      <c r="W1007" s="27" t="s">
        <v>3719</v>
      </c>
      <c r="X1007" s="28" t="s">
        <v>972</v>
      </c>
      <c r="Y1007" s="28"/>
      <c r="Z1007" s="29" t="s">
        <v>37</v>
      </c>
    </row>
    <row r="1008" spans="1:26" ht="30" customHeight="1" thickBot="1" x14ac:dyDescent="0.25">
      <c r="A1008" s="17">
        <f t="shared" si="31"/>
        <v>1007</v>
      </c>
      <c r="B1008" s="18" t="s">
        <v>25</v>
      </c>
      <c r="C1008" s="19">
        <v>3340104867305</v>
      </c>
      <c r="D1008" s="19"/>
      <c r="E1008" s="20">
        <v>42237</v>
      </c>
      <c r="F1008" s="20">
        <v>45890</v>
      </c>
      <c r="G1008" s="21">
        <v>35381</v>
      </c>
      <c r="H1008" s="22">
        <f t="shared" ca="1" si="30"/>
        <v>29</v>
      </c>
      <c r="I1008" s="19" t="s">
        <v>26</v>
      </c>
      <c r="J1008" s="18" t="s">
        <v>27</v>
      </c>
      <c r="K1008" s="18"/>
      <c r="L1008" s="23" t="s">
        <v>3720</v>
      </c>
      <c r="M1008" s="23" t="s">
        <v>3721</v>
      </c>
      <c r="N1008" s="23" t="s">
        <v>1499</v>
      </c>
      <c r="O1008" s="18"/>
      <c r="P1008" s="24"/>
      <c r="Q1008" s="25">
        <v>45992</v>
      </c>
      <c r="R1008" s="13">
        <v>0</v>
      </c>
      <c r="S1008" s="26" t="str">
        <f>VLOOKUP(C1008,'[1]Bazaar Salary'!$B$6:$J$1193,9,0)</f>
        <v>04990010155030860010</v>
      </c>
      <c r="T1008" s="25" t="s">
        <v>32</v>
      </c>
      <c r="U1008" s="25" t="s">
        <v>1787</v>
      </c>
      <c r="V1008" s="25"/>
      <c r="W1008" s="27" t="s">
        <v>3722</v>
      </c>
      <c r="X1008" s="28" t="s">
        <v>3723</v>
      </c>
      <c r="Y1008" s="28"/>
      <c r="Z1008" s="29" t="s">
        <v>37</v>
      </c>
    </row>
    <row r="1009" spans="1:26" ht="30" customHeight="1" thickBot="1" x14ac:dyDescent="0.25">
      <c r="A1009" s="17">
        <f t="shared" si="31"/>
        <v>1008</v>
      </c>
      <c r="B1009" s="18" t="s">
        <v>25</v>
      </c>
      <c r="C1009" s="19">
        <v>3340105273403</v>
      </c>
      <c r="D1009" s="19"/>
      <c r="E1009" s="20">
        <v>43357</v>
      </c>
      <c r="F1009" s="20">
        <v>47010</v>
      </c>
      <c r="G1009" s="21">
        <v>34439</v>
      </c>
      <c r="H1009" s="22">
        <f t="shared" ca="1" si="30"/>
        <v>32</v>
      </c>
      <c r="I1009" s="19" t="s">
        <v>26</v>
      </c>
      <c r="J1009" s="18" t="s">
        <v>27</v>
      </c>
      <c r="K1009" s="18"/>
      <c r="L1009" s="23" t="s">
        <v>3724</v>
      </c>
      <c r="M1009" s="23" t="s">
        <v>2107</v>
      </c>
      <c r="N1009" s="23" t="s">
        <v>1488</v>
      </c>
      <c r="O1009" s="18"/>
      <c r="P1009" s="24"/>
      <c r="Q1009" s="25">
        <v>46023</v>
      </c>
      <c r="R1009" s="13">
        <v>0</v>
      </c>
      <c r="S1009" s="26" t="str">
        <f>VLOOKUP(C1009,'[4]Daily Wages '!$B$6:$G$197,6,0)</f>
        <v>04990010156391310019</v>
      </c>
      <c r="T1009" s="25" t="s">
        <v>32</v>
      </c>
      <c r="U1009" s="25" t="s">
        <v>1787</v>
      </c>
      <c r="V1009" s="25"/>
      <c r="W1009" s="27" t="s">
        <v>3725</v>
      </c>
      <c r="X1009" s="28" t="s">
        <v>3726</v>
      </c>
      <c r="Y1009" s="28"/>
      <c r="Z1009" s="29" t="s">
        <v>3390</v>
      </c>
    </row>
    <row r="1010" spans="1:26" ht="30" customHeight="1" thickBot="1" x14ac:dyDescent="0.25">
      <c r="A1010" s="17">
        <f t="shared" si="31"/>
        <v>1009</v>
      </c>
      <c r="B1010" s="18" t="s">
        <v>25</v>
      </c>
      <c r="C1010" s="19">
        <v>3340306347449</v>
      </c>
      <c r="D1010" s="19"/>
      <c r="E1010" s="20">
        <v>44636</v>
      </c>
      <c r="F1010" s="20">
        <v>48289</v>
      </c>
      <c r="G1010" s="21">
        <v>37622</v>
      </c>
      <c r="H1010" s="22">
        <f t="shared" ca="1" si="30"/>
        <v>23</v>
      </c>
      <c r="I1010" s="19" t="s">
        <v>26</v>
      </c>
      <c r="J1010" s="18" t="s">
        <v>27</v>
      </c>
      <c r="K1010" s="18"/>
      <c r="L1010" s="23" t="s">
        <v>466</v>
      </c>
      <c r="M1010" s="23" t="s">
        <v>3727</v>
      </c>
      <c r="N1010" s="23" t="s">
        <v>1488</v>
      </c>
      <c r="O1010" s="18"/>
      <c r="P1010" s="24"/>
      <c r="Q1010" s="25">
        <v>46023</v>
      </c>
      <c r="R1010" s="13">
        <v>0</v>
      </c>
      <c r="S1010" s="26" t="str">
        <f>VLOOKUP(C1010,'[4]Daily Wages '!$B$6:$G$197,6,0)</f>
        <v>04990010155034740018</v>
      </c>
      <c r="T1010" s="25" t="s">
        <v>32</v>
      </c>
      <c r="U1010" s="25" t="s">
        <v>1787</v>
      </c>
      <c r="V1010" s="25"/>
      <c r="W1010" s="27" t="s">
        <v>3728</v>
      </c>
      <c r="X1010" s="28" t="s">
        <v>3729</v>
      </c>
      <c r="Y1010" s="28"/>
      <c r="Z1010" s="29" t="s">
        <v>3390</v>
      </c>
    </row>
    <row r="1011" spans="1:26" ht="30" customHeight="1" thickBot="1" x14ac:dyDescent="0.25">
      <c r="A1011" s="17">
        <f t="shared" si="31"/>
        <v>1010</v>
      </c>
      <c r="B1011" s="18" t="s">
        <v>25</v>
      </c>
      <c r="C1011" s="19">
        <v>3830296721613</v>
      </c>
      <c r="D1011" s="19"/>
      <c r="E1011" s="20">
        <v>42834</v>
      </c>
      <c r="F1011" s="20">
        <v>46486</v>
      </c>
      <c r="G1011" s="21">
        <v>34416</v>
      </c>
      <c r="H1011" s="22">
        <f t="shared" ca="1" si="30"/>
        <v>32</v>
      </c>
      <c r="I1011" s="19" t="s">
        <v>26</v>
      </c>
      <c r="J1011" s="18" t="s">
        <v>27</v>
      </c>
      <c r="K1011" s="18"/>
      <c r="L1011" s="23" t="s">
        <v>3730</v>
      </c>
      <c r="M1011" s="23" t="s">
        <v>3731</v>
      </c>
      <c r="N1011" s="23" t="s">
        <v>1499</v>
      </c>
      <c r="O1011" s="18"/>
      <c r="P1011" s="24"/>
      <c r="Q1011" s="25">
        <v>46069</v>
      </c>
      <c r="R1011" s="13">
        <v>0</v>
      </c>
      <c r="S1011" s="26" t="str">
        <f>VLOOKUP(C1011,'[4]Daily Wages '!$B$6:$G$197,6,0)</f>
        <v>04990010050273270014</v>
      </c>
      <c r="T1011" s="25" t="s">
        <v>32</v>
      </c>
      <c r="U1011" s="25" t="s">
        <v>1787</v>
      </c>
      <c r="V1011" s="25" t="s">
        <v>3732</v>
      </c>
      <c r="W1011" s="27" t="s">
        <v>3733</v>
      </c>
      <c r="X1011" s="28" t="s">
        <v>3734</v>
      </c>
      <c r="Y1011" s="28"/>
      <c r="Z1011" s="29" t="s">
        <v>3390</v>
      </c>
    </row>
    <row r="1012" spans="1:26" ht="30" customHeight="1" thickBot="1" x14ac:dyDescent="0.25">
      <c r="A1012" s="17">
        <f t="shared" si="31"/>
        <v>1011</v>
      </c>
      <c r="B1012" s="18" t="s">
        <v>25</v>
      </c>
      <c r="C1012" s="19">
        <v>3220215416029</v>
      </c>
      <c r="D1012" s="19"/>
      <c r="E1012" s="20">
        <v>43523</v>
      </c>
      <c r="F1012" s="20">
        <v>47176</v>
      </c>
      <c r="G1012" s="21">
        <v>36753</v>
      </c>
      <c r="H1012" s="22">
        <f t="shared" ca="1" si="30"/>
        <v>25</v>
      </c>
      <c r="I1012" s="19" t="s">
        <v>26</v>
      </c>
      <c r="J1012" s="18" t="s">
        <v>27</v>
      </c>
      <c r="K1012" s="18"/>
      <c r="L1012" s="23" t="s">
        <v>3735</v>
      </c>
      <c r="M1012" s="23" t="s">
        <v>247</v>
      </c>
      <c r="N1012" s="23" t="s">
        <v>1295</v>
      </c>
      <c r="O1012" s="18"/>
      <c r="P1012" s="24"/>
      <c r="Q1012" s="25">
        <v>46091</v>
      </c>
      <c r="R1012" s="13">
        <v>0</v>
      </c>
      <c r="S1012" s="26" t="str">
        <f>VLOOKUP(C1012,'[3]May-26'!$B$5:$H$89,7,0)</f>
        <v>06980010082691050011</v>
      </c>
      <c r="T1012" s="25" t="s">
        <v>32</v>
      </c>
      <c r="U1012" s="25" t="s">
        <v>3736</v>
      </c>
      <c r="V1012" s="25" t="s">
        <v>3391</v>
      </c>
      <c r="W1012" s="27" t="s">
        <v>3737</v>
      </c>
      <c r="X1012" s="28" t="s">
        <v>3738</v>
      </c>
      <c r="Y1012" s="28"/>
      <c r="Z1012" s="29" t="s">
        <v>3390</v>
      </c>
    </row>
    <row r="1013" spans="1:26" ht="30" customHeight="1" thickBot="1" x14ac:dyDescent="0.25">
      <c r="A1013" s="17">
        <f t="shared" si="31"/>
        <v>1012</v>
      </c>
      <c r="B1013" s="18" t="s">
        <v>25</v>
      </c>
      <c r="C1013" s="19">
        <v>3310479857087</v>
      </c>
      <c r="D1013" s="19"/>
      <c r="E1013" s="20">
        <v>45217</v>
      </c>
      <c r="F1013" s="20">
        <v>48870</v>
      </c>
      <c r="G1013" s="21">
        <v>37793</v>
      </c>
      <c r="H1013" s="22">
        <f t="shared" ca="1" si="30"/>
        <v>22</v>
      </c>
      <c r="I1013" s="19" t="s">
        <v>26</v>
      </c>
      <c r="J1013" s="18" t="s">
        <v>27</v>
      </c>
      <c r="K1013" s="18"/>
      <c r="L1013" s="23" t="s">
        <v>881</v>
      </c>
      <c r="M1013" s="23" t="s">
        <v>3739</v>
      </c>
      <c r="N1013" s="23" t="s">
        <v>1295</v>
      </c>
      <c r="O1013" s="18"/>
      <c r="P1013" s="24"/>
      <c r="Q1013" s="25">
        <v>46091</v>
      </c>
      <c r="R1013" s="13">
        <v>0</v>
      </c>
      <c r="S1013" s="26" t="str">
        <f>VLOOKUP(C1013,'[3]May-26'!$B$5:$H$89,7,0)</f>
        <v>08050010160961210015</v>
      </c>
      <c r="T1013" s="25" t="s">
        <v>32</v>
      </c>
      <c r="U1013" s="25" t="s">
        <v>3736</v>
      </c>
      <c r="V1013" s="25" t="s">
        <v>884</v>
      </c>
      <c r="W1013" s="27" t="s">
        <v>3740</v>
      </c>
      <c r="X1013" s="28" t="s">
        <v>972</v>
      </c>
      <c r="Y1013" s="28"/>
      <c r="Z1013" s="29" t="s">
        <v>3390</v>
      </c>
    </row>
    <row r="1014" spans="1:26" ht="30" customHeight="1" thickBot="1" x14ac:dyDescent="0.25">
      <c r="A1014" s="17">
        <f t="shared" si="31"/>
        <v>1013</v>
      </c>
      <c r="B1014" s="18" t="s">
        <v>25</v>
      </c>
      <c r="C1014" s="19">
        <v>3220318126059</v>
      </c>
      <c r="D1014" s="19"/>
      <c r="E1014" s="20">
        <v>45877</v>
      </c>
      <c r="F1014" s="20">
        <v>49529</v>
      </c>
      <c r="G1014" s="21">
        <v>35419</v>
      </c>
      <c r="H1014" s="22">
        <f t="shared" ca="1" si="30"/>
        <v>29</v>
      </c>
      <c r="I1014" s="19" t="s">
        <v>26</v>
      </c>
      <c r="J1014" s="18" t="s">
        <v>27</v>
      </c>
      <c r="K1014" s="18"/>
      <c r="L1014" s="23" t="s">
        <v>3741</v>
      </c>
      <c r="M1014" s="23" t="s">
        <v>631</v>
      </c>
      <c r="N1014" s="24" t="s">
        <v>468</v>
      </c>
      <c r="O1014" s="18"/>
      <c r="P1014" s="24"/>
      <c r="Q1014" s="25">
        <v>46080</v>
      </c>
      <c r="R1014" s="13">
        <v>0</v>
      </c>
      <c r="S1014" s="26" t="str">
        <f>VLOOKUP(C1014,'[3]May-26'!$B$5:$H$89,7,0)</f>
        <v>08050010160774120013</v>
      </c>
      <c r="T1014" s="25" t="s">
        <v>32</v>
      </c>
      <c r="U1014" s="25" t="s">
        <v>3736</v>
      </c>
      <c r="V1014" s="25" t="s">
        <v>405</v>
      </c>
      <c r="W1014" s="27" t="s">
        <v>3742</v>
      </c>
      <c r="X1014" s="28" t="s">
        <v>3743</v>
      </c>
      <c r="Y1014" s="28"/>
      <c r="Z1014" s="29" t="s">
        <v>3390</v>
      </c>
    </row>
    <row r="1015" spans="1:26" ht="30" customHeight="1" thickBot="1" x14ac:dyDescent="0.25">
      <c r="A1015" s="17">
        <f t="shared" si="31"/>
        <v>1014</v>
      </c>
      <c r="B1015" s="18" t="s">
        <v>25</v>
      </c>
      <c r="C1015" s="19">
        <v>3220341546897</v>
      </c>
      <c r="D1015" s="19"/>
      <c r="E1015" s="20">
        <v>45882</v>
      </c>
      <c r="F1015" s="20">
        <v>49534</v>
      </c>
      <c r="G1015" s="21">
        <v>38943</v>
      </c>
      <c r="H1015" s="22">
        <f t="shared" ca="1" si="30"/>
        <v>19</v>
      </c>
      <c r="I1015" s="19" t="s">
        <v>26</v>
      </c>
      <c r="J1015" s="18" t="s">
        <v>27</v>
      </c>
      <c r="K1015" s="18"/>
      <c r="L1015" s="23" t="s">
        <v>3744</v>
      </c>
      <c r="M1015" s="23" t="s">
        <v>3745</v>
      </c>
      <c r="N1015" s="23" t="s">
        <v>1488</v>
      </c>
      <c r="O1015" s="18"/>
      <c r="P1015" s="24"/>
      <c r="Q1015" s="25">
        <v>46080</v>
      </c>
      <c r="R1015" s="13">
        <v>0</v>
      </c>
      <c r="S1015" s="26" t="str">
        <f>VLOOKUP(C1015,'[4]Daily Wages '!$B$6:$G$197,6,0)</f>
        <v>08050010160843390013</v>
      </c>
      <c r="T1015" s="25" t="s">
        <v>32</v>
      </c>
      <c r="U1015" s="25" t="s">
        <v>3736</v>
      </c>
      <c r="V1015" s="25"/>
      <c r="W1015" s="27" t="s">
        <v>3746</v>
      </c>
      <c r="X1015" s="28" t="s">
        <v>3747</v>
      </c>
      <c r="Y1015" s="28"/>
      <c r="Z1015" s="29" t="s">
        <v>3390</v>
      </c>
    </row>
    <row r="1016" spans="1:26" ht="30" customHeight="1" thickBot="1" x14ac:dyDescent="0.25">
      <c r="A1016" s="17">
        <f t="shared" si="31"/>
        <v>1015</v>
      </c>
      <c r="B1016" s="18" t="s">
        <v>25</v>
      </c>
      <c r="C1016" s="19">
        <v>4230106372267</v>
      </c>
      <c r="D1016" s="19"/>
      <c r="E1016" s="20">
        <v>43445</v>
      </c>
      <c r="F1016" s="20">
        <v>47098</v>
      </c>
      <c r="G1016" s="21">
        <v>32990</v>
      </c>
      <c r="H1016" s="22">
        <f t="shared" ca="1" si="30"/>
        <v>36</v>
      </c>
      <c r="I1016" s="19" t="s">
        <v>912</v>
      </c>
      <c r="J1016" s="18" t="s">
        <v>27</v>
      </c>
      <c r="K1016" s="18"/>
      <c r="L1016" s="23" t="s">
        <v>3748</v>
      </c>
      <c r="M1016" s="23" t="s">
        <v>3749</v>
      </c>
      <c r="N1016" s="23" t="s">
        <v>1488</v>
      </c>
      <c r="O1016" s="18"/>
      <c r="P1016" s="24"/>
      <c r="Q1016" s="25">
        <v>46159</v>
      </c>
      <c r="R1016" s="13">
        <v>0</v>
      </c>
      <c r="S1016" s="26" t="str">
        <f>VLOOKUP(C1016,'[4]Daily Wages '!$B$6:$G$197,6,0)</f>
        <v>08050010164471960012</v>
      </c>
      <c r="T1016" s="25" t="s">
        <v>32</v>
      </c>
      <c r="U1016" s="25" t="s">
        <v>3736</v>
      </c>
      <c r="V1016" s="25"/>
      <c r="W1016" s="27" t="s">
        <v>3746</v>
      </c>
      <c r="X1016" s="28" t="s">
        <v>3750</v>
      </c>
      <c r="Y1016" s="28"/>
      <c r="Z1016" s="29" t="s">
        <v>3390</v>
      </c>
    </row>
    <row r="1017" spans="1:26" ht="30" customHeight="1" thickBot="1" x14ac:dyDescent="0.25">
      <c r="A1017" s="17">
        <f t="shared" si="31"/>
        <v>1016</v>
      </c>
      <c r="B1017" s="18" t="s">
        <v>25</v>
      </c>
      <c r="C1017" s="19">
        <v>3220363401047</v>
      </c>
      <c r="D1017" s="19"/>
      <c r="E1017" s="20">
        <v>42542</v>
      </c>
      <c r="F1017" s="20">
        <v>46194</v>
      </c>
      <c r="G1017" s="21">
        <v>31413</v>
      </c>
      <c r="H1017" s="22">
        <f t="shared" ca="1" si="30"/>
        <v>40</v>
      </c>
      <c r="I1017" s="19" t="s">
        <v>26</v>
      </c>
      <c r="J1017" s="18" t="s">
        <v>27</v>
      </c>
      <c r="K1017" s="18"/>
      <c r="L1017" s="23" t="s">
        <v>3751</v>
      </c>
      <c r="M1017" s="23" t="s">
        <v>3699</v>
      </c>
      <c r="N1017" s="23" t="s">
        <v>1499</v>
      </c>
      <c r="O1017" s="18"/>
      <c r="P1017" s="24"/>
      <c r="Q1017" s="25">
        <v>46080</v>
      </c>
      <c r="R1017" s="13">
        <v>0</v>
      </c>
      <c r="S1017" s="26" t="str">
        <f>VLOOKUP(C1017,'[4]Daily Wages '!$B$6:$G$197,6,0)</f>
        <v>08050010093871620013</v>
      </c>
      <c r="T1017" s="25" t="s">
        <v>32</v>
      </c>
      <c r="U1017" s="25" t="s">
        <v>3736</v>
      </c>
      <c r="V1017" s="25"/>
      <c r="W1017" s="27" t="s">
        <v>3752</v>
      </c>
      <c r="X1017" s="28" t="s">
        <v>3753</v>
      </c>
      <c r="Y1017" s="28"/>
      <c r="Z1017" s="29" t="s">
        <v>3390</v>
      </c>
    </row>
    <row r="1018" spans="1:26" ht="30" customHeight="1" thickBot="1" x14ac:dyDescent="0.25">
      <c r="A1018" s="17">
        <f t="shared" si="31"/>
        <v>1017</v>
      </c>
      <c r="B1018" s="18" t="s">
        <v>25</v>
      </c>
      <c r="C1018" s="19">
        <v>3220374621785</v>
      </c>
      <c r="D1018" s="19"/>
      <c r="E1018" s="20">
        <v>45153</v>
      </c>
      <c r="F1018" s="20">
        <v>48806</v>
      </c>
      <c r="G1018" s="21">
        <v>38432</v>
      </c>
      <c r="H1018" s="22">
        <f t="shared" ca="1" si="30"/>
        <v>21</v>
      </c>
      <c r="I1018" s="19" t="s">
        <v>26</v>
      </c>
      <c r="J1018" s="18" t="s">
        <v>27</v>
      </c>
      <c r="K1018" s="18"/>
      <c r="L1018" s="23" t="s">
        <v>1470</v>
      </c>
      <c r="M1018" s="23" t="s">
        <v>1255</v>
      </c>
      <c r="N1018" s="23" t="s">
        <v>1499</v>
      </c>
      <c r="O1018" s="18"/>
      <c r="P1018" s="24"/>
      <c r="Q1018" s="25">
        <v>46080</v>
      </c>
      <c r="R1018" s="13">
        <v>0</v>
      </c>
      <c r="S1018" s="26" t="str">
        <f>VLOOKUP(C1018,'[4]Daily Wages '!$B$6:$G$197,6,0)</f>
        <v>08050010160834220013</v>
      </c>
      <c r="T1018" s="25" t="s">
        <v>32</v>
      </c>
      <c r="U1018" s="25" t="s">
        <v>3736</v>
      </c>
      <c r="V1018" s="25" t="s">
        <v>884</v>
      </c>
      <c r="W1018" s="27" t="s">
        <v>3754</v>
      </c>
      <c r="X1018" s="28" t="s">
        <v>3755</v>
      </c>
      <c r="Y1018" s="28"/>
      <c r="Z1018" s="29" t="s">
        <v>3390</v>
      </c>
    </row>
    <row r="1019" spans="1:26" ht="30" customHeight="1" thickBot="1" x14ac:dyDescent="0.25">
      <c r="A1019" s="17">
        <f t="shared" si="31"/>
        <v>1018</v>
      </c>
      <c r="B1019" s="18" t="s">
        <v>25</v>
      </c>
      <c r="C1019" s="19">
        <v>3220355245977</v>
      </c>
      <c r="D1019" s="19"/>
      <c r="E1019" s="20">
        <v>44684</v>
      </c>
      <c r="F1019" s="20">
        <v>48337</v>
      </c>
      <c r="G1019" s="21">
        <v>36581</v>
      </c>
      <c r="H1019" s="22">
        <f t="shared" ca="1" si="30"/>
        <v>26</v>
      </c>
      <c r="I1019" s="19" t="s">
        <v>26</v>
      </c>
      <c r="J1019" s="18" t="s">
        <v>27</v>
      </c>
      <c r="K1019" s="18"/>
      <c r="L1019" s="23" t="s">
        <v>1968</v>
      </c>
      <c r="M1019" s="23" t="s">
        <v>3756</v>
      </c>
      <c r="N1019" s="23" t="s">
        <v>1499</v>
      </c>
      <c r="O1019" s="18"/>
      <c r="P1019" s="24"/>
      <c r="Q1019" s="25">
        <v>46080</v>
      </c>
      <c r="R1019" s="13">
        <v>0</v>
      </c>
      <c r="S1019" s="26" t="str">
        <f>VLOOKUP(C1019,'[4]Daily Wages '!$B$6:$G$197,6,0)</f>
        <v>08050010145951670010</v>
      </c>
      <c r="T1019" s="25" t="s">
        <v>32</v>
      </c>
      <c r="U1019" s="25" t="s">
        <v>3736</v>
      </c>
      <c r="V1019" s="25" t="s">
        <v>884</v>
      </c>
      <c r="W1019" s="27" t="s">
        <v>3757</v>
      </c>
      <c r="X1019" s="28" t="s">
        <v>3758</v>
      </c>
      <c r="Y1019" s="28"/>
      <c r="Z1019" s="29" t="s">
        <v>3390</v>
      </c>
    </row>
    <row r="1020" spans="1:26" ht="30" customHeight="1" thickBot="1" x14ac:dyDescent="0.25">
      <c r="A1020" s="17">
        <f t="shared" si="31"/>
        <v>1019</v>
      </c>
      <c r="B1020" s="18" t="s">
        <v>25</v>
      </c>
      <c r="C1020" s="19">
        <v>3220108897671</v>
      </c>
      <c r="D1020" s="19"/>
      <c r="E1020" s="20">
        <v>45141</v>
      </c>
      <c r="F1020" s="20">
        <v>48794</v>
      </c>
      <c r="G1020" s="21">
        <v>33191</v>
      </c>
      <c r="H1020" s="22">
        <f t="shared" ca="1" si="30"/>
        <v>35</v>
      </c>
      <c r="I1020" s="19" t="s">
        <v>26</v>
      </c>
      <c r="J1020" s="18" t="s">
        <v>27</v>
      </c>
      <c r="K1020" s="18"/>
      <c r="L1020" s="23" t="s">
        <v>3759</v>
      </c>
      <c r="M1020" s="23" t="s">
        <v>127</v>
      </c>
      <c r="N1020" s="23" t="s">
        <v>1499</v>
      </c>
      <c r="O1020" s="18"/>
      <c r="P1020" s="24"/>
      <c r="Q1020" s="25">
        <v>46109</v>
      </c>
      <c r="R1020" s="13">
        <v>0</v>
      </c>
      <c r="S1020" s="26" t="str">
        <f>VLOOKUP(C1020,'[4]Daily Wages '!$B$6:$G$197,6,0)</f>
        <v>08050010161791980016</v>
      </c>
      <c r="T1020" s="25" t="s">
        <v>32</v>
      </c>
      <c r="U1020" s="25" t="s">
        <v>3736</v>
      </c>
      <c r="V1020" s="25"/>
      <c r="W1020" s="27" t="s">
        <v>3760</v>
      </c>
      <c r="X1020" s="28" t="s">
        <v>3761</v>
      </c>
      <c r="Y1020" s="28"/>
      <c r="Z1020" s="29" t="s">
        <v>3390</v>
      </c>
    </row>
    <row r="1021" spans="1:26" ht="30" customHeight="1" thickBot="1" x14ac:dyDescent="0.25">
      <c r="A1021" s="17">
        <f t="shared" si="31"/>
        <v>1020</v>
      </c>
      <c r="B1021" s="18" t="s">
        <v>25</v>
      </c>
      <c r="C1021" s="19">
        <v>3520260572533</v>
      </c>
      <c r="D1021" s="19">
        <v>1965</v>
      </c>
      <c r="E1021" s="20">
        <v>43542</v>
      </c>
      <c r="F1021" s="20">
        <v>47195</v>
      </c>
      <c r="G1021" s="21">
        <v>36410</v>
      </c>
      <c r="H1021" s="22">
        <f t="shared" ca="1" si="30"/>
        <v>26</v>
      </c>
      <c r="I1021" s="19" t="s">
        <v>26</v>
      </c>
      <c r="J1021" s="18" t="s">
        <v>27</v>
      </c>
      <c r="K1021" s="18"/>
      <c r="L1021" s="23" t="s">
        <v>3762</v>
      </c>
      <c r="M1021" s="23" t="s">
        <v>3713</v>
      </c>
      <c r="N1021" s="23" t="s">
        <v>1499</v>
      </c>
      <c r="O1021" s="18"/>
      <c r="P1021" s="24"/>
      <c r="Q1021" s="25">
        <v>45992</v>
      </c>
      <c r="R1021" s="13">
        <v>0</v>
      </c>
      <c r="S1021" s="26" t="str">
        <f>VLOOKUP(C1021,'[1]Bazaar Salary'!$B$6:$J$1193,9,0)</f>
        <v>07660010155111620017</v>
      </c>
      <c r="T1021" s="25" t="s">
        <v>32</v>
      </c>
      <c r="U1021" s="25" t="s">
        <v>286</v>
      </c>
      <c r="V1021" s="25"/>
      <c r="W1021" s="27" t="s">
        <v>3763</v>
      </c>
      <c r="X1021" s="28" t="s">
        <v>3764</v>
      </c>
      <c r="Y1021" s="28"/>
      <c r="Z1021" s="29" t="s">
        <v>37</v>
      </c>
    </row>
    <row r="1022" spans="1:26" ht="30" customHeight="1" thickBot="1" x14ac:dyDescent="0.25">
      <c r="A1022" s="17">
        <f t="shared" si="31"/>
        <v>1021</v>
      </c>
      <c r="B1022" s="18" t="s">
        <v>25</v>
      </c>
      <c r="C1022" s="19">
        <v>3520210346545</v>
      </c>
      <c r="D1022" s="19"/>
      <c r="E1022" s="20">
        <v>44991</v>
      </c>
      <c r="F1022" s="20">
        <v>48644</v>
      </c>
      <c r="G1022" s="21">
        <v>30133</v>
      </c>
      <c r="H1022" s="22">
        <f t="shared" ca="1" si="30"/>
        <v>43</v>
      </c>
      <c r="I1022" s="19" t="s">
        <v>26</v>
      </c>
      <c r="J1022" s="18" t="s">
        <v>27</v>
      </c>
      <c r="K1022" s="18"/>
      <c r="L1022" s="23" t="s">
        <v>3765</v>
      </c>
      <c r="M1022" s="23" t="s">
        <v>3766</v>
      </c>
      <c r="N1022" s="23" t="s">
        <v>1499</v>
      </c>
      <c r="O1022" s="18"/>
      <c r="P1022" s="24"/>
      <c r="Q1022" s="25">
        <v>45992</v>
      </c>
      <c r="R1022" s="13">
        <v>0</v>
      </c>
      <c r="S1022" s="26" t="str">
        <f>VLOOKUP(C1022,'[1]Bazaar Salary'!$B$6:$J$1193,9,0)</f>
        <v>09650010036542290020</v>
      </c>
      <c r="T1022" s="25" t="s">
        <v>32</v>
      </c>
      <c r="U1022" s="25" t="s">
        <v>286</v>
      </c>
      <c r="V1022" s="25"/>
      <c r="W1022" s="27" t="s">
        <v>3767</v>
      </c>
      <c r="X1022" s="28" t="s">
        <v>3768</v>
      </c>
      <c r="Y1022" s="28"/>
      <c r="Z1022" s="29" t="s">
        <v>37</v>
      </c>
    </row>
    <row r="1023" spans="1:26" ht="30" customHeight="1" thickBot="1" x14ac:dyDescent="0.25">
      <c r="A1023" s="17">
        <f t="shared" si="31"/>
        <v>1022</v>
      </c>
      <c r="B1023" s="18" t="s">
        <v>25</v>
      </c>
      <c r="C1023" s="19">
        <v>3520241848819</v>
      </c>
      <c r="D1023" s="19"/>
      <c r="E1023" s="20">
        <v>44385</v>
      </c>
      <c r="F1023" s="20">
        <v>48037</v>
      </c>
      <c r="G1023" s="21">
        <v>34727</v>
      </c>
      <c r="H1023" s="22">
        <f t="shared" ca="1" si="30"/>
        <v>31</v>
      </c>
      <c r="I1023" s="19" t="s">
        <v>912</v>
      </c>
      <c r="J1023" s="18" t="s">
        <v>27</v>
      </c>
      <c r="K1023" s="18"/>
      <c r="L1023" s="23" t="s">
        <v>3769</v>
      </c>
      <c r="M1023" s="23" t="s">
        <v>3770</v>
      </c>
      <c r="N1023" s="23" t="s">
        <v>1488</v>
      </c>
      <c r="O1023" s="18"/>
      <c r="P1023" s="24"/>
      <c r="Q1023" s="25">
        <v>46079</v>
      </c>
      <c r="R1023" s="13">
        <v>0</v>
      </c>
      <c r="S1023" s="26" t="str">
        <f>VLOOKUP(C1023,'[4]Daily Wages '!$B$6:$G$197,6,0)</f>
        <v>06010010160575570014</v>
      </c>
      <c r="T1023" s="25" t="s">
        <v>32</v>
      </c>
      <c r="U1023" s="25" t="s">
        <v>286</v>
      </c>
      <c r="V1023" s="25"/>
      <c r="W1023" s="27" t="s">
        <v>3771</v>
      </c>
      <c r="X1023" s="28" t="s">
        <v>3772</v>
      </c>
      <c r="Y1023" s="28"/>
      <c r="Z1023" s="29" t="s">
        <v>3390</v>
      </c>
    </row>
    <row r="1024" spans="1:26" ht="30" customHeight="1" thickBot="1" x14ac:dyDescent="0.25">
      <c r="A1024" s="17">
        <f t="shared" si="31"/>
        <v>1023</v>
      </c>
      <c r="B1024" s="18" t="s">
        <v>25</v>
      </c>
      <c r="C1024" s="19">
        <v>3520254499721</v>
      </c>
      <c r="D1024" s="19"/>
      <c r="E1024" s="20">
        <v>44653</v>
      </c>
      <c r="F1024" s="20">
        <v>48306</v>
      </c>
      <c r="G1024" s="21">
        <v>37479</v>
      </c>
      <c r="H1024" s="22">
        <f t="shared" ca="1" si="30"/>
        <v>23</v>
      </c>
      <c r="I1024" s="19" t="s">
        <v>912</v>
      </c>
      <c r="J1024" s="18" t="s">
        <v>27</v>
      </c>
      <c r="K1024" s="18"/>
      <c r="L1024" s="23" t="s">
        <v>2285</v>
      </c>
      <c r="M1024" s="23" t="s">
        <v>3773</v>
      </c>
      <c r="N1024" s="23" t="s">
        <v>1488</v>
      </c>
      <c r="O1024" s="18"/>
      <c r="P1024" s="24"/>
      <c r="Q1024" s="25">
        <v>46080</v>
      </c>
      <c r="R1024" s="13">
        <v>0</v>
      </c>
      <c r="S1024" s="26" t="str">
        <f>VLOOKUP(C1024,'[4]Daily Wages '!$B$6:$G$197,6,0)</f>
        <v>05150010160817550016</v>
      </c>
      <c r="T1024" s="25" t="s">
        <v>32</v>
      </c>
      <c r="U1024" s="25" t="s">
        <v>286</v>
      </c>
      <c r="V1024" s="25"/>
      <c r="W1024" s="27" t="s">
        <v>3774</v>
      </c>
      <c r="X1024" s="28" t="s">
        <v>3775</v>
      </c>
      <c r="Y1024" s="28"/>
      <c r="Z1024" s="29" t="s">
        <v>3390</v>
      </c>
    </row>
    <row r="1025" spans="1:26" ht="30" customHeight="1" thickBot="1" x14ac:dyDescent="0.25">
      <c r="A1025" s="17">
        <f t="shared" si="31"/>
        <v>1024</v>
      </c>
      <c r="B1025" s="18" t="s">
        <v>25</v>
      </c>
      <c r="C1025" s="19">
        <v>3520403688289</v>
      </c>
      <c r="D1025" s="19"/>
      <c r="E1025" s="20">
        <v>43250</v>
      </c>
      <c r="F1025" s="20">
        <v>46903</v>
      </c>
      <c r="G1025" s="21">
        <v>36626</v>
      </c>
      <c r="H1025" s="22">
        <f t="shared" ca="1" si="30"/>
        <v>26</v>
      </c>
      <c r="I1025" s="19" t="s">
        <v>26</v>
      </c>
      <c r="J1025" s="18" t="s">
        <v>27</v>
      </c>
      <c r="K1025" s="18"/>
      <c r="L1025" s="23" t="s">
        <v>3776</v>
      </c>
      <c r="M1025" s="23" t="s">
        <v>2992</v>
      </c>
      <c r="N1025" s="23" t="s">
        <v>1488</v>
      </c>
      <c r="O1025" s="18"/>
      <c r="P1025" s="24"/>
      <c r="Q1025" s="25">
        <v>46071</v>
      </c>
      <c r="R1025" s="13">
        <v>0</v>
      </c>
      <c r="S1025" s="26" t="str">
        <f>VLOOKUP(C1025,'[4]Daily Wages '!$B$6:$G$197,6,0)</f>
        <v>09650010160733000015</v>
      </c>
      <c r="T1025" s="25" t="s">
        <v>32</v>
      </c>
      <c r="U1025" s="25" t="s">
        <v>286</v>
      </c>
      <c r="V1025" s="25"/>
      <c r="W1025" s="27" t="s">
        <v>3777</v>
      </c>
      <c r="X1025" s="28" t="s">
        <v>3778</v>
      </c>
      <c r="Y1025" s="28"/>
      <c r="Z1025" s="29" t="s">
        <v>3390</v>
      </c>
    </row>
    <row r="1026" spans="1:26" ht="30" customHeight="1" thickBot="1" x14ac:dyDescent="0.25">
      <c r="A1026" s="17">
        <f t="shared" si="31"/>
        <v>1025</v>
      </c>
      <c r="B1026" s="18" t="s">
        <v>25</v>
      </c>
      <c r="C1026" s="19">
        <v>3520238026729</v>
      </c>
      <c r="D1026" s="19"/>
      <c r="E1026" s="20">
        <v>44778</v>
      </c>
      <c r="F1026" s="20">
        <v>48431</v>
      </c>
      <c r="G1026" s="21">
        <v>36828</v>
      </c>
      <c r="H1026" s="22">
        <f t="shared" ref="H1026:H1089" ca="1" si="32">INT((TODAY()-G1026)/365)</f>
        <v>25</v>
      </c>
      <c r="I1026" s="19" t="s">
        <v>912</v>
      </c>
      <c r="J1026" s="18" t="s">
        <v>27</v>
      </c>
      <c r="K1026" s="18"/>
      <c r="L1026" s="23" t="s">
        <v>3779</v>
      </c>
      <c r="M1026" s="23" t="s">
        <v>3780</v>
      </c>
      <c r="N1026" s="23" t="s">
        <v>1488</v>
      </c>
      <c r="O1026" s="18"/>
      <c r="P1026" s="24"/>
      <c r="Q1026" s="25">
        <v>46079</v>
      </c>
      <c r="R1026" s="13">
        <v>0</v>
      </c>
      <c r="S1026" s="26" t="str">
        <f>VLOOKUP(C1026,'[4]Daily Wages '!$B$6:$G$197,6,0)</f>
        <v>05150010160812870010</v>
      </c>
      <c r="T1026" s="25" t="s">
        <v>32</v>
      </c>
      <c r="U1026" s="25" t="s">
        <v>286</v>
      </c>
      <c r="V1026" s="25"/>
      <c r="W1026" s="27" t="s">
        <v>3781</v>
      </c>
      <c r="X1026" s="28" t="s">
        <v>3782</v>
      </c>
      <c r="Y1026" s="28"/>
      <c r="Z1026" s="29" t="s">
        <v>3390</v>
      </c>
    </row>
    <row r="1027" spans="1:26" ht="30" customHeight="1" thickBot="1" x14ac:dyDescent="0.25">
      <c r="A1027" s="17">
        <f t="shared" si="31"/>
        <v>1026</v>
      </c>
      <c r="B1027" s="18" t="s">
        <v>25</v>
      </c>
      <c r="C1027" s="19">
        <v>3520272996981</v>
      </c>
      <c r="D1027" s="19"/>
      <c r="E1027" s="20">
        <v>44560</v>
      </c>
      <c r="F1027" s="20">
        <v>48212</v>
      </c>
      <c r="G1027" s="21">
        <v>36265</v>
      </c>
      <c r="H1027" s="22">
        <f t="shared" ca="1" si="32"/>
        <v>27</v>
      </c>
      <c r="I1027" s="19" t="s">
        <v>912</v>
      </c>
      <c r="J1027" s="18" t="s">
        <v>27</v>
      </c>
      <c r="K1027" s="18"/>
      <c r="L1027" s="23" t="s">
        <v>3783</v>
      </c>
      <c r="M1027" s="23" t="s">
        <v>3784</v>
      </c>
      <c r="N1027" s="23" t="s">
        <v>1488</v>
      </c>
      <c r="O1027" s="18"/>
      <c r="P1027" s="24"/>
      <c r="Q1027" s="25">
        <v>46079</v>
      </c>
      <c r="R1027" s="13">
        <v>0</v>
      </c>
      <c r="S1027" s="26" t="str">
        <f>VLOOKUP(C1027,'[4]Daily Wages '!$B$6:$G$197,6,0)</f>
        <v>06010010160573980015</v>
      </c>
      <c r="T1027" s="25" t="s">
        <v>32</v>
      </c>
      <c r="U1027" s="25" t="s">
        <v>286</v>
      </c>
      <c r="V1027" s="25"/>
      <c r="W1027" s="27" t="s">
        <v>3785</v>
      </c>
      <c r="X1027" s="28" t="s">
        <v>3786</v>
      </c>
      <c r="Y1027" s="28"/>
      <c r="Z1027" s="29" t="s">
        <v>3390</v>
      </c>
    </row>
    <row r="1028" spans="1:26" ht="30" customHeight="1" thickBot="1" x14ac:dyDescent="0.25">
      <c r="A1028" s="17">
        <f t="shared" ref="A1028:A1091" si="33">A1027+1</f>
        <v>1027</v>
      </c>
      <c r="B1028" s="18" t="s">
        <v>25</v>
      </c>
      <c r="C1028" s="19">
        <v>3510258043995</v>
      </c>
      <c r="D1028" s="19">
        <v>1885</v>
      </c>
      <c r="E1028" s="20">
        <v>44839</v>
      </c>
      <c r="F1028" s="20">
        <v>48492</v>
      </c>
      <c r="G1028" s="21">
        <v>35075</v>
      </c>
      <c r="H1028" s="22">
        <f t="shared" ca="1" si="32"/>
        <v>30</v>
      </c>
      <c r="I1028" s="19" t="s">
        <v>26</v>
      </c>
      <c r="J1028" s="18" t="s">
        <v>27</v>
      </c>
      <c r="K1028" s="18"/>
      <c r="L1028" s="23" t="s">
        <v>3787</v>
      </c>
      <c r="M1028" s="23" t="s">
        <v>1928</v>
      </c>
      <c r="N1028" s="24" t="s">
        <v>1295</v>
      </c>
      <c r="O1028" s="18"/>
      <c r="P1028" s="24"/>
      <c r="Q1028" s="25">
        <v>45992</v>
      </c>
      <c r="R1028" s="13">
        <v>0</v>
      </c>
      <c r="S1028" s="26" t="str">
        <f>VLOOKUP(C1028,'[1]Bazaar Salary'!$B$6:$J$1193,9,0)</f>
        <v>05400010146154470011</v>
      </c>
      <c r="T1028" s="25" t="s">
        <v>32</v>
      </c>
      <c r="U1028" s="25" t="s">
        <v>1823</v>
      </c>
      <c r="V1028" s="25" t="s">
        <v>3391</v>
      </c>
      <c r="W1028" s="27" t="s">
        <v>3788</v>
      </c>
      <c r="X1028" s="28" t="s">
        <v>3789</v>
      </c>
      <c r="Y1028" s="28"/>
      <c r="Z1028" s="29" t="s">
        <v>37</v>
      </c>
    </row>
    <row r="1029" spans="1:26" ht="30" customHeight="1" thickBot="1" x14ac:dyDescent="0.25">
      <c r="A1029" s="17">
        <f t="shared" si="33"/>
        <v>1028</v>
      </c>
      <c r="B1029" s="18" t="s">
        <v>25</v>
      </c>
      <c r="C1029" s="19">
        <v>3510345455245</v>
      </c>
      <c r="D1029" s="19">
        <v>1883</v>
      </c>
      <c r="E1029" s="20">
        <v>43383</v>
      </c>
      <c r="F1029" s="20">
        <v>47036</v>
      </c>
      <c r="G1029" s="21">
        <v>32127</v>
      </c>
      <c r="H1029" s="22">
        <f t="shared" ca="1" si="32"/>
        <v>38</v>
      </c>
      <c r="I1029" s="19" t="s">
        <v>26</v>
      </c>
      <c r="J1029" s="18" t="s">
        <v>27</v>
      </c>
      <c r="K1029" s="18"/>
      <c r="L1029" s="23" t="s">
        <v>3790</v>
      </c>
      <c r="M1029" s="23" t="s">
        <v>3791</v>
      </c>
      <c r="N1029" s="24" t="s">
        <v>1295</v>
      </c>
      <c r="O1029" s="18"/>
      <c r="P1029" s="24"/>
      <c r="Q1029" s="25">
        <v>45992</v>
      </c>
      <c r="R1029" s="13">
        <v>0</v>
      </c>
      <c r="S1029" s="26" t="str">
        <f>VLOOKUP(C1029,'[1]Bazaar Salary'!$B$6:$J$1193,9,0)</f>
        <v>01530010145852280012</v>
      </c>
      <c r="T1029" s="25" t="s">
        <v>32</v>
      </c>
      <c r="U1029" s="25" t="s">
        <v>1823</v>
      </c>
      <c r="V1029" s="25" t="s">
        <v>3792</v>
      </c>
      <c r="W1029" s="27" t="s">
        <v>3793</v>
      </c>
      <c r="X1029" s="28" t="s">
        <v>3794</v>
      </c>
      <c r="Y1029" s="28"/>
      <c r="Z1029" s="29" t="s">
        <v>37</v>
      </c>
    </row>
    <row r="1030" spans="1:26" ht="30" customHeight="1" thickBot="1" x14ac:dyDescent="0.25">
      <c r="A1030" s="17">
        <f t="shared" si="33"/>
        <v>1029</v>
      </c>
      <c r="B1030" s="18" t="s">
        <v>25</v>
      </c>
      <c r="C1030" s="19">
        <v>3520206443345</v>
      </c>
      <c r="D1030" s="19"/>
      <c r="E1030" s="20">
        <v>44979</v>
      </c>
      <c r="F1030" s="20">
        <v>48632</v>
      </c>
      <c r="G1030" s="21">
        <v>37884</v>
      </c>
      <c r="H1030" s="22">
        <f t="shared" ca="1" si="32"/>
        <v>22</v>
      </c>
      <c r="I1030" s="19" t="s">
        <v>26</v>
      </c>
      <c r="J1030" s="18" t="s">
        <v>27</v>
      </c>
      <c r="K1030" s="18"/>
      <c r="L1030" s="23" t="s">
        <v>3795</v>
      </c>
      <c r="M1030" s="23" t="s">
        <v>3796</v>
      </c>
      <c r="N1030" s="24" t="s">
        <v>1295</v>
      </c>
      <c r="O1030" s="18"/>
      <c r="P1030" s="24"/>
      <c r="Q1030" s="25">
        <v>45992</v>
      </c>
      <c r="R1030" s="13">
        <v>0</v>
      </c>
      <c r="S1030" s="26" t="str">
        <f>VLOOKUP(C1030,'[1]Bazaar Salary'!$B$6:$J$1193,9,0)</f>
        <v>07740010147858410019</v>
      </c>
      <c r="T1030" s="25" t="s">
        <v>32</v>
      </c>
      <c r="U1030" s="25" t="s">
        <v>1823</v>
      </c>
      <c r="V1030" s="25" t="s">
        <v>3391</v>
      </c>
      <c r="W1030" s="27" t="s">
        <v>3797</v>
      </c>
      <c r="X1030" s="28" t="s">
        <v>3798</v>
      </c>
      <c r="Y1030" s="28"/>
      <c r="Z1030" s="29" t="s">
        <v>37</v>
      </c>
    </row>
    <row r="1031" spans="1:26" ht="30" customHeight="1" thickBot="1" x14ac:dyDescent="0.25">
      <c r="A1031" s="17">
        <f t="shared" si="33"/>
        <v>1030</v>
      </c>
      <c r="B1031" s="18" t="s">
        <v>25</v>
      </c>
      <c r="C1031" s="19">
        <v>3510112511923</v>
      </c>
      <c r="D1031" s="19"/>
      <c r="E1031" s="20">
        <v>44777</v>
      </c>
      <c r="F1031" s="20">
        <v>48430</v>
      </c>
      <c r="G1031" s="21">
        <v>34724</v>
      </c>
      <c r="H1031" s="22">
        <f t="shared" ca="1" si="32"/>
        <v>31</v>
      </c>
      <c r="I1031" s="19" t="s">
        <v>26</v>
      </c>
      <c r="J1031" s="18" t="s">
        <v>27</v>
      </c>
      <c r="K1031" s="18"/>
      <c r="L1031" s="23" t="s">
        <v>3799</v>
      </c>
      <c r="M1031" s="23" t="s">
        <v>3800</v>
      </c>
      <c r="N1031" s="23" t="s">
        <v>457</v>
      </c>
      <c r="O1031" s="18"/>
      <c r="P1031" s="24"/>
      <c r="Q1031" s="25">
        <v>46023</v>
      </c>
      <c r="R1031" s="13">
        <v>0</v>
      </c>
      <c r="S1031" s="26" t="str">
        <f>VLOOKUP(C1031,'[1]Bazaar Salary'!$B$6:$J$1193,9,0)</f>
        <v>07740010154107970016</v>
      </c>
      <c r="T1031" s="25" t="s">
        <v>32</v>
      </c>
      <c r="U1031" s="25" t="s">
        <v>1823</v>
      </c>
      <c r="V1031" s="25" t="s">
        <v>287</v>
      </c>
      <c r="W1031" s="27" t="s">
        <v>3801</v>
      </c>
      <c r="X1031" s="28" t="s">
        <v>3802</v>
      </c>
      <c r="Y1031" s="28"/>
      <c r="Z1031" s="29" t="s">
        <v>37</v>
      </c>
    </row>
    <row r="1032" spans="1:26" ht="30" customHeight="1" thickBot="1" x14ac:dyDescent="0.25">
      <c r="A1032" s="17">
        <f t="shared" si="33"/>
        <v>1031</v>
      </c>
      <c r="B1032" s="18" t="s">
        <v>25</v>
      </c>
      <c r="C1032" s="19">
        <v>3510171993247</v>
      </c>
      <c r="D1032" s="19">
        <v>1892</v>
      </c>
      <c r="E1032" s="20">
        <v>43895</v>
      </c>
      <c r="F1032" s="20">
        <v>47547</v>
      </c>
      <c r="G1032" s="21">
        <v>32309</v>
      </c>
      <c r="H1032" s="22">
        <f t="shared" ca="1" si="32"/>
        <v>38</v>
      </c>
      <c r="I1032" s="19" t="s">
        <v>26</v>
      </c>
      <c r="J1032" s="18" t="s">
        <v>27</v>
      </c>
      <c r="K1032" s="18"/>
      <c r="L1032" s="23" t="s">
        <v>1455</v>
      </c>
      <c r="M1032" s="23" t="s">
        <v>511</v>
      </c>
      <c r="N1032" s="24" t="s">
        <v>457</v>
      </c>
      <c r="O1032" s="18"/>
      <c r="P1032" s="24"/>
      <c r="Q1032" s="25">
        <v>46023</v>
      </c>
      <c r="R1032" s="13">
        <v>0</v>
      </c>
      <c r="S1032" s="26" t="str">
        <f>VLOOKUP(C1032,'[1]Bazaar Salary'!$B$6:$J$1193,9,0)</f>
        <v>07740010145856440010</v>
      </c>
      <c r="T1032" s="25" t="s">
        <v>32</v>
      </c>
      <c r="U1032" s="25" t="s">
        <v>1823</v>
      </c>
      <c r="V1032" s="25" t="s">
        <v>3803</v>
      </c>
      <c r="W1032" s="27" t="s">
        <v>3804</v>
      </c>
      <c r="X1032" s="28" t="s">
        <v>3805</v>
      </c>
      <c r="Y1032" s="28"/>
      <c r="Z1032" s="29" t="s">
        <v>37</v>
      </c>
    </row>
    <row r="1033" spans="1:26" ht="30" customHeight="1" thickBot="1" x14ac:dyDescent="0.25">
      <c r="A1033" s="17">
        <f t="shared" si="33"/>
        <v>1032</v>
      </c>
      <c r="B1033" s="18" t="s">
        <v>25</v>
      </c>
      <c r="C1033" s="19">
        <v>3510371029995</v>
      </c>
      <c r="D1033" s="19"/>
      <c r="E1033" s="20">
        <v>44984</v>
      </c>
      <c r="F1033" s="20">
        <v>48637</v>
      </c>
      <c r="G1033" s="21">
        <v>33909</v>
      </c>
      <c r="H1033" s="22">
        <f t="shared" ca="1" si="32"/>
        <v>33</v>
      </c>
      <c r="I1033" s="19" t="s">
        <v>26</v>
      </c>
      <c r="J1033" s="18" t="s">
        <v>27</v>
      </c>
      <c r="K1033" s="18"/>
      <c r="L1033" s="23" t="s">
        <v>3806</v>
      </c>
      <c r="M1033" s="23" t="s">
        <v>3807</v>
      </c>
      <c r="N1033" s="24" t="s">
        <v>468</v>
      </c>
      <c r="O1033" s="18"/>
      <c r="P1033" s="24"/>
      <c r="Q1033" s="25">
        <v>46023</v>
      </c>
      <c r="R1033" s="13">
        <v>0</v>
      </c>
      <c r="S1033" s="26" t="str">
        <f>VLOOKUP(C1033,'[1]Bazaar Salary'!$B$6:$J$1193,9,0)</f>
        <v>07740010155259810012</v>
      </c>
      <c r="T1033" s="25" t="s">
        <v>32</v>
      </c>
      <c r="U1033" s="25" t="s">
        <v>1823</v>
      </c>
      <c r="V1033" s="25" t="s">
        <v>3808</v>
      </c>
      <c r="W1033" s="27" t="s">
        <v>3809</v>
      </c>
      <c r="X1033" s="28" t="s">
        <v>3810</v>
      </c>
      <c r="Y1033" s="28"/>
      <c r="Z1033" s="29" t="s">
        <v>37</v>
      </c>
    </row>
    <row r="1034" spans="1:26" ht="30" customHeight="1" thickBot="1" x14ac:dyDescent="0.25">
      <c r="A1034" s="17">
        <f t="shared" si="33"/>
        <v>1033</v>
      </c>
      <c r="B1034" s="18" t="s">
        <v>25</v>
      </c>
      <c r="C1034" s="19">
        <v>3520186031745</v>
      </c>
      <c r="D1034" s="19"/>
      <c r="E1034" s="20">
        <v>45980</v>
      </c>
      <c r="F1034" s="20">
        <v>49632</v>
      </c>
      <c r="G1034" s="21">
        <v>34875</v>
      </c>
      <c r="H1034" s="22">
        <f t="shared" ca="1" si="32"/>
        <v>30</v>
      </c>
      <c r="I1034" s="19" t="s">
        <v>912</v>
      </c>
      <c r="J1034" s="18" t="s">
        <v>27</v>
      </c>
      <c r="K1034" s="18"/>
      <c r="L1034" s="23" t="s">
        <v>3811</v>
      </c>
      <c r="M1034" s="23" t="s">
        <v>3812</v>
      </c>
      <c r="N1034" s="23" t="s">
        <v>1488</v>
      </c>
      <c r="O1034" s="18"/>
      <c r="P1034" s="24"/>
      <c r="Q1034" s="25">
        <v>45992</v>
      </c>
      <c r="R1034" s="13">
        <v>0</v>
      </c>
      <c r="S1034" s="26" t="str">
        <f>VLOOKUP(C1034,'[1]Bazaar Salary'!$B$6:$J$1193,9,0)</f>
        <v>07740010156428900010</v>
      </c>
      <c r="T1034" s="25" t="s">
        <v>32</v>
      </c>
      <c r="U1034" s="25" t="s">
        <v>1823</v>
      </c>
      <c r="V1034" s="25"/>
      <c r="W1034" s="27" t="s">
        <v>3813</v>
      </c>
      <c r="X1034" s="28" t="s">
        <v>972</v>
      </c>
      <c r="Y1034" s="28"/>
      <c r="Z1034" s="29" t="s">
        <v>37</v>
      </c>
    </row>
    <row r="1035" spans="1:26" ht="30" customHeight="1" thickBot="1" x14ac:dyDescent="0.25">
      <c r="A1035" s="17">
        <f t="shared" si="33"/>
        <v>1034</v>
      </c>
      <c r="B1035" s="18" t="s">
        <v>25</v>
      </c>
      <c r="C1035" s="19">
        <v>3510155042293</v>
      </c>
      <c r="D1035" s="19"/>
      <c r="E1035" s="20">
        <v>43888</v>
      </c>
      <c r="F1035" s="20">
        <v>47541</v>
      </c>
      <c r="G1035" s="21">
        <v>35796</v>
      </c>
      <c r="H1035" s="22">
        <f t="shared" ca="1" si="32"/>
        <v>28</v>
      </c>
      <c r="I1035" s="19" t="s">
        <v>912</v>
      </c>
      <c r="J1035" s="18" t="s">
        <v>27</v>
      </c>
      <c r="K1035" s="18"/>
      <c r="L1035" s="23" t="s">
        <v>3814</v>
      </c>
      <c r="M1035" s="23" t="s">
        <v>3815</v>
      </c>
      <c r="N1035" s="23" t="s">
        <v>1488</v>
      </c>
      <c r="O1035" s="18"/>
      <c r="P1035" s="24"/>
      <c r="Q1035" s="25">
        <v>45992</v>
      </c>
      <c r="R1035" s="13">
        <v>0</v>
      </c>
      <c r="S1035" s="26" t="str">
        <f>VLOOKUP(C1035,'[1]Bazaar Salary'!$B$6:$J$1193,9,0)</f>
        <v>07740010156651240010</v>
      </c>
      <c r="T1035" s="25" t="s">
        <v>32</v>
      </c>
      <c r="U1035" s="25" t="s">
        <v>1823</v>
      </c>
      <c r="V1035" s="25"/>
      <c r="W1035" s="27" t="s">
        <v>3816</v>
      </c>
      <c r="X1035" s="28" t="s">
        <v>972</v>
      </c>
      <c r="Y1035" s="28"/>
      <c r="Z1035" s="29" t="s">
        <v>37</v>
      </c>
    </row>
    <row r="1036" spans="1:26" ht="30" customHeight="1" thickBot="1" x14ac:dyDescent="0.25">
      <c r="A1036" s="17">
        <f t="shared" si="33"/>
        <v>1035</v>
      </c>
      <c r="B1036" s="18" t="s">
        <v>25</v>
      </c>
      <c r="C1036" s="19">
        <v>3510178901025</v>
      </c>
      <c r="D1036" s="19"/>
      <c r="E1036" s="20">
        <v>44893</v>
      </c>
      <c r="F1036" s="20">
        <v>48546</v>
      </c>
      <c r="G1036" s="21">
        <v>29872</v>
      </c>
      <c r="H1036" s="22">
        <f t="shared" ca="1" si="32"/>
        <v>44</v>
      </c>
      <c r="I1036" s="19" t="s">
        <v>26</v>
      </c>
      <c r="J1036" s="18" t="s">
        <v>27</v>
      </c>
      <c r="K1036" s="18"/>
      <c r="L1036" s="23" t="s">
        <v>1621</v>
      </c>
      <c r="M1036" s="23" t="s">
        <v>307</v>
      </c>
      <c r="N1036" s="23" t="s">
        <v>1499</v>
      </c>
      <c r="O1036" s="18"/>
      <c r="P1036" s="24"/>
      <c r="Q1036" s="25">
        <v>46002</v>
      </c>
      <c r="R1036" s="13">
        <v>0</v>
      </c>
      <c r="S1036" s="26" t="str">
        <f>VLOOKUP(C1036,'[1]Bazaar Salary'!$B$6:$J$1193,9,0)</f>
        <v>07740010156503400018</v>
      </c>
      <c r="T1036" s="25" t="s">
        <v>32</v>
      </c>
      <c r="U1036" s="25" t="s">
        <v>1823</v>
      </c>
      <c r="V1036" s="25"/>
      <c r="W1036" s="27" t="s">
        <v>3817</v>
      </c>
      <c r="X1036" s="28" t="s">
        <v>3818</v>
      </c>
      <c r="Y1036" s="28"/>
      <c r="Z1036" s="29" t="s">
        <v>37</v>
      </c>
    </row>
    <row r="1037" spans="1:26" ht="30" customHeight="1" thickBot="1" x14ac:dyDescent="0.25">
      <c r="A1037" s="17">
        <f t="shared" si="33"/>
        <v>1036</v>
      </c>
      <c r="B1037" s="18" t="s">
        <v>25</v>
      </c>
      <c r="C1037" s="19">
        <v>3520282145843</v>
      </c>
      <c r="D1037" s="19"/>
      <c r="E1037" s="20">
        <v>43531</v>
      </c>
      <c r="F1037" s="20">
        <v>47184</v>
      </c>
      <c r="G1037" s="21">
        <v>36719</v>
      </c>
      <c r="H1037" s="22">
        <f t="shared" ca="1" si="32"/>
        <v>25</v>
      </c>
      <c r="I1037" s="19" t="s">
        <v>26</v>
      </c>
      <c r="J1037" s="18" t="s">
        <v>27</v>
      </c>
      <c r="K1037" s="18"/>
      <c r="L1037" s="23" t="s">
        <v>3819</v>
      </c>
      <c r="M1037" s="23" t="s">
        <v>3820</v>
      </c>
      <c r="N1037" s="23" t="s">
        <v>1499</v>
      </c>
      <c r="O1037" s="18"/>
      <c r="P1037" s="24"/>
      <c r="Q1037" s="25">
        <v>45992</v>
      </c>
      <c r="R1037" s="13">
        <v>0</v>
      </c>
      <c r="S1037" s="26" t="str">
        <f>VLOOKUP(C1037,'[1]Bazaar Salary'!$B$6:$J$1193,9,0)</f>
        <v>03910010155323810010</v>
      </c>
      <c r="T1037" s="25" t="s">
        <v>32</v>
      </c>
      <c r="U1037" s="25" t="s">
        <v>1823</v>
      </c>
      <c r="V1037" s="25"/>
      <c r="W1037" s="27" t="s">
        <v>3821</v>
      </c>
      <c r="X1037" s="28" t="s">
        <v>3822</v>
      </c>
      <c r="Y1037" s="28"/>
      <c r="Z1037" s="29" t="s">
        <v>37</v>
      </c>
    </row>
    <row r="1038" spans="1:26" ht="30" customHeight="1" thickBot="1" x14ac:dyDescent="0.25">
      <c r="A1038" s="17">
        <f t="shared" si="33"/>
        <v>1037</v>
      </c>
      <c r="B1038" s="18" t="s">
        <v>25</v>
      </c>
      <c r="C1038" s="19">
        <v>3510322782183</v>
      </c>
      <c r="D1038" s="19"/>
      <c r="E1038" s="20">
        <v>44648</v>
      </c>
      <c r="F1038" s="20">
        <v>48301</v>
      </c>
      <c r="G1038" s="21">
        <v>33499</v>
      </c>
      <c r="H1038" s="22">
        <f t="shared" ca="1" si="32"/>
        <v>34</v>
      </c>
      <c r="I1038" s="19" t="s">
        <v>26</v>
      </c>
      <c r="J1038" s="18" t="s">
        <v>27</v>
      </c>
      <c r="K1038" s="18"/>
      <c r="L1038" s="23" t="s">
        <v>3823</v>
      </c>
      <c r="M1038" s="23" t="s">
        <v>3824</v>
      </c>
      <c r="N1038" s="23" t="s">
        <v>1499</v>
      </c>
      <c r="O1038" s="18"/>
      <c r="P1038" s="24"/>
      <c r="Q1038" s="25">
        <v>45992</v>
      </c>
      <c r="R1038" s="13">
        <v>0</v>
      </c>
      <c r="S1038" s="26" t="str">
        <f>VLOOKUP(C1038,'[1]Bazaar Salary'!$B$6:$J$1193,9,0)</f>
        <v>03900010154753080013</v>
      </c>
      <c r="T1038" s="25" t="s">
        <v>32</v>
      </c>
      <c r="U1038" s="25" t="s">
        <v>1823</v>
      </c>
      <c r="V1038" s="25"/>
      <c r="W1038" s="27" t="s">
        <v>869</v>
      </c>
      <c r="X1038" s="28" t="s">
        <v>3825</v>
      </c>
      <c r="Y1038" s="28"/>
      <c r="Z1038" s="29" t="s">
        <v>37</v>
      </c>
    </row>
    <row r="1039" spans="1:26" ht="30" customHeight="1" thickBot="1" x14ac:dyDescent="0.25">
      <c r="A1039" s="17">
        <f t="shared" si="33"/>
        <v>1038</v>
      </c>
      <c r="B1039" s="18" t="s">
        <v>25</v>
      </c>
      <c r="C1039" s="19">
        <v>3510197015679</v>
      </c>
      <c r="D1039" s="19"/>
      <c r="E1039" s="20">
        <v>43179</v>
      </c>
      <c r="F1039" s="20">
        <v>46832</v>
      </c>
      <c r="G1039" s="21">
        <v>36526</v>
      </c>
      <c r="H1039" s="22">
        <f t="shared" ca="1" si="32"/>
        <v>26</v>
      </c>
      <c r="I1039" s="19" t="s">
        <v>26</v>
      </c>
      <c r="J1039" s="18" t="s">
        <v>27</v>
      </c>
      <c r="K1039" s="18"/>
      <c r="L1039" s="23" t="s">
        <v>3826</v>
      </c>
      <c r="M1039" s="23" t="s">
        <v>438</v>
      </c>
      <c r="N1039" s="23" t="s">
        <v>1499</v>
      </c>
      <c r="O1039" s="18"/>
      <c r="P1039" s="24"/>
      <c r="Q1039" s="25">
        <v>45992</v>
      </c>
      <c r="R1039" s="13">
        <v>0</v>
      </c>
      <c r="S1039" s="26" t="str">
        <f>VLOOKUP(C1039,'[1]Bazaar Salary'!$B$6:$J$1193,9,0)</f>
        <v>07740010153917160010</v>
      </c>
      <c r="T1039" s="25" t="s">
        <v>32</v>
      </c>
      <c r="U1039" s="25" t="s">
        <v>1823</v>
      </c>
      <c r="V1039" s="25"/>
      <c r="W1039" s="27" t="s">
        <v>3827</v>
      </c>
      <c r="X1039" s="28" t="s">
        <v>3828</v>
      </c>
      <c r="Y1039" s="28"/>
      <c r="Z1039" s="29" t="s">
        <v>37</v>
      </c>
    </row>
    <row r="1040" spans="1:26" ht="30" customHeight="1" thickBot="1" x14ac:dyDescent="0.25">
      <c r="A1040" s="17">
        <f t="shared" si="33"/>
        <v>1039</v>
      </c>
      <c r="B1040" s="18" t="s">
        <v>25</v>
      </c>
      <c r="C1040" s="19">
        <v>3510189681279</v>
      </c>
      <c r="D1040" s="19"/>
      <c r="E1040" s="20">
        <v>45620</v>
      </c>
      <c r="F1040" s="20">
        <v>49272</v>
      </c>
      <c r="G1040" s="21">
        <v>27030</v>
      </c>
      <c r="H1040" s="22">
        <f t="shared" ca="1" si="32"/>
        <v>52</v>
      </c>
      <c r="I1040" s="19" t="s">
        <v>26</v>
      </c>
      <c r="J1040" s="18" t="s">
        <v>27</v>
      </c>
      <c r="K1040" s="18"/>
      <c r="L1040" s="23" t="s">
        <v>3044</v>
      </c>
      <c r="M1040" s="23" t="s">
        <v>3829</v>
      </c>
      <c r="N1040" s="23" t="s">
        <v>1499</v>
      </c>
      <c r="O1040" s="18"/>
      <c r="P1040" s="24"/>
      <c r="Q1040" s="25">
        <v>45992</v>
      </c>
      <c r="R1040" s="13">
        <v>0</v>
      </c>
      <c r="S1040" s="26" t="str">
        <f>VLOOKUP(C1040,'[1]Bazaar Salary'!$B$6:$J$1193,9,0)</f>
        <v>07740010154609770010</v>
      </c>
      <c r="T1040" s="25" t="s">
        <v>32</v>
      </c>
      <c r="U1040" s="25" t="s">
        <v>1823</v>
      </c>
      <c r="V1040" s="25"/>
      <c r="W1040" s="27" t="s">
        <v>3830</v>
      </c>
      <c r="X1040" s="28" t="s">
        <v>3831</v>
      </c>
      <c r="Y1040" s="28"/>
      <c r="Z1040" s="29" t="s">
        <v>37</v>
      </c>
    </row>
    <row r="1041" spans="1:26" ht="30" customHeight="1" thickBot="1" x14ac:dyDescent="0.25">
      <c r="A1041" s="17">
        <f t="shared" si="33"/>
        <v>1040</v>
      </c>
      <c r="B1041" s="18" t="s">
        <v>25</v>
      </c>
      <c r="C1041" s="19">
        <v>3510309760227</v>
      </c>
      <c r="D1041" s="19"/>
      <c r="E1041" s="20">
        <v>44426</v>
      </c>
      <c r="F1041" s="20">
        <v>48078</v>
      </c>
      <c r="G1041" s="21">
        <v>37561</v>
      </c>
      <c r="H1041" s="22">
        <f t="shared" ca="1" si="32"/>
        <v>23</v>
      </c>
      <c r="I1041" s="19" t="s">
        <v>26</v>
      </c>
      <c r="J1041" s="18" t="s">
        <v>27</v>
      </c>
      <c r="K1041" s="18"/>
      <c r="L1041" s="23" t="s">
        <v>556</v>
      </c>
      <c r="M1041" s="23" t="s">
        <v>1458</v>
      </c>
      <c r="N1041" s="23" t="s">
        <v>1499</v>
      </c>
      <c r="O1041" s="18"/>
      <c r="P1041" s="24"/>
      <c r="Q1041" s="25">
        <v>45992</v>
      </c>
      <c r="R1041" s="13">
        <v>0</v>
      </c>
      <c r="S1041" s="26" t="str">
        <f>VLOOKUP(C1041,'[1]Bazaar Salary'!$B$6:$J$1193,9,0)</f>
        <v>07740010153918200012</v>
      </c>
      <c r="T1041" s="25" t="s">
        <v>32</v>
      </c>
      <c r="U1041" s="25" t="s">
        <v>1823</v>
      </c>
      <c r="V1041" s="25"/>
      <c r="W1041" s="27" t="s">
        <v>3832</v>
      </c>
      <c r="X1041" s="28" t="s">
        <v>3833</v>
      </c>
      <c r="Y1041" s="28"/>
      <c r="Z1041" s="29" t="s">
        <v>37</v>
      </c>
    </row>
    <row r="1042" spans="1:26" ht="30" customHeight="1" thickBot="1" x14ac:dyDescent="0.25">
      <c r="A1042" s="17">
        <f t="shared" si="33"/>
        <v>1041</v>
      </c>
      <c r="B1042" s="18" t="s">
        <v>25</v>
      </c>
      <c r="C1042" s="19">
        <v>3520231328135</v>
      </c>
      <c r="D1042" s="19"/>
      <c r="E1042" s="20">
        <v>43836</v>
      </c>
      <c r="F1042" s="20">
        <v>47489</v>
      </c>
      <c r="G1042" s="21">
        <v>32064</v>
      </c>
      <c r="H1042" s="22">
        <f t="shared" ca="1" si="32"/>
        <v>38</v>
      </c>
      <c r="I1042" s="19" t="s">
        <v>26</v>
      </c>
      <c r="J1042" s="18" t="s">
        <v>27</v>
      </c>
      <c r="K1042" s="18"/>
      <c r="L1042" s="23" t="s">
        <v>2331</v>
      </c>
      <c r="M1042" s="23" t="s">
        <v>204</v>
      </c>
      <c r="N1042" s="23" t="s">
        <v>1499</v>
      </c>
      <c r="O1042" s="18"/>
      <c r="P1042" s="24"/>
      <c r="Q1042" s="25">
        <v>45992</v>
      </c>
      <c r="R1042" s="13">
        <v>0</v>
      </c>
      <c r="S1042" s="26" t="str">
        <f>VLOOKUP(C1042,'[1]Bazaar Salary'!$B$6:$J$1193,9,0)</f>
        <v>07740010153428610010</v>
      </c>
      <c r="T1042" s="25" t="s">
        <v>32</v>
      </c>
      <c r="U1042" s="25" t="s">
        <v>1823</v>
      </c>
      <c r="V1042" s="25"/>
      <c r="W1042" s="27" t="s">
        <v>3834</v>
      </c>
      <c r="X1042" s="28" t="s">
        <v>3835</v>
      </c>
      <c r="Y1042" s="28"/>
      <c r="Z1042" s="29" t="s">
        <v>37</v>
      </c>
    </row>
    <row r="1043" spans="1:26" ht="30" customHeight="1" thickBot="1" x14ac:dyDescent="0.25">
      <c r="A1043" s="17">
        <f t="shared" si="33"/>
        <v>1042</v>
      </c>
      <c r="B1043" s="18" t="s">
        <v>25</v>
      </c>
      <c r="C1043" s="19">
        <v>3510191843407</v>
      </c>
      <c r="D1043" s="19"/>
      <c r="E1043" s="20">
        <v>43609</v>
      </c>
      <c r="F1043" s="20">
        <v>47262</v>
      </c>
      <c r="G1043" s="21">
        <v>29650</v>
      </c>
      <c r="H1043" s="22">
        <f t="shared" ca="1" si="32"/>
        <v>45</v>
      </c>
      <c r="I1043" s="19" t="s">
        <v>26</v>
      </c>
      <c r="J1043" s="18" t="s">
        <v>27</v>
      </c>
      <c r="K1043" s="18"/>
      <c r="L1043" s="23" t="s">
        <v>2738</v>
      </c>
      <c r="M1043" s="23" t="s">
        <v>3836</v>
      </c>
      <c r="N1043" s="23" t="s">
        <v>1499</v>
      </c>
      <c r="O1043" s="18"/>
      <c r="P1043" s="24"/>
      <c r="Q1043" s="25">
        <v>45992</v>
      </c>
      <c r="R1043" s="13">
        <v>0</v>
      </c>
      <c r="S1043" s="26" t="str">
        <f>VLOOKUP(C1043,'[1]Bazaar Salary'!$B$6:$J$1193,9,0)</f>
        <v>07740010155387820017</v>
      </c>
      <c r="T1043" s="25" t="s">
        <v>32</v>
      </c>
      <c r="U1043" s="25" t="s">
        <v>1823</v>
      </c>
      <c r="V1043" s="25"/>
      <c r="W1043" s="27" t="s">
        <v>3804</v>
      </c>
      <c r="X1043" s="28" t="s">
        <v>3837</v>
      </c>
      <c r="Y1043" s="28"/>
      <c r="Z1043" s="29" t="s">
        <v>37</v>
      </c>
    </row>
    <row r="1044" spans="1:26" ht="30" customHeight="1" thickBot="1" x14ac:dyDescent="0.25">
      <c r="A1044" s="17">
        <f t="shared" si="33"/>
        <v>1043</v>
      </c>
      <c r="B1044" s="18" t="s">
        <v>25</v>
      </c>
      <c r="C1044" s="19">
        <v>3660166606475</v>
      </c>
      <c r="D1044" s="19"/>
      <c r="E1044" s="20">
        <v>45539</v>
      </c>
      <c r="F1044" s="20">
        <v>49191</v>
      </c>
      <c r="G1044" s="21">
        <v>34829</v>
      </c>
      <c r="H1044" s="22">
        <f t="shared" ca="1" si="32"/>
        <v>31</v>
      </c>
      <c r="I1044" s="19" t="s">
        <v>912</v>
      </c>
      <c r="J1044" s="18" t="s">
        <v>27</v>
      </c>
      <c r="K1044" s="18"/>
      <c r="L1044" s="23" t="s">
        <v>3838</v>
      </c>
      <c r="M1044" s="23" t="s">
        <v>2166</v>
      </c>
      <c r="N1044" s="23" t="s">
        <v>1488</v>
      </c>
      <c r="O1044" s="18"/>
      <c r="P1044" s="24"/>
      <c r="Q1044" s="25">
        <v>46077</v>
      </c>
      <c r="R1044" s="13">
        <v>0</v>
      </c>
      <c r="S1044" s="26" t="str">
        <f>VLOOKUP(C1044,'[4]Daily Wages '!$B$6:$G$197,6,0)</f>
        <v>07870010076250330013</v>
      </c>
      <c r="T1044" s="25" t="s">
        <v>32</v>
      </c>
      <c r="U1044" s="25" t="s">
        <v>1823</v>
      </c>
      <c r="V1044" s="25"/>
      <c r="W1044" s="27" t="s">
        <v>3839</v>
      </c>
      <c r="X1044" s="28" t="s">
        <v>3840</v>
      </c>
      <c r="Y1044" s="28"/>
      <c r="Z1044" s="29" t="s">
        <v>3390</v>
      </c>
    </row>
    <row r="1045" spans="1:26" ht="30" customHeight="1" thickBot="1" x14ac:dyDescent="0.25">
      <c r="A1045" s="17">
        <f t="shared" si="33"/>
        <v>1044</v>
      </c>
      <c r="B1045" s="18" t="s">
        <v>25</v>
      </c>
      <c r="C1045" s="19">
        <v>3210404463009</v>
      </c>
      <c r="D1045" s="19">
        <v>1954</v>
      </c>
      <c r="E1045" s="20">
        <v>44601</v>
      </c>
      <c r="F1045" s="20">
        <v>48253</v>
      </c>
      <c r="G1045" s="21">
        <v>37995</v>
      </c>
      <c r="H1045" s="22">
        <f t="shared" ca="1" si="32"/>
        <v>22</v>
      </c>
      <c r="I1045" s="19" t="s">
        <v>26</v>
      </c>
      <c r="J1045" s="18" t="s">
        <v>27</v>
      </c>
      <c r="K1045" s="18"/>
      <c r="L1045" s="23" t="s">
        <v>3841</v>
      </c>
      <c r="M1045" s="23" t="s">
        <v>127</v>
      </c>
      <c r="N1045" s="23" t="s">
        <v>1295</v>
      </c>
      <c r="O1045" s="18"/>
      <c r="P1045" s="24"/>
      <c r="Q1045" s="25">
        <v>45992</v>
      </c>
      <c r="R1045" s="13">
        <v>0</v>
      </c>
      <c r="S1045" s="26" t="str">
        <f>VLOOKUP(C1045,'[1]Bazaar Salary'!$B$6:$J$1193,9,0)</f>
        <v>00720010153225460017</v>
      </c>
      <c r="T1045" s="25" t="s">
        <v>32</v>
      </c>
      <c r="U1045" s="25" t="s">
        <v>298</v>
      </c>
      <c r="V1045" s="25" t="s">
        <v>3391</v>
      </c>
      <c r="W1045" s="27" t="s">
        <v>3842</v>
      </c>
      <c r="X1045" s="28" t="s">
        <v>3843</v>
      </c>
      <c r="Y1045" s="28"/>
      <c r="Z1045" s="29" t="s">
        <v>37</v>
      </c>
    </row>
    <row r="1046" spans="1:26" ht="30" customHeight="1" thickBot="1" x14ac:dyDescent="0.25">
      <c r="A1046" s="17">
        <f t="shared" si="33"/>
        <v>1045</v>
      </c>
      <c r="B1046" s="18" t="s">
        <v>25</v>
      </c>
      <c r="C1046" s="19">
        <v>3210244548777</v>
      </c>
      <c r="D1046" s="19">
        <v>1863</v>
      </c>
      <c r="E1046" s="20">
        <v>43312</v>
      </c>
      <c r="F1046" s="20">
        <v>46965</v>
      </c>
      <c r="G1046" s="21">
        <v>36707</v>
      </c>
      <c r="H1046" s="22">
        <f t="shared" ca="1" si="32"/>
        <v>25</v>
      </c>
      <c r="I1046" s="19" t="s">
        <v>26</v>
      </c>
      <c r="J1046" s="18" t="s">
        <v>27</v>
      </c>
      <c r="K1046" s="18"/>
      <c r="L1046" s="23" t="s">
        <v>3844</v>
      </c>
      <c r="M1046" s="23" t="s">
        <v>2596</v>
      </c>
      <c r="N1046" s="23" t="s">
        <v>1488</v>
      </c>
      <c r="O1046" s="18"/>
      <c r="P1046" s="24"/>
      <c r="Q1046" s="25">
        <v>45992</v>
      </c>
      <c r="R1046" s="13">
        <v>0</v>
      </c>
      <c r="S1046" s="26" t="str">
        <f>VLOOKUP(C1046,'[1]Bazaar Salary'!$B$6:$J$1193,9,0)</f>
        <v>13620010144575550010</v>
      </c>
      <c r="T1046" s="25" t="s">
        <v>32</v>
      </c>
      <c r="U1046" s="25" t="s">
        <v>292</v>
      </c>
      <c r="V1046" s="25"/>
      <c r="W1046" s="27" t="s">
        <v>3845</v>
      </c>
      <c r="X1046" s="28" t="s">
        <v>3846</v>
      </c>
      <c r="Y1046" s="28"/>
      <c r="Z1046" s="29" t="s">
        <v>37</v>
      </c>
    </row>
    <row r="1047" spans="1:26" ht="30" customHeight="1" thickBot="1" x14ac:dyDescent="0.25">
      <c r="A1047" s="17">
        <f t="shared" si="33"/>
        <v>1046</v>
      </c>
      <c r="B1047" s="18" t="s">
        <v>25</v>
      </c>
      <c r="C1047" s="19">
        <v>3610294950777</v>
      </c>
      <c r="D1047" s="19"/>
      <c r="E1047" s="20">
        <v>45662</v>
      </c>
      <c r="F1047" s="20">
        <v>49314</v>
      </c>
      <c r="G1047" s="21">
        <v>35344</v>
      </c>
      <c r="H1047" s="22">
        <f t="shared" ca="1" si="32"/>
        <v>29</v>
      </c>
      <c r="I1047" s="19" t="s">
        <v>26</v>
      </c>
      <c r="J1047" s="18" t="s">
        <v>27</v>
      </c>
      <c r="K1047" s="18"/>
      <c r="L1047" s="23" t="s">
        <v>3847</v>
      </c>
      <c r="M1047" s="23" t="s">
        <v>3848</v>
      </c>
      <c r="N1047" s="23" t="s">
        <v>1499</v>
      </c>
      <c r="O1047" s="18"/>
      <c r="P1047" s="24"/>
      <c r="Q1047" s="25">
        <v>46039</v>
      </c>
      <c r="R1047" s="13">
        <v>0</v>
      </c>
      <c r="S1047" s="26" t="str">
        <f>VLOOKUP(C1047,'[1]Bazaar Salary'!$B$6:$J$1193,9,0)</f>
        <v>03660010158521540011</v>
      </c>
      <c r="T1047" s="25" t="s">
        <v>32</v>
      </c>
      <c r="U1047" s="25" t="s">
        <v>298</v>
      </c>
      <c r="V1047" s="25"/>
      <c r="W1047" s="27" t="s">
        <v>3849</v>
      </c>
      <c r="X1047" s="28" t="s">
        <v>3850</v>
      </c>
      <c r="Y1047" s="28"/>
      <c r="Z1047" s="29" t="s">
        <v>37</v>
      </c>
    </row>
    <row r="1048" spans="1:26" ht="30" customHeight="1" thickBot="1" x14ac:dyDescent="0.25">
      <c r="A1048" s="17">
        <f t="shared" si="33"/>
        <v>1047</v>
      </c>
      <c r="B1048" s="18" t="s">
        <v>25</v>
      </c>
      <c r="C1048" s="19">
        <v>3330405008515</v>
      </c>
      <c r="D1048" s="19"/>
      <c r="E1048" s="20">
        <v>44222</v>
      </c>
      <c r="F1048" s="20">
        <v>47874</v>
      </c>
      <c r="G1048" s="21">
        <v>37445</v>
      </c>
      <c r="H1048" s="22">
        <f t="shared" ca="1" si="32"/>
        <v>23</v>
      </c>
      <c r="I1048" s="19" t="s">
        <v>26</v>
      </c>
      <c r="J1048" s="18" t="s">
        <v>27</v>
      </c>
      <c r="K1048" s="18"/>
      <c r="L1048" s="23" t="s">
        <v>236</v>
      </c>
      <c r="M1048" s="23" t="s">
        <v>3410</v>
      </c>
      <c r="N1048" s="23" t="s">
        <v>1499</v>
      </c>
      <c r="O1048" s="18"/>
      <c r="P1048" s="24"/>
      <c r="Q1048" s="25">
        <v>46039</v>
      </c>
      <c r="R1048" s="13">
        <v>0</v>
      </c>
      <c r="S1048" s="26" t="str">
        <f>VLOOKUP(C1048,'[1]Bazaar Salary'!$B$6:$J$1193,9,0)</f>
        <v>03660010158525130010</v>
      </c>
      <c r="T1048" s="25" t="s">
        <v>32</v>
      </c>
      <c r="U1048" s="25" t="s">
        <v>298</v>
      </c>
      <c r="V1048" s="25"/>
      <c r="W1048" s="27" t="s">
        <v>3851</v>
      </c>
      <c r="X1048" s="28" t="s">
        <v>3852</v>
      </c>
      <c r="Y1048" s="28"/>
      <c r="Z1048" s="29" t="s">
        <v>37</v>
      </c>
    </row>
    <row r="1049" spans="1:26" ht="30" customHeight="1" thickBot="1" x14ac:dyDescent="0.25">
      <c r="A1049" s="17">
        <f t="shared" si="33"/>
        <v>1048</v>
      </c>
      <c r="B1049" s="18" t="s">
        <v>25</v>
      </c>
      <c r="C1049" s="19">
        <v>3210404810497</v>
      </c>
      <c r="D1049" s="19">
        <v>1953</v>
      </c>
      <c r="E1049" s="20">
        <v>43494</v>
      </c>
      <c r="F1049" s="20">
        <v>47147</v>
      </c>
      <c r="G1049" s="21">
        <v>36168</v>
      </c>
      <c r="H1049" s="22">
        <f t="shared" ca="1" si="32"/>
        <v>27</v>
      </c>
      <c r="I1049" s="19" t="s">
        <v>26</v>
      </c>
      <c r="J1049" s="18" t="s">
        <v>27</v>
      </c>
      <c r="K1049" s="18"/>
      <c r="L1049" s="23" t="s">
        <v>3041</v>
      </c>
      <c r="M1049" s="23" t="s">
        <v>3853</v>
      </c>
      <c r="N1049" s="23" t="s">
        <v>1499</v>
      </c>
      <c r="O1049" s="18"/>
      <c r="P1049" s="24"/>
      <c r="Q1049" s="25">
        <v>45992</v>
      </c>
      <c r="R1049" s="13">
        <v>0</v>
      </c>
      <c r="S1049" s="26" t="str">
        <f>VLOOKUP(C1049,'[1]Bazaar Salary'!$B$6:$J$1193,9,0)</f>
        <v>00720010153288700013</v>
      </c>
      <c r="T1049" s="25" t="s">
        <v>32</v>
      </c>
      <c r="U1049" s="25" t="s">
        <v>298</v>
      </c>
      <c r="V1049" s="25"/>
      <c r="W1049" s="27" t="s">
        <v>3854</v>
      </c>
      <c r="X1049" s="28" t="s">
        <v>3855</v>
      </c>
      <c r="Y1049" s="28"/>
      <c r="Z1049" s="29" t="s">
        <v>37</v>
      </c>
    </row>
    <row r="1050" spans="1:26" ht="30" customHeight="1" thickBot="1" x14ac:dyDescent="0.25">
      <c r="A1050" s="17">
        <f t="shared" si="33"/>
        <v>1049</v>
      </c>
      <c r="B1050" s="18" t="s">
        <v>25</v>
      </c>
      <c r="C1050" s="19">
        <v>3540361904897</v>
      </c>
      <c r="D1050" s="19">
        <v>1930</v>
      </c>
      <c r="E1050" s="20">
        <v>45712</v>
      </c>
      <c r="F1050" s="20">
        <v>49364</v>
      </c>
      <c r="G1050" s="21">
        <v>37821</v>
      </c>
      <c r="H1050" s="22">
        <f t="shared" ca="1" si="32"/>
        <v>22</v>
      </c>
      <c r="I1050" s="19" t="s">
        <v>26</v>
      </c>
      <c r="J1050" s="18" t="s">
        <v>27</v>
      </c>
      <c r="K1050" s="18"/>
      <c r="L1050" s="23" t="s">
        <v>3856</v>
      </c>
      <c r="M1050" s="23" t="s">
        <v>1635</v>
      </c>
      <c r="N1050" s="23" t="s">
        <v>1295</v>
      </c>
      <c r="O1050" s="18"/>
      <c r="P1050" s="24"/>
      <c r="Q1050" s="25">
        <v>45992</v>
      </c>
      <c r="R1050" s="13">
        <v>0</v>
      </c>
      <c r="S1050" s="26" t="str">
        <f>VLOOKUP(C1050,'[1]Bazaar Salary'!$B$6:$J$1193,9,0)</f>
        <v>06200010150529320015</v>
      </c>
      <c r="T1050" s="25" t="s">
        <v>32</v>
      </c>
      <c r="U1050" s="25" t="s">
        <v>1041</v>
      </c>
      <c r="V1050" s="25" t="s">
        <v>3609</v>
      </c>
      <c r="W1050" s="27" t="s">
        <v>3857</v>
      </c>
      <c r="X1050" s="28" t="s">
        <v>3858</v>
      </c>
      <c r="Y1050" s="28"/>
      <c r="Z1050" s="29" t="s">
        <v>37</v>
      </c>
    </row>
    <row r="1051" spans="1:26" ht="30" customHeight="1" thickBot="1" x14ac:dyDescent="0.25">
      <c r="A1051" s="17">
        <f t="shared" si="33"/>
        <v>1050</v>
      </c>
      <c r="B1051" s="18" t="s">
        <v>25</v>
      </c>
      <c r="C1051" s="19">
        <v>3410368974383</v>
      </c>
      <c r="D1051" s="19">
        <v>1890</v>
      </c>
      <c r="E1051" s="20">
        <v>45057</v>
      </c>
      <c r="F1051" s="20">
        <v>48710</v>
      </c>
      <c r="G1051" s="21">
        <v>38169</v>
      </c>
      <c r="H1051" s="22">
        <f t="shared" ca="1" si="32"/>
        <v>21</v>
      </c>
      <c r="I1051" s="19" t="s">
        <v>912</v>
      </c>
      <c r="J1051" s="18" t="s">
        <v>27</v>
      </c>
      <c r="K1051" s="18"/>
      <c r="L1051" s="23" t="s">
        <v>3859</v>
      </c>
      <c r="M1051" s="23" t="s">
        <v>3860</v>
      </c>
      <c r="N1051" s="23" t="s">
        <v>1488</v>
      </c>
      <c r="O1051" s="18"/>
      <c r="P1051" s="24"/>
      <c r="Q1051" s="25">
        <v>45992</v>
      </c>
      <c r="R1051" s="13">
        <v>0</v>
      </c>
      <c r="S1051" s="26" t="str">
        <f>VLOOKUP(C1051,'[1]Bazaar Salary'!$B$6:$J$1193,9,0)</f>
        <v>02900010145881570011</v>
      </c>
      <c r="T1051" s="25" t="s">
        <v>32</v>
      </c>
      <c r="U1051" s="25" t="s">
        <v>1041</v>
      </c>
      <c r="V1051" s="25"/>
      <c r="W1051" s="27" t="s">
        <v>1985</v>
      </c>
      <c r="X1051" s="28" t="s">
        <v>3861</v>
      </c>
      <c r="Y1051" s="28"/>
      <c r="Z1051" s="29" t="s">
        <v>37</v>
      </c>
    </row>
    <row r="1052" spans="1:26" ht="30" customHeight="1" thickBot="1" x14ac:dyDescent="0.25">
      <c r="A1052" s="17">
        <f t="shared" si="33"/>
        <v>1051</v>
      </c>
      <c r="B1052" s="18" t="s">
        <v>25</v>
      </c>
      <c r="C1052" s="19">
        <v>3540454852525</v>
      </c>
      <c r="D1052" s="19"/>
      <c r="E1052" s="20">
        <v>45342</v>
      </c>
      <c r="F1052" s="20">
        <v>48995</v>
      </c>
      <c r="G1052" s="21">
        <v>34477</v>
      </c>
      <c r="H1052" s="22">
        <f t="shared" ca="1" si="32"/>
        <v>32</v>
      </c>
      <c r="I1052" s="19" t="s">
        <v>26</v>
      </c>
      <c r="J1052" s="18" t="s">
        <v>27</v>
      </c>
      <c r="K1052" s="18"/>
      <c r="L1052" s="23" t="s">
        <v>3862</v>
      </c>
      <c r="M1052" s="23" t="s">
        <v>3863</v>
      </c>
      <c r="N1052" s="23" t="s">
        <v>457</v>
      </c>
      <c r="O1052" s="18"/>
      <c r="P1052" s="24"/>
      <c r="Q1052" s="25">
        <v>46070</v>
      </c>
      <c r="R1052" s="13">
        <v>0</v>
      </c>
      <c r="S1052" s="26" t="str">
        <f>VLOOKUP(C1052,'[3]May-26'!$B$5:$H$89,7,0)</f>
        <v>06200010052453490025</v>
      </c>
      <c r="T1052" s="25" t="s">
        <v>32</v>
      </c>
      <c r="U1052" s="25" t="s">
        <v>1041</v>
      </c>
      <c r="V1052" s="25" t="s">
        <v>3864</v>
      </c>
      <c r="W1052" s="27" t="s">
        <v>3865</v>
      </c>
      <c r="X1052" s="28" t="s">
        <v>3866</v>
      </c>
      <c r="Y1052" s="28"/>
      <c r="Z1052" s="29" t="s">
        <v>3390</v>
      </c>
    </row>
    <row r="1053" spans="1:26" ht="30" customHeight="1" thickBot="1" x14ac:dyDescent="0.25">
      <c r="A1053" s="17">
        <f t="shared" si="33"/>
        <v>1052</v>
      </c>
      <c r="B1053" s="18" t="s">
        <v>25</v>
      </c>
      <c r="C1053" s="19">
        <v>3540438200413</v>
      </c>
      <c r="D1053" s="19"/>
      <c r="E1053" s="20">
        <v>44238</v>
      </c>
      <c r="F1053" s="20">
        <v>47890</v>
      </c>
      <c r="G1053" s="21">
        <v>37132</v>
      </c>
      <c r="H1053" s="22">
        <f t="shared" ca="1" si="32"/>
        <v>24</v>
      </c>
      <c r="I1053" s="19" t="s">
        <v>26</v>
      </c>
      <c r="J1053" s="18" t="s">
        <v>27</v>
      </c>
      <c r="K1053" s="18"/>
      <c r="L1053" s="23" t="s">
        <v>3867</v>
      </c>
      <c r="M1053" s="23" t="s">
        <v>3868</v>
      </c>
      <c r="N1053" s="23" t="s">
        <v>457</v>
      </c>
      <c r="O1053" s="18"/>
      <c r="P1053" s="24"/>
      <c r="Q1053" s="25">
        <v>46079</v>
      </c>
      <c r="R1053" s="13">
        <v>0</v>
      </c>
      <c r="S1053" s="26" t="str">
        <f>VLOOKUP(C1053,'[3]May-26'!$B$5:$H$89,7,0)</f>
        <v>06200010160793470019</v>
      </c>
      <c r="T1053" s="25" t="s">
        <v>32</v>
      </c>
      <c r="U1053" s="25" t="s">
        <v>1041</v>
      </c>
      <c r="V1053" s="25" t="s">
        <v>3869</v>
      </c>
      <c r="W1053" s="27" t="s">
        <v>3870</v>
      </c>
      <c r="X1053" s="28" t="s">
        <v>3871</v>
      </c>
      <c r="Y1053" s="28"/>
      <c r="Z1053" s="29" t="s">
        <v>3390</v>
      </c>
    </row>
    <row r="1054" spans="1:26" ht="30" customHeight="1" thickBot="1" x14ac:dyDescent="0.25">
      <c r="A1054" s="17">
        <f t="shared" si="33"/>
        <v>1053</v>
      </c>
      <c r="B1054" s="18" t="s">
        <v>25</v>
      </c>
      <c r="C1054" s="19">
        <v>3310214964605</v>
      </c>
      <c r="D1054" s="19"/>
      <c r="E1054" s="20">
        <v>44880</v>
      </c>
      <c r="F1054" s="20">
        <v>48533</v>
      </c>
      <c r="G1054" s="21">
        <v>34537</v>
      </c>
      <c r="H1054" s="22">
        <f t="shared" ca="1" si="32"/>
        <v>31</v>
      </c>
      <c r="I1054" s="19" t="s">
        <v>26</v>
      </c>
      <c r="J1054" s="18" t="s">
        <v>27</v>
      </c>
      <c r="K1054" s="18"/>
      <c r="L1054" s="23" t="s">
        <v>3872</v>
      </c>
      <c r="M1054" s="23" t="s">
        <v>3873</v>
      </c>
      <c r="N1054" s="24" t="s">
        <v>468</v>
      </c>
      <c r="O1054" s="18"/>
      <c r="P1054" s="24"/>
      <c r="Q1054" s="25">
        <v>46091</v>
      </c>
      <c r="R1054" s="13">
        <v>0</v>
      </c>
      <c r="S1054" s="26" t="str">
        <f>VLOOKUP(C1054,'[3]May-26'!$B$5:$H$89,7,0)</f>
        <v>06200010161042030010</v>
      </c>
      <c r="T1054" s="25" t="s">
        <v>32</v>
      </c>
      <c r="U1054" s="25" t="s">
        <v>1041</v>
      </c>
      <c r="V1054" s="25"/>
      <c r="W1054" s="27" t="s">
        <v>3874</v>
      </c>
      <c r="X1054" s="28" t="s">
        <v>3875</v>
      </c>
      <c r="Y1054" s="28"/>
      <c r="Z1054" s="29" t="s">
        <v>3390</v>
      </c>
    </row>
    <row r="1055" spans="1:26" ht="30" customHeight="1" thickBot="1" x14ac:dyDescent="0.25">
      <c r="A1055" s="17">
        <f t="shared" si="33"/>
        <v>1054</v>
      </c>
      <c r="B1055" s="18" t="s">
        <v>25</v>
      </c>
      <c r="C1055" s="19">
        <v>3540466417237</v>
      </c>
      <c r="D1055" s="19"/>
      <c r="E1055" s="20">
        <v>44092</v>
      </c>
      <c r="F1055" s="20">
        <v>47744</v>
      </c>
      <c r="G1055" s="21">
        <v>36162</v>
      </c>
      <c r="H1055" s="22">
        <f t="shared" ca="1" si="32"/>
        <v>27</v>
      </c>
      <c r="I1055" s="19" t="s">
        <v>26</v>
      </c>
      <c r="J1055" s="18" t="s">
        <v>27</v>
      </c>
      <c r="K1055" s="18"/>
      <c r="L1055" s="23" t="s">
        <v>3322</v>
      </c>
      <c r="M1055" s="23" t="s">
        <v>1588</v>
      </c>
      <c r="N1055" s="23" t="s">
        <v>1499</v>
      </c>
      <c r="O1055" s="18"/>
      <c r="P1055" s="24"/>
      <c r="Q1055" s="25">
        <v>46074</v>
      </c>
      <c r="R1055" s="13">
        <v>0</v>
      </c>
      <c r="S1055" s="26" t="str">
        <f>VLOOKUP(C1055,'[4]Daily Wages '!$B$6:$G$197,6,0)</f>
        <v>06200010160590650012</v>
      </c>
      <c r="T1055" s="25" t="s">
        <v>32</v>
      </c>
      <c r="U1055" s="25" t="s">
        <v>1041</v>
      </c>
      <c r="V1055" s="25"/>
      <c r="W1055" s="27" t="s">
        <v>3876</v>
      </c>
      <c r="X1055" s="28" t="s">
        <v>3877</v>
      </c>
      <c r="Y1055" s="28"/>
      <c r="Z1055" s="29" t="s">
        <v>3390</v>
      </c>
    </row>
    <row r="1056" spans="1:26" ht="30" customHeight="1" thickBot="1" x14ac:dyDescent="0.25">
      <c r="A1056" s="17">
        <f t="shared" si="33"/>
        <v>1055</v>
      </c>
      <c r="B1056" s="18" t="s">
        <v>25</v>
      </c>
      <c r="C1056" s="19">
        <v>3220228052039</v>
      </c>
      <c r="D1056" s="19"/>
      <c r="E1056" s="20">
        <v>45676</v>
      </c>
      <c r="F1056" s="20">
        <v>49359</v>
      </c>
      <c r="G1056" s="21">
        <v>38777</v>
      </c>
      <c r="H1056" s="22">
        <f t="shared" ca="1" si="32"/>
        <v>20</v>
      </c>
      <c r="I1056" s="19" t="s">
        <v>26</v>
      </c>
      <c r="J1056" s="18" t="s">
        <v>27</v>
      </c>
      <c r="K1056" s="18"/>
      <c r="L1056" s="23" t="s">
        <v>1298</v>
      </c>
      <c r="M1056" s="23" t="s">
        <v>127</v>
      </c>
      <c r="N1056" s="23" t="s">
        <v>457</v>
      </c>
      <c r="O1056" s="18"/>
      <c r="P1056" s="24"/>
      <c r="Q1056" s="25">
        <v>46091</v>
      </c>
      <c r="R1056" s="13">
        <v>0</v>
      </c>
      <c r="S1056" s="26" t="str">
        <f>VLOOKUP(C1056,'[3]May-26'!$B$5:$H$89,7,0)</f>
        <v>12100010160956540015</v>
      </c>
      <c r="T1056" s="25" t="s">
        <v>32</v>
      </c>
      <c r="U1056" s="25" t="s">
        <v>3878</v>
      </c>
      <c r="V1056" s="25" t="s">
        <v>3391</v>
      </c>
      <c r="W1056" s="27" t="s">
        <v>3879</v>
      </c>
      <c r="X1056" s="28" t="s">
        <v>3880</v>
      </c>
      <c r="Y1056" s="28"/>
      <c r="Z1056" s="29" t="s">
        <v>3390</v>
      </c>
    </row>
    <row r="1057" spans="1:26" ht="30" customHeight="1" thickBot="1" x14ac:dyDescent="0.25">
      <c r="A1057" s="17">
        <f t="shared" si="33"/>
        <v>1056</v>
      </c>
      <c r="B1057" s="18" t="s">
        <v>25</v>
      </c>
      <c r="C1057" s="19">
        <v>3220268345071</v>
      </c>
      <c r="D1057" s="19"/>
      <c r="E1057" s="20">
        <v>44474</v>
      </c>
      <c r="F1057" s="20">
        <v>48126</v>
      </c>
      <c r="G1057" s="21">
        <v>37564</v>
      </c>
      <c r="H1057" s="22">
        <f t="shared" ca="1" si="32"/>
        <v>23</v>
      </c>
      <c r="I1057" s="19" t="s">
        <v>26</v>
      </c>
      <c r="J1057" s="18" t="s">
        <v>27</v>
      </c>
      <c r="K1057" s="18"/>
      <c r="L1057" s="23" t="s">
        <v>3881</v>
      </c>
      <c r="M1057" s="23" t="s">
        <v>3882</v>
      </c>
      <c r="N1057" s="23" t="s">
        <v>1488</v>
      </c>
      <c r="O1057" s="18"/>
      <c r="P1057" s="24"/>
      <c r="Q1057" s="25">
        <v>46081</v>
      </c>
      <c r="R1057" s="13">
        <v>0</v>
      </c>
      <c r="S1057" s="26" t="str">
        <f>VLOOKUP(C1057,'[4]Daily Wages '!$B$6:$G$197,6,0)</f>
        <v>12100010160829150012</v>
      </c>
      <c r="T1057" s="25" t="s">
        <v>32</v>
      </c>
      <c r="U1057" s="25" t="s">
        <v>3878</v>
      </c>
      <c r="V1057" s="25"/>
      <c r="W1057" s="27" t="s">
        <v>3883</v>
      </c>
      <c r="X1057" s="28" t="s">
        <v>3884</v>
      </c>
      <c r="Y1057" s="28"/>
      <c r="Z1057" s="29" t="s">
        <v>3390</v>
      </c>
    </row>
    <row r="1058" spans="1:26" ht="30" customHeight="1" thickBot="1" x14ac:dyDescent="0.25">
      <c r="A1058" s="17">
        <f t="shared" si="33"/>
        <v>1057</v>
      </c>
      <c r="B1058" s="18" t="s">
        <v>25</v>
      </c>
      <c r="C1058" s="19">
        <v>3220108179787</v>
      </c>
      <c r="D1058" s="19"/>
      <c r="E1058" s="20">
        <v>45483</v>
      </c>
      <c r="F1058" s="20">
        <v>49135</v>
      </c>
      <c r="G1058" s="21">
        <v>31563</v>
      </c>
      <c r="H1058" s="22">
        <f t="shared" ca="1" si="32"/>
        <v>40</v>
      </c>
      <c r="I1058" s="19" t="s">
        <v>26</v>
      </c>
      <c r="J1058" s="18" t="s">
        <v>27</v>
      </c>
      <c r="K1058" s="18"/>
      <c r="L1058" s="23" t="s">
        <v>3885</v>
      </c>
      <c r="M1058" s="23" t="s">
        <v>3886</v>
      </c>
      <c r="N1058" s="23" t="s">
        <v>1488</v>
      </c>
      <c r="O1058" s="18"/>
      <c r="P1058" s="24"/>
      <c r="Q1058" s="25">
        <v>46081</v>
      </c>
      <c r="R1058" s="13">
        <v>0</v>
      </c>
      <c r="S1058" s="26" t="str">
        <f>VLOOKUP(C1058,'[4]Daily Wages '!$B$6:$G$197,6,0)</f>
        <v>12100010160838260018</v>
      </c>
      <c r="T1058" s="25" t="s">
        <v>32</v>
      </c>
      <c r="U1058" s="25" t="s">
        <v>3878</v>
      </c>
      <c r="V1058" s="25"/>
      <c r="W1058" s="27" t="s">
        <v>3887</v>
      </c>
      <c r="X1058" s="28" t="s">
        <v>3888</v>
      </c>
      <c r="Y1058" s="28"/>
      <c r="Z1058" s="29" t="s">
        <v>3390</v>
      </c>
    </row>
    <row r="1059" spans="1:26" ht="30" customHeight="1" thickBot="1" x14ac:dyDescent="0.25">
      <c r="A1059" s="17">
        <f t="shared" si="33"/>
        <v>1058</v>
      </c>
      <c r="B1059" s="18" t="s">
        <v>25</v>
      </c>
      <c r="C1059" s="19">
        <v>3220232698843</v>
      </c>
      <c r="D1059" s="19"/>
      <c r="E1059" s="20">
        <v>45914</v>
      </c>
      <c r="F1059" s="20">
        <v>49566</v>
      </c>
      <c r="G1059" s="21">
        <v>39295</v>
      </c>
      <c r="H1059" s="22">
        <f t="shared" ca="1" si="32"/>
        <v>18</v>
      </c>
      <c r="I1059" s="19" t="s">
        <v>26</v>
      </c>
      <c r="J1059" s="18" t="s">
        <v>27</v>
      </c>
      <c r="K1059" s="18"/>
      <c r="L1059" s="23" t="s">
        <v>925</v>
      </c>
      <c r="M1059" s="23" t="s">
        <v>3122</v>
      </c>
      <c r="N1059" s="23" t="s">
        <v>1499</v>
      </c>
      <c r="O1059" s="18"/>
      <c r="P1059" s="24"/>
      <c r="Q1059" s="25">
        <v>46081</v>
      </c>
      <c r="R1059" s="13">
        <v>0</v>
      </c>
      <c r="S1059" s="26" t="str">
        <f>VLOOKUP(C1059,'[4]Daily Wages '!$B$6:$G$197,6,0)</f>
        <v>12100010160892190014</v>
      </c>
      <c r="T1059" s="25" t="s">
        <v>32</v>
      </c>
      <c r="U1059" s="25" t="s">
        <v>3878</v>
      </c>
      <c r="V1059" s="25"/>
      <c r="W1059" s="27" t="s">
        <v>3889</v>
      </c>
      <c r="X1059" s="28" t="s">
        <v>3890</v>
      </c>
      <c r="Y1059" s="28"/>
      <c r="Z1059" s="29" t="s">
        <v>3390</v>
      </c>
    </row>
    <row r="1060" spans="1:26" ht="30" customHeight="1" thickBot="1" x14ac:dyDescent="0.25">
      <c r="A1060" s="17">
        <f t="shared" si="33"/>
        <v>1059</v>
      </c>
      <c r="B1060" s="18" t="s">
        <v>25</v>
      </c>
      <c r="C1060" s="19">
        <v>3220225109843</v>
      </c>
      <c r="D1060" s="19"/>
      <c r="E1060" s="20">
        <v>43865</v>
      </c>
      <c r="F1060" s="20">
        <v>47518</v>
      </c>
      <c r="G1060" s="21">
        <v>29240</v>
      </c>
      <c r="H1060" s="22">
        <f t="shared" ca="1" si="32"/>
        <v>46</v>
      </c>
      <c r="I1060" s="19" t="s">
        <v>26</v>
      </c>
      <c r="J1060" s="18" t="s">
        <v>27</v>
      </c>
      <c r="K1060" s="18"/>
      <c r="L1060" s="23" t="s">
        <v>614</v>
      </c>
      <c r="M1060" s="23" t="s">
        <v>2651</v>
      </c>
      <c r="N1060" s="23" t="s">
        <v>1499</v>
      </c>
      <c r="O1060" s="18"/>
      <c r="P1060" s="24"/>
      <c r="Q1060" s="25">
        <v>46081</v>
      </c>
      <c r="R1060" s="13">
        <v>0</v>
      </c>
      <c r="S1060" s="26" t="str">
        <f>VLOOKUP(C1060,'[4]Daily Wages '!$B$6:$G$197,6,0)</f>
        <v>12100010160821070011</v>
      </c>
      <c r="T1060" s="25" t="s">
        <v>32</v>
      </c>
      <c r="U1060" s="25" t="s">
        <v>3878</v>
      </c>
      <c r="V1060" s="25"/>
      <c r="W1060" s="27" t="s">
        <v>3891</v>
      </c>
      <c r="X1060" s="28" t="s">
        <v>3892</v>
      </c>
      <c r="Y1060" s="28"/>
      <c r="Z1060" s="29" t="s">
        <v>3390</v>
      </c>
    </row>
    <row r="1061" spans="1:26" ht="30" customHeight="1" thickBot="1" x14ac:dyDescent="0.25">
      <c r="A1061" s="17">
        <f t="shared" si="33"/>
        <v>1060</v>
      </c>
      <c r="B1061" s="18" t="s">
        <v>25</v>
      </c>
      <c r="C1061" s="19">
        <v>3540170436559</v>
      </c>
      <c r="D1061" s="19"/>
      <c r="E1061" s="20">
        <v>43165</v>
      </c>
      <c r="F1061" s="20">
        <v>46818</v>
      </c>
      <c r="G1061" s="21">
        <v>36541</v>
      </c>
      <c r="H1061" s="22">
        <f t="shared" ca="1" si="32"/>
        <v>26</v>
      </c>
      <c r="I1061" s="19" t="s">
        <v>26</v>
      </c>
      <c r="J1061" s="18" t="s">
        <v>27</v>
      </c>
      <c r="K1061" s="18"/>
      <c r="L1061" s="24" t="s">
        <v>3893</v>
      </c>
      <c r="M1061" s="23" t="s">
        <v>3894</v>
      </c>
      <c r="N1061" s="24" t="s">
        <v>457</v>
      </c>
      <c r="O1061" s="18"/>
      <c r="P1061" s="24"/>
      <c r="Q1061" s="25">
        <v>46023</v>
      </c>
      <c r="R1061" s="13">
        <v>0</v>
      </c>
      <c r="S1061" s="26" t="str">
        <f>VLOOKUP(C1061,'[1]Bazaar Salary'!$B$6:$J$1193,9,0)</f>
        <v>05200010150748580017</v>
      </c>
      <c r="T1061" s="25" t="s">
        <v>32</v>
      </c>
      <c r="U1061" s="25" t="s">
        <v>3895</v>
      </c>
      <c r="V1061" s="25" t="s">
        <v>3391</v>
      </c>
      <c r="W1061" s="27" t="s">
        <v>3896</v>
      </c>
      <c r="X1061" s="28" t="s">
        <v>3897</v>
      </c>
      <c r="Y1061" s="28"/>
      <c r="Z1061" s="29" t="s">
        <v>37</v>
      </c>
    </row>
    <row r="1062" spans="1:26" ht="30" customHeight="1" thickBot="1" x14ac:dyDescent="0.25">
      <c r="A1062" s="17">
        <f t="shared" si="33"/>
        <v>1061</v>
      </c>
      <c r="B1062" s="18" t="s">
        <v>25</v>
      </c>
      <c r="C1062" s="19">
        <v>3540219921427</v>
      </c>
      <c r="D1062" s="19"/>
      <c r="E1062" s="20">
        <v>42452</v>
      </c>
      <c r="F1062" s="20">
        <v>46104</v>
      </c>
      <c r="G1062" s="21">
        <v>34336</v>
      </c>
      <c r="H1062" s="22">
        <f t="shared" ca="1" si="32"/>
        <v>32</v>
      </c>
      <c r="I1062" s="19" t="s">
        <v>26</v>
      </c>
      <c r="J1062" s="18" t="s">
        <v>27</v>
      </c>
      <c r="K1062" s="18"/>
      <c r="L1062" s="23" t="s">
        <v>1367</v>
      </c>
      <c r="M1062" s="23" t="s">
        <v>3898</v>
      </c>
      <c r="N1062" s="23" t="s">
        <v>457</v>
      </c>
      <c r="O1062" s="18"/>
      <c r="P1062" s="24"/>
      <c r="Q1062" s="25">
        <v>46023</v>
      </c>
      <c r="R1062" s="13">
        <v>0</v>
      </c>
      <c r="S1062" s="26" t="str">
        <f>VLOOKUP(C1062,'[1]Bazaar Salary'!$B$6:$J$1193,9,0)</f>
        <v>53010020154664330019</v>
      </c>
      <c r="T1062" s="25" t="s">
        <v>32</v>
      </c>
      <c r="U1062" s="25" t="s">
        <v>3895</v>
      </c>
      <c r="V1062" s="25" t="s">
        <v>265</v>
      </c>
      <c r="W1062" s="27" t="s">
        <v>3899</v>
      </c>
      <c r="X1062" s="28" t="s">
        <v>3900</v>
      </c>
      <c r="Y1062" s="28"/>
      <c r="Z1062" s="29" t="s">
        <v>37</v>
      </c>
    </row>
    <row r="1063" spans="1:26" ht="30" customHeight="1" thickBot="1" x14ac:dyDescent="0.25">
      <c r="A1063" s="17">
        <f t="shared" si="33"/>
        <v>1062</v>
      </c>
      <c r="B1063" s="18" t="s">
        <v>25</v>
      </c>
      <c r="C1063" s="19">
        <v>3540185027683</v>
      </c>
      <c r="D1063" s="19"/>
      <c r="E1063" s="20">
        <v>44648</v>
      </c>
      <c r="F1063" s="20">
        <v>48301</v>
      </c>
      <c r="G1063" s="21">
        <v>38021</v>
      </c>
      <c r="H1063" s="22">
        <f t="shared" ca="1" si="32"/>
        <v>22</v>
      </c>
      <c r="I1063" s="19" t="s">
        <v>26</v>
      </c>
      <c r="J1063" s="18" t="s">
        <v>27</v>
      </c>
      <c r="K1063" s="18"/>
      <c r="L1063" s="24" t="s">
        <v>3901</v>
      </c>
      <c r="M1063" s="23" t="s">
        <v>2530</v>
      </c>
      <c r="N1063" s="24" t="s">
        <v>1295</v>
      </c>
      <c r="O1063" s="18"/>
      <c r="P1063" s="24"/>
      <c r="Q1063" s="25">
        <v>46064</v>
      </c>
      <c r="R1063" s="13">
        <v>0</v>
      </c>
      <c r="S1063" s="26" t="str">
        <f>VLOOKUP(C1063,'[1]Bazaar Salary'!$B$6:$J$1193,9,0)</f>
        <v>05200010159863720014</v>
      </c>
      <c r="T1063" s="25" t="s">
        <v>32</v>
      </c>
      <c r="U1063" s="25" t="s">
        <v>3895</v>
      </c>
      <c r="V1063" s="25" t="s">
        <v>3902</v>
      </c>
      <c r="W1063" s="27" t="s">
        <v>3903</v>
      </c>
      <c r="X1063" s="28" t="s">
        <v>3904</v>
      </c>
      <c r="Y1063" s="28"/>
      <c r="Z1063" s="29" t="s">
        <v>37</v>
      </c>
    </row>
    <row r="1064" spans="1:26" ht="30" customHeight="1" thickBot="1" x14ac:dyDescent="0.25">
      <c r="A1064" s="17">
        <f t="shared" si="33"/>
        <v>1063</v>
      </c>
      <c r="B1064" s="18" t="s">
        <v>25</v>
      </c>
      <c r="C1064" s="19">
        <v>3520290221157</v>
      </c>
      <c r="D1064" s="19"/>
      <c r="E1064" s="20"/>
      <c r="F1064" s="20"/>
      <c r="G1064" s="21">
        <v>31809</v>
      </c>
      <c r="H1064" s="22">
        <f t="shared" ca="1" si="32"/>
        <v>39</v>
      </c>
      <c r="I1064" s="19" t="s">
        <v>26</v>
      </c>
      <c r="J1064" s="18" t="s">
        <v>27</v>
      </c>
      <c r="K1064" s="18"/>
      <c r="L1064" s="23" t="s">
        <v>3905</v>
      </c>
      <c r="M1064" s="23" t="s">
        <v>3906</v>
      </c>
      <c r="N1064" s="23" t="s">
        <v>1295</v>
      </c>
      <c r="O1064" s="18"/>
      <c r="P1064" s="24"/>
      <c r="Q1064" s="25">
        <v>46081</v>
      </c>
      <c r="R1064" s="13">
        <v>0</v>
      </c>
      <c r="S1064" s="26" t="str">
        <f>VLOOKUP(C1064,'[3]May-26'!$B$5:$H$89,7,0)</f>
        <v>08100010160864290011</v>
      </c>
      <c r="T1064" s="25" t="s">
        <v>32</v>
      </c>
      <c r="U1064" s="25" t="s">
        <v>3895</v>
      </c>
      <c r="V1064" s="25"/>
      <c r="W1064" s="27" t="s">
        <v>3907</v>
      </c>
      <c r="X1064" s="28" t="s">
        <v>3908</v>
      </c>
      <c r="Y1064" s="28"/>
      <c r="Z1064" s="29" t="s">
        <v>3390</v>
      </c>
    </row>
    <row r="1065" spans="1:26" ht="30" customHeight="1" thickBot="1" x14ac:dyDescent="0.25">
      <c r="A1065" s="17">
        <f t="shared" si="33"/>
        <v>1064</v>
      </c>
      <c r="B1065" s="18" t="s">
        <v>25</v>
      </c>
      <c r="C1065" s="19">
        <v>3520294842603</v>
      </c>
      <c r="D1065" s="19"/>
      <c r="E1065" s="20">
        <v>46042</v>
      </c>
      <c r="F1065" s="20">
        <v>49168</v>
      </c>
      <c r="G1065" s="21">
        <v>38901</v>
      </c>
      <c r="H1065" s="22">
        <f t="shared" ca="1" si="32"/>
        <v>19</v>
      </c>
      <c r="I1065" s="19" t="s">
        <v>912</v>
      </c>
      <c r="J1065" s="18" t="s">
        <v>27</v>
      </c>
      <c r="K1065" s="18"/>
      <c r="L1065" s="23" t="s">
        <v>3909</v>
      </c>
      <c r="M1065" s="23" t="s">
        <v>1971</v>
      </c>
      <c r="N1065" s="23" t="s">
        <v>1488</v>
      </c>
      <c r="O1065" s="18"/>
      <c r="P1065" s="24"/>
      <c r="Q1065" s="25">
        <v>46074</v>
      </c>
      <c r="R1065" s="13">
        <v>0</v>
      </c>
      <c r="S1065" s="26" t="str">
        <f>VLOOKUP(C1065,'[4]Daily Wages '!$B$6:$G$197,6,0)</f>
        <v>14210010160117380018</v>
      </c>
      <c r="T1065" s="25" t="s">
        <v>32</v>
      </c>
      <c r="U1065" s="25" t="s">
        <v>3895</v>
      </c>
      <c r="V1065" s="25"/>
      <c r="W1065" s="27" t="s">
        <v>3910</v>
      </c>
      <c r="X1065" s="28" t="s">
        <v>3911</v>
      </c>
      <c r="Y1065" s="28"/>
      <c r="Z1065" s="29" t="s">
        <v>3390</v>
      </c>
    </row>
    <row r="1066" spans="1:26" ht="30" customHeight="1" thickBot="1" x14ac:dyDescent="0.25">
      <c r="A1066" s="17">
        <f t="shared" si="33"/>
        <v>1065</v>
      </c>
      <c r="B1066" s="18" t="s">
        <v>25</v>
      </c>
      <c r="C1066" s="19">
        <v>3520272430591</v>
      </c>
      <c r="D1066" s="19"/>
      <c r="E1066" s="20">
        <v>43136</v>
      </c>
      <c r="F1066" s="20">
        <v>46788</v>
      </c>
      <c r="G1066" s="21">
        <v>36530</v>
      </c>
      <c r="H1066" s="22">
        <f t="shared" ca="1" si="32"/>
        <v>26</v>
      </c>
      <c r="I1066" s="19" t="s">
        <v>912</v>
      </c>
      <c r="J1066" s="18" t="s">
        <v>27</v>
      </c>
      <c r="K1066" s="18"/>
      <c r="L1066" s="23" t="s">
        <v>3912</v>
      </c>
      <c r="M1066" s="23" t="s">
        <v>1945</v>
      </c>
      <c r="N1066" s="23" t="s">
        <v>1488</v>
      </c>
      <c r="O1066" s="18"/>
      <c r="P1066" s="24"/>
      <c r="Q1066" s="25">
        <v>46079</v>
      </c>
      <c r="R1066" s="13">
        <v>0</v>
      </c>
      <c r="S1066" s="26" t="str">
        <f>VLOOKUP(C1066,'[4]Daily Wages '!$B$6:$G$197,6,0)</f>
        <v>14210010160830730018</v>
      </c>
      <c r="T1066" s="25" t="s">
        <v>32</v>
      </c>
      <c r="U1066" s="25" t="s">
        <v>3895</v>
      </c>
      <c r="V1066" s="25"/>
      <c r="W1066" s="27" t="s">
        <v>3913</v>
      </c>
      <c r="X1066" s="28" t="s">
        <v>3914</v>
      </c>
      <c r="Y1066" s="28"/>
      <c r="Z1066" s="29" t="s">
        <v>3390</v>
      </c>
    </row>
    <row r="1067" spans="1:26" ht="30" customHeight="1" thickBot="1" x14ac:dyDescent="0.25">
      <c r="A1067" s="17">
        <f t="shared" si="33"/>
        <v>1066</v>
      </c>
      <c r="B1067" s="18" t="s">
        <v>25</v>
      </c>
      <c r="C1067" s="19">
        <v>3520229426447</v>
      </c>
      <c r="D1067" s="19"/>
      <c r="E1067" s="20">
        <v>45287</v>
      </c>
      <c r="F1067" s="20">
        <v>48940</v>
      </c>
      <c r="G1067" s="21">
        <v>38620</v>
      </c>
      <c r="H1067" s="22">
        <f t="shared" ca="1" si="32"/>
        <v>20</v>
      </c>
      <c r="I1067" s="19" t="s">
        <v>912</v>
      </c>
      <c r="J1067" s="18" t="s">
        <v>27</v>
      </c>
      <c r="K1067" s="18"/>
      <c r="L1067" s="23" t="s">
        <v>3915</v>
      </c>
      <c r="M1067" s="23" t="s">
        <v>3916</v>
      </c>
      <c r="N1067" s="23" t="s">
        <v>1488</v>
      </c>
      <c r="O1067" s="18"/>
      <c r="P1067" s="24"/>
      <c r="Q1067" s="25">
        <v>46068</v>
      </c>
      <c r="R1067" s="13">
        <v>0</v>
      </c>
      <c r="S1067" s="26" t="str">
        <f>VLOOKUP(C1067,'[4]Daily Wages '!$B$6:$G$197,6,0)</f>
        <v>14210010160672740019</v>
      </c>
      <c r="T1067" s="25" t="s">
        <v>32</v>
      </c>
      <c r="U1067" s="25" t="s">
        <v>3895</v>
      </c>
      <c r="V1067" s="25"/>
      <c r="W1067" s="27" t="s">
        <v>3917</v>
      </c>
      <c r="X1067" s="28" t="s">
        <v>3918</v>
      </c>
      <c r="Y1067" s="28"/>
      <c r="Z1067" s="29" t="s">
        <v>3390</v>
      </c>
    </row>
    <row r="1068" spans="1:26" ht="30" customHeight="1" thickBot="1" x14ac:dyDescent="0.25">
      <c r="A1068" s="17">
        <f t="shared" si="33"/>
        <v>1067</v>
      </c>
      <c r="B1068" s="18" t="s">
        <v>25</v>
      </c>
      <c r="C1068" s="19">
        <v>3520289991529</v>
      </c>
      <c r="D1068" s="19"/>
      <c r="E1068" s="20">
        <v>44982</v>
      </c>
      <c r="F1068" s="20">
        <v>48635</v>
      </c>
      <c r="G1068" s="21">
        <v>33220</v>
      </c>
      <c r="H1068" s="22">
        <f t="shared" ca="1" si="32"/>
        <v>35</v>
      </c>
      <c r="I1068" s="19" t="s">
        <v>26</v>
      </c>
      <c r="J1068" s="18" t="s">
        <v>27</v>
      </c>
      <c r="K1068" s="18"/>
      <c r="L1068" s="23" t="s">
        <v>3548</v>
      </c>
      <c r="M1068" s="23" t="s">
        <v>3919</v>
      </c>
      <c r="N1068" s="23" t="s">
        <v>1499</v>
      </c>
      <c r="O1068" s="18"/>
      <c r="P1068" s="24"/>
      <c r="Q1068" s="25">
        <v>46134</v>
      </c>
      <c r="R1068" s="13">
        <v>0</v>
      </c>
      <c r="S1068" s="26" t="str">
        <f>VLOOKUP(C1068,'[4]Daily Wages '!$B$6:$G$197,6,0)</f>
        <v>05430010163502280015</v>
      </c>
      <c r="T1068" s="25" t="s">
        <v>32</v>
      </c>
      <c r="U1068" s="25" t="s">
        <v>3895</v>
      </c>
      <c r="V1068" s="25"/>
      <c r="W1068" s="27" t="s">
        <v>3920</v>
      </c>
      <c r="X1068" s="28" t="s">
        <v>3921</v>
      </c>
      <c r="Y1068" s="28"/>
      <c r="Z1068" s="29" t="s">
        <v>3390</v>
      </c>
    </row>
    <row r="1069" spans="1:26" ht="30" customHeight="1" thickBot="1" x14ac:dyDescent="0.25">
      <c r="A1069" s="17">
        <f t="shared" si="33"/>
        <v>1068</v>
      </c>
      <c r="B1069" s="18" t="s">
        <v>25</v>
      </c>
      <c r="C1069" s="19">
        <v>3540157151389</v>
      </c>
      <c r="D1069" s="19"/>
      <c r="E1069" s="20">
        <v>45655</v>
      </c>
      <c r="F1069" s="20">
        <v>49307</v>
      </c>
      <c r="G1069" s="21">
        <v>38179</v>
      </c>
      <c r="H1069" s="22">
        <f t="shared" ca="1" si="32"/>
        <v>21</v>
      </c>
      <c r="I1069" s="19" t="s">
        <v>26</v>
      </c>
      <c r="J1069" s="18" t="s">
        <v>27</v>
      </c>
      <c r="K1069" s="18"/>
      <c r="L1069" s="23" t="s">
        <v>3922</v>
      </c>
      <c r="M1069" s="23" t="s">
        <v>3923</v>
      </c>
      <c r="N1069" s="23" t="s">
        <v>1499</v>
      </c>
      <c r="O1069" s="18"/>
      <c r="P1069" s="24"/>
      <c r="Q1069" s="25">
        <v>46070</v>
      </c>
      <c r="R1069" s="13">
        <v>0</v>
      </c>
      <c r="S1069" s="26" t="str">
        <f>VLOOKUP(C1069,'[4]Daily Wages '!$B$6:$G$197,6,0)</f>
        <v>08980010160219440013</v>
      </c>
      <c r="T1069" s="25" t="s">
        <v>32</v>
      </c>
      <c r="U1069" s="25" t="s">
        <v>3895</v>
      </c>
      <c r="V1069" s="25"/>
      <c r="W1069" s="27" t="s">
        <v>3924</v>
      </c>
      <c r="X1069" s="28" t="s">
        <v>3925</v>
      </c>
      <c r="Y1069" s="28"/>
      <c r="Z1069" s="29" t="s">
        <v>3390</v>
      </c>
    </row>
    <row r="1070" spans="1:26" ht="30" customHeight="1" thickBot="1" x14ac:dyDescent="0.25">
      <c r="A1070" s="17">
        <f t="shared" si="33"/>
        <v>1069</v>
      </c>
      <c r="B1070" s="18" t="s">
        <v>25</v>
      </c>
      <c r="C1070" s="19">
        <v>3520134031493</v>
      </c>
      <c r="D1070" s="19"/>
      <c r="E1070" s="20">
        <v>45279</v>
      </c>
      <c r="F1070" s="20">
        <v>48932</v>
      </c>
      <c r="G1070" s="21">
        <v>34455</v>
      </c>
      <c r="H1070" s="22">
        <f t="shared" ca="1" si="32"/>
        <v>32</v>
      </c>
      <c r="I1070" s="19" t="s">
        <v>26</v>
      </c>
      <c r="J1070" s="18" t="s">
        <v>27</v>
      </c>
      <c r="K1070" s="18"/>
      <c r="L1070" s="23" t="s">
        <v>3926</v>
      </c>
      <c r="M1070" s="23" t="s">
        <v>2218</v>
      </c>
      <c r="N1070" s="23" t="s">
        <v>1499</v>
      </c>
      <c r="O1070" s="18"/>
      <c r="P1070" s="24"/>
      <c r="Q1070" s="25">
        <v>46070</v>
      </c>
      <c r="R1070" s="13">
        <v>0</v>
      </c>
      <c r="S1070" s="26" t="str">
        <f>VLOOKUP(C1070,'[4]Daily Wages '!$B$6:$G$197,6,0)</f>
        <v>02130010159968730016</v>
      </c>
      <c r="T1070" s="25" t="s">
        <v>32</v>
      </c>
      <c r="U1070" s="25" t="s">
        <v>3895</v>
      </c>
      <c r="V1070" s="25"/>
      <c r="W1070" s="27" t="s">
        <v>3927</v>
      </c>
      <c r="X1070" s="28" t="s">
        <v>3928</v>
      </c>
      <c r="Y1070" s="28"/>
      <c r="Z1070" s="29" t="s">
        <v>3390</v>
      </c>
    </row>
    <row r="1071" spans="1:26" ht="30" customHeight="1" thickBot="1" x14ac:dyDescent="0.25">
      <c r="A1071" s="17">
        <f t="shared" si="33"/>
        <v>1070</v>
      </c>
      <c r="B1071" s="18" t="s">
        <v>25</v>
      </c>
      <c r="C1071" s="19">
        <v>3520297485141</v>
      </c>
      <c r="D1071" s="19"/>
      <c r="E1071" s="20">
        <v>46013</v>
      </c>
      <c r="F1071" s="20">
        <v>49665</v>
      </c>
      <c r="G1071" s="21">
        <v>39156</v>
      </c>
      <c r="H1071" s="22">
        <f t="shared" ca="1" si="32"/>
        <v>19</v>
      </c>
      <c r="I1071" s="19" t="s">
        <v>26</v>
      </c>
      <c r="J1071" s="18" t="s">
        <v>27</v>
      </c>
      <c r="K1071" s="18"/>
      <c r="L1071" s="23" t="s">
        <v>3929</v>
      </c>
      <c r="M1071" s="23" t="s">
        <v>3930</v>
      </c>
      <c r="N1071" s="23" t="s">
        <v>1499</v>
      </c>
      <c r="O1071" s="18"/>
      <c r="P1071" s="24"/>
      <c r="Q1071" s="25">
        <v>46066</v>
      </c>
      <c r="R1071" s="13">
        <v>0</v>
      </c>
      <c r="S1071" s="26" t="str">
        <f>VLOOKUP(C1071,'[4]Daily Wages '!$B$6:$G$197,6,0)</f>
        <v>14210010160181910010</v>
      </c>
      <c r="T1071" s="25" t="s">
        <v>32</v>
      </c>
      <c r="U1071" s="25" t="s">
        <v>3895</v>
      </c>
      <c r="V1071" s="25"/>
      <c r="W1071" s="27" t="s">
        <v>3931</v>
      </c>
      <c r="X1071" s="28" t="s">
        <v>3932</v>
      </c>
      <c r="Y1071" s="28"/>
      <c r="Z1071" s="29" t="s">
        <v>3390</v>
      </c>
    </row>
    <row r="1072" spans="1:26" ht="30" customHeight="1" thickBot="1" x14ac:dyDescent="0.25">
      <c r="A1072" s="17">
        <f t="shared" si="33"/>
        <v>1071</v>
      </c>
      <c r="B1072" s="18" t="s">
        <v>25</v>
      </c>
      <c r="C1072" s="19">
        <v>3410262421069</v>
      </c>
      <c r="D1072" s="19"/>
      <c r="E1072" s="20">
        <v>45706</v>
      </c>
      <c r="F1072" s="20">
        <v>49358</v>
      </c>
      <c r="G1072" s="21">
        <v>37264</v>
      </c>
      <c r="H1072" s="22">
        <f t="shared" ca="1" si="32"/>
        <v>24</v>
      </c>
      <c r="I1072" s="19" t="s">
        <v>26</v>
      </c>
      <c r="J1072" s="18" t="s">
        <v>27</v>
      </c>
      <c r="K1072" s="18"/>
      <c r="L1072" s="23" t="s">
        <v>3933</v>
      </c>
      <c r="M1072" s="23" t="s">
        <v>1621</v>
      </c>
      <c r="N1072" s="24" t="s">
        <v>1295</v>
      </c>
      <c r="O1072" s="18"/>
      <c r="P1072" s="24"/>
      <c r="Q1072" s="25">
        <v>45992</v>
      </c>
      <c r="R1072" s="13">
        <v>0</v>
      </c>
      <c r="S1072" s="26" t="str">
        <f>VLOOKUP(C1072,'[1]Bazaar Salary'!$B$6:$J$1193,9,0)</f>
        <v>51400020153359000014</v>
      </c>
      <c r="T1072" s="25" t="s">
        <v>32</v>
      </c>
      <c r="U1072" s="25" t="s">
        <v>303</v>
      </c>
      <c r="V1072" s="25" t="s">
        <v>3391</v>
      </c>
      <c r="W1072" s="27" t="s">
        <v>3934</v>
      </c>
      <c r="X1072" s="28" t="s">
        <v>3935</v>
      </c>
      <c r="Y1072" s="28"/>
      <c r="Z1072" s="29" t="s">
        <v>37</v>
      </c>
    </row>
    <row r="1073" spans="1:26" ht="30" customHeight="1" thickBot="1" x14ac:dyDescent="0.25">
      <c r="A1073" s="17">
        <f t="shared" si="33"/>
        <v>1072</v>
      </c>
      <c r="B1073" s="18" t="s">
        <v>25</v>
      </c>
      <c r="C1073" s="19">
        <v>3210405162089</v>
      </c>
      <c r="D1073" s="19">
        <v>1956</v>
      </c>
      <c r="E1073" s="20">
        <v>45691</v>
      </c>
      <c r="F1073" s="20">
        <v>49343</v>
      </c>
      <c r="G1073" s="21">
        <v>39083</v>
      </c>
      <c r="H1073" s="22">
        <f t="shared" ca="1" si="32"/>
        <v>19</v>
      </c>
      <c r="I1073" s="19" t="s">
        <v>26</v>
      </c>
      <c r="J1073" s="18" t="s">
        <v>27</v>
      </c>
      <c r="K1073" s="18"/>
      <c r="L1073" s="23" t="s">
        <v>3936</v>
      </c>
      <c r="M1073" s="23" t="s">
        <v>1856</v>
      </c>
      <c r="N1073" s="24" t="s">
        <v>1295</v>
      </c>
      <c r="O1073" s="18"/>
      <c r="P1073" s="24"/>
      <c r="Q1073" s="25">
        <v>45992</v>
      </c>
      <c r="R1073" s="13">
        <v>0</v>
      </c>
      <c r="S1073" s="26" t="str">
        <f>VLOOKUP(C1073,'[1]Bazaar Salary'!$B$6:$J$1193,9,0)</f>
        <v>07300010153086900010</v>
      </c>
      <c r="T1073" s="25" t="s">
        <v>32</v>
      </c>
      <c r="U1073" s="25" t="s">
        <v>303</v>
      </c>
      <c r="V1073" s="25" t="s">
        <v>884</v>
      </c>
      <c r="W1073" s="27" t="s">
        <v>3937</v>
      </c>
      <c r="X1073" s="28" t="s">
        <v>3938</v>
      </c>
      <c r="Y1073" s="28"/>
      <c r="Z1073" s="29" t="s">
        <v>37</v>
      </c>
    </row>
    <row r="1074" spans="1:26" ht="30" customHeight="1" thickBot="1" x14ac:dyDescent="0.25">
      <c r="A1074" s="17">
        <f t="shared" si="33"/>
        <v>1073</v>
      </c>
      <c r="B1074" s="18" t="s">
        <v>25</v>
      </c>
      <c r="C1074" s="19">
        <v>3410314177363</v>
      </c>
      <c r="D1074" s="19">
        <v>1864</v>
      </c>
      <c r="E1074" s="20">
        <v>43482</v>
      </c>
      <c r="F1074" s="20">
        <v>47135</v>
      </c>
      <c r="G1074" s="21">
        <v>36855</v>
      </c>
      <c r="H1074" s="22">
        <f t="shared" ca="1" si="32"/>
        <v>25</v>
      </c>
      <c r="I1074" s="19" t="s">
        <v>26</v>
      </c>
      <c r="J1074" s="18" t="s">
        <v>27</v>
      </c>
      <c r="K1074" s="18"/>
      <c r="L1074" s="23" t="s">
        <v>3939</v>
      </c>
      <c r="M1074" s="23" t="s">
        <v>3940</v>
      </c>
      <c r="N1074" s="24" t="s">
        <v>308</v>
      </c>
      <c r="O1074" s="18"/>
      <c r="P1074" s="24"/>
      <c r="Q1074" s="25">
        <v>46023</v>
      </c>
      <c r="R1074" s="13">
        <v>0</v>
      </c>
      <c r="S1074" s="26" t="str">
        <f>VLOOKUP(C1074,'[1]Bazaar Salary'!$B$6:$J$1193,9,0)</f>
        <v>02900010140525840013</v>
      </c>
      <c r="T1074" s="25" t="s">
        <v>32</v>
      </c>
      <c r="U1074" s="25" t="s">
        <v>303</v>
      </c>
      <c r="V1074" s="25" t="s">
        <v>340</v>
      </c>
      <c r="W1074" s="27" t="s">
        <v>3941</v>
      </c>
      <c r="X1074" s="28" t="s">
        <v>3942</v>
      </c>
      <c r="Y1074" s="28"/>
      <c r="Z1074" s="29" t="s">
        <v>37</v>
      </c>
    </row>
    <row r="1075" spans="1:26" ht="30" customHeight="1" thickBot="1" x14ac:dyDescent="0.25">
      <c r="A1075" s="17">
        <f t="shared" si="33"/>
        <v>1074</v>
      </c>
      <c r="B1075" s="18" t="s">
        <v>25</v>
      </c>
      <c r="C1075" s="19">
        <v>3410165347393</v>
      </c>
      <c r="D1075" s="19">
        <v>1960</v>
      </c>
      <c r="E1075" s="20">
        <v>42744</v>
      </c>
      <c r="F1075" s="20">
        <v>46396</v>
      </c>
      <c r="G1075" s="21">
        <v>35489</v>
      </c>
      <c r="H1075" s="22">
        <f t="shared" ca="1" si="32"/>
        <v>29</v>
      </c>
      <c r="I1075" s="19" t="s">
        <v>26</v>
      </c>
      <c r="J1075" s="18" t="s">
        <v>27</v>
      </c>
      <c r="K1075" s="18"/>
      <c r="L1075" s="23" t="s">
        <v>3943</v>
      </c>
      <c r="M1075" s="23" t="s">
        <v>3944</v>
      </c>
      <c r="N1075" s="23" t="s">
        <v>457</v>
      </c>
      <c r="O1075" s="18"/>
      <c r="P1075" s="24"/>
      <c r="Q1075" s="25">
        <v>46023</v>
      </c>
      <c r="R1075" s="13">
        <v>0</v>
      </c>
      <c r="S1075" s="26" t="str">
        <f>VLOOKUP(C1075,'[1]Bazaar Salary'!$B$6:$J$1193,9,0)</f>
        <v>07300010153983490014</v>
      </c>
      <c r="T1075" s="25" t="s">
        <v>32</v>
      </c>
      <c r="U1075" s="25" t="s">
        <v>303</v>
      </c>
      <c r="V1075" s="25" t="s">
        <v>3945</v>
      </c>
      <c r="W1075" s="27" t="s">
        <v>3946</v>
      </c>
      <c r="X1075" s="28" t="s">
        <v>3947</v>
      </c>
      <c r="Y1075" s="28"/>
      <c r="Z1075" s="29" t="s">
        <v>37</v>
      </c>
    </row>
    <row r="1076" spans="1:26" ht="30" customHeight="1" thickBot="1" x14ac:dyDescent="0.25">
      <c r="A1076" s="17">
        <f t="shared" si="33"/>
        <v>1075</v>
      </c>
      <c r="B1076" s="18" t="s">
        <v>25</v>
      </c>
      <c r="C1076" s="19">
        <v>3410178323553</v>
      </c>
      <c r="D1076" s="19"/>
      <c r="E1076" s="20">
        <v>45515</v>
      </c>
      <c r="F1076" s="20">
        <v>49167</v>
      </c>
      <c r="G1076" s="21">
        <v>38323</v>
      </c>
      <c r="H1076" s="22">
        <f t="shared" ca="1" si="32"/>
        <v>21</v>
      </c>
      <c r="I1076" s="19" t="s">
        <v>26</v>
      </c>
      <c r="J1076" s="18" t="s">
        <v>27</v>
      </c>
      <c r="K1076" s="18"/>
      <c r="L1076" s="23" t="s">
        <v>3948</v>
      </c>
      <c r="M1076" s="23" t="s">
        <v>3949</v>
      </c>
      <c r="N1076" s="23" t="s">
        <v>1499</v>
      </c>
      <c r="O1076" s="18"/>
      <c r="P1076" s="24"/>
      <c r="Q1076" s="25">
        <v>46018</v>
      </c>
      <c r="R1076" s="13">
        <v>0</v>
      </c>
      <c r="S1076" s="26" t="str">
        <f>VLOOKUP(C1076,'[1]Bazaar Salary'!$B$6:$J$1193,9,0)</f>
        <v>01730010157484680010</v>
      </c>
      <c r="T1076" s="25" t="s">
        <v>32</v>
      </c>
      <c r="U1076" s="25" t="s">
        <v>303</v>
      </c>
      <c r="V1076" s="25"/>
      <c r="W1076" s="27" t="s">
        <v>3950</v>
      </c>
      <c r="X1076" s="28" t="s">
        <v>3951</v>
      </c>
      <c r="Y1076" s="28"/>
      <c r="Z1076" s="29" t="s">
        <v>37</v>
      </c>
    </row>
    <row r="1077" spans="1:26" ht="30" customHeight="1" thickBot="1" x14ac:dyDescent="0.25">
      <c r="A1077" s="17">
        <f t="shared" si="33"/>
        <v>1076</v>
      </c>
      <c r="B1077" s="18" t="s">
        <v>25</v>
      </c>
      <c r="C1077" s="19">
        <v>3210245872807</v>
      </c>
      <c r="D1077" s="19">
        <v>1959</v>
      </c>
      <c r="E1077" s="20">
        <v>42726</v>
      </c>
      <c r="F1077" s="20">
        <v>46378</v>
      </c>
      <c r="G1077" s="21">
        <v>32492</v>
      </c>
      <c r="H1077" s="22">
        <f t="shared" ca="1" si="32"/>
        <v>37</v>
      </c>
      <c r="I1077" s="19" t="s">
        <v>26</v>
      </c>
      <c r="J1077" s="18" t="s">
        <v>27</v>
      </c>
      <c r="K1077" s="18"/>
      <c r="L1077" s="23" t="s">
        <v>3886</v>
      </c>
      <c r="M1077" s="23" t="s">
        <v>3952</v>
      </c>
      <c r="N1077" s="23" t="s">
        <v>1499</v>
      </c>
      <c r="O1077" s="18"/>
      <c r="P1077" s="24"/>
      <c r="Q1077" s="25">
        <v>45992</v>
      </c>
      <c r="R1077" s="13">
        <v>0</v>
      </c>
      <c r="S1077" s="26" t="str">
        <f>VLOOKUP(C1077,'[1]Bazaar Salary'!$B$6:$J$1193,9,0)</f>
        <v>07300010153089810010</v>
      </c>
      <c r="T1077" s="25" t="s">
        <v>32</v>
      </c>
      <c r="U1077" s="25" t="s">
        <v>303</v>
      </c>
      <c r="V1077" s="25"/>
      <c r="W1077" s="27" t="s">
        <v>3953</v>
      </c>
      <c r="X1077" s="28" t="s">
        <v>3954</v>
      </c>
      <c r="Y1077" s="28"/>
      <c r="Z1077" s="29" t="s">
        <v>37</v>
      </c>
    </row>
    <row r="1078" spans="1:26" ht="30" customHeight="1" thickBot="1" x14ac:dyDescent="0.25">
      <c r="A1078" s="17">
        <f t="shared" si="33"/>
        <v>1077</v>
      </c>
      <c r="B1078" s="18" t="s">
        <v>25</v>
      </c>
      <c r="C1078" s="19">
        <v>3410148692868</v>
      </c>
      <c r="D1078" s="19"/>
      <c r="E1078" s="20">
        <v>44330</v>
      </c>
      <c r="F1078" s="20">
        <v>47982</v>
      </c>
      <c r="G1078" s="21">
        <v>32829</v>
      </c>
      <c r="H1078" s="22">
        <f t="shared" ca="1" si="32"/>
        <v>36</v>
      </c>
      <c r="I1078" s="19" t="s">
        <v>26</v>
      </c>
      <c r="J1078" s="18" t="s">
        <v>66</v>
      </c>
      <c r="K1078" s="18"/>
      <c r="L1078" s="23" t="s">
        <v>3955</v>
      </c>
      <c r="M1078" s="23" t="s">
        <v>3956</v>
      </c>
      <c r="N1078" s="23" t="s">
        <v>1295</v>
      </c>
      <c r="O1078" s="18"/>
      <c r="P1078" s="24"/>
      <c r="Q1078" s="25">
        <v>46120</v>
      </c>
      <c r="R1078" s="13">
        <v>0</v>
      </c>
      <c r="S1078" s="26" t="str">
        <f>VLOOKUP(C1078,'[3]May-26'!$B$5:$H$89,7,0)</f>
        <v>12620010162807100019</v>
      </c>
      <c r="T1078" s="25" t="s">
        <v>32</v>
      </c>
      <c r="U1078" s="25" t="s">
        <v>303</v>
      </c>
      <c r="V1078" s="25" t="s">
        <v>884</v>
      </c>
      <c r="W1078" s="27" t="s">
        <v>3957</v>
      </c>
      <c r="X1078" s="28" t="s">
        <v>3958</v>
      </c>
      <c r="Y1078" s="28"/>
      <c r="Z1078" s="29" t="s">
        <v>3390</v>
      </c>
    </row>
    <row r="1079" spans="1:26" ht="30" customHeight="1" thickBot="1" x14ac:dyDescent="0.25">
      <c r="A1079" s="17">
        <f t="shared" si="33"/>
        <v>1078</v>
      </c>
      <c r="B1079" s="18" t="s">
        <v>25</v>
      </c>
      <c r="C1079" s="19">
        <v>3310011091185</v>
      </c>
      <c r="D1079" s="19">
        <v>1935</v>
      </c>
      <c r="E1079" s="20">
        <v>45657</v>
      </c>
      <c r="F1079" s="20">
        <v>49309</v>
      </c>
      <c r="G1079" s="21">
        <v>37756</v>
      </c>
      <c r="H1079" s="22">
        <f t="shared" ca="1" si="32"/>
        <v>23</v>
      </c>
      <c r="I1079" s="19" t="s">
        <v>26</v>
      </c>
      <c r="J1079" s="18" t="s">
        <v>27</v>
      </c>
      <c r="K1079" s="18"/>
      <c r="L1079" s="23" t="s">
        <v>3959</v>
      </c>
      <c r="M1079" s="23" t="s">
        <v>631</v>
      </c>
      <c r="N1079" s="23" t="s">
        <v>1295</v>
      </c>
      <c r="O1079" s="18"/>
      <c r="P1079" s="24"/>
      <c r="Q1079" s="25">
        <v>45992</v>
      </c>
      <c r="R1079" s="13">
        <v>0</v>
      </c>
      <c r="S1079" s="26" t="str">
        <f>VLOOKUP(C1079,'[1]Bazaar Salary'!$B$6:$J$1193,9,0)</f>
        <v>51870020151182910013</v>
      </c>
      <c r="T1079" s="25" t="s">
        <v>32</v>
      </c>
      <c r="U1079" s="25" t="s">
        <v>159</v>
      </c>
      <c r="V1079" s="25" t="s">
        <v>884</v>
      </c>
      <c r="W1079" s="27" t="s">
        <v>3960</v>
      </c>
      <c r="X1079" s="28" t="s">
        <v>3961</v>
      </c>
      <c r="Y1079" s="28"/>
      <c r="Z1079" s="29" t="s">
        <v>37</v>
      </c>
    </row>
    <row r="1080" spans="1:26" ht="30" customHeight="1" thickBot="1" x14ac:dyDescent="0.25">
      <c r="A1080" s="17">
        <f t="shared" si="33"/>
        <v>1079</v>
      </c>
      <c r="B1080" s="18" t="s">
        <v>25</v>
      </c>
      <c r="C1080" s="19">
        <v>3210404624607</v>
      </c>
      <c r="D1080" s="19">
        <v>1948</v>
      </c>
      <c r="E1080" s="20">
        <v>44201</v>
      </c>
      <c r="F1080" s="20">
        <v>47853</v>
      </c>
      <c r="G1080" s="21">
        <v>37587</v>
      </c>
      <c r="H1080" s="22">
        <f t="shared" ca="1" si="32"/>
        <v>23</v>
      </c>
      <c r="I1080" s="19" t="s">
        <v>26</v>
      </c>
      <c r="J1080" s="18" t="s">
        <v>27</v>
      </c>
      <c r="K1080" s="18"/>
      <c r="L1080" s="23" t="s">
        <v>3962</v>
      </c>
      <c r="M1080" s="23" t="s">
        <v>3963</v>
      </c>
      <c r="N1080" s="23" t="s">
        <v>1499</v>
      </c>
      <c r="O1080" s="18"/>
      <c r="P1080" s="24"/>
      <c r="Q1080" s="25">
        <v>45992</v>
      </c>
      <c r="R1080" s="13">
        <v>0</v>
      </c>
      <c r="S1080" s="26" t="str">
        <f>VLOOKUP(C1080,'[1]Bazaar Salary'!$B$6:$J$1193,9,0)</f>
        <v>51870020153261360019</v>
      </c>
      <c r="T1080" s="25" t="s">
        <v>32</v>
      </c>
      <c r="U1080" s="25" t="s">
        <v>159</v>
      </c>
      <c r="V1080" s="25"/>
      <c r="W1080" s="27" t="s">
        <v>3854</v>
      </c>
      <c r="X1080" s="28" t="s">
        <v>3964</v>
      </c>
      <c r="Y1080" s="28"/>
      <c r="Z1080" s="29" t="s">
        <v>37</v>
      </c>
    </row>
    <row r="1081" spans="1:26" ht="30" customHeight="1" thickBot="1" x14ac:dyDescent="0.25">
      <c r="A1081" s="17">
        <f t="shared" si="33"/>
        <v>1080</v>
      </c>
      <c r="B1081" s="18" t="s">
        <v>25</v>
      </c>
      <c r="C1081" s="19">
        <v>3210161296709</v>
      </c>
      <c r="D1081" s="19">
        <v>1957</v>
      </c>
      <c r="E1081" s="20">
        <v>42772</v>
      </c>
      <c r="F1081" s="20">
        <v>46424</v>
      </c>
      <c r="G1081" s="21">
        <v>35064</v>
      </c>
      <c r="H1081" s="22">
        <f t="shared" ca="1" si="32"/>
        <v>30</v>
      </c>
      <c r="I1081" s="19" t="s">
        <v>26</v>
      </c>
      <c r="J1081" s="18" t="s">
        <v>27</v>
      </c>
      <c r="K1081" s="18"/>
      <c r="L1081" s="23" t="s">
        <v>3249</v>
      </c>
      <c r="M1081" s="23" t="s">
        <v>1562</v>
      </c>
      <c r="N1081" s="23" t="s">
        <v>1499</v>
      </c>
      <c r="O1081" s="18"/>
      <c r="P1081" s="24"/>
      <c r="Q1081" s="25">
        <v>45992</v>
      </c>
      <c r="R1081" s="13">
        <v>0</v>
      </c>
      <c r="S1081" s="26" t="str">
        <f>VLOOKUP(C1081,'[1]Bazaar Salary'!$B$6:$J$1193,9,0)</f>
        <v>07300010153088110016</v>
      </c>
      <c r="T1081" s="25" t="s">
        <v>32</v>
      </c>
      <c r="U1081" s="25" t="s">
        <v>159</v>
      </c>
      <c r="V1081" s="25"/>
      <c r="W1081" s="27" t="s">
        <v>3965</v>
      </c>
      <c r="X1081" s="28" t="s">
        <v>3966</v>
      </c>
      <c r="Y1081" s="28"/>
      <c r="Z1081" s="29" t="s">
        <v>37</v>
      </c>
    </row>
    <row r="1082" spans="1:26" ht="30" customHeight="1" thickBot="1" x14ac:dyDescent="0.25">
      <c r="A1082" s="17">
        <f t="shared" si="33"/>
        <v>1081</v>
      </c>
      <c r="B1082" s="18" t="s">
        <v>25</v>
      </c>
      <c r="C1082" s="19">
        <v>3310081076785</v>
      </c>
      <c r="D1082" s="19">
        <v>1936</v>
      </c>
      <c r="E1082" s="20">
        <v>45657</v>
      </c>
      <c r="F1082" s="20">
        <v>49309</v>
      </c>
      <c r="G1082" s="21">
        <v>27881</v>
      </c>
      <c r="H1082" s="22">
        <f t="shared" ca="1" si="32"/>
        <v>50</v>
      </c>
      <c r="I1082" s="19" t="s">
        <v>26</v>
      </c>
      <c r="J1082" s="18" t="s">
        <v>27</v>
      </c>
      <c r="K1082" s="18"/>
      <c r="L1082" s="23" t="s">
        <v>631</v>
      </c>
      <c r="M1082" s="23" t="s">
        <v>3967</v>
      </c>
      <c r="N1082" s="23" t="s">
        <v>1499</v>
      </c>
      <c r="O1082" s="18"/>
      <c r="P1082" s="24"/>
      <c r="Q1082" s="25">
        <v>45992</v>
      </c>
      <c r="R1082" s="13">
        <v>0</v>
      </c>
      <c r="S1082" s="26" t="str">
        <f>VLOOKUP(C1082,'[1]Bazaar Salary'!$B$6:$J$1193,9,0)</f>
        <v>51870020151183630018</v>
      </c>
      <c r="T1082" s="25" t="s">
        <v>32</v>
      </c>
      <c r="U1082" s="25" t="s">
        <v>159</v>
      </c>
      <c r="V1082" s="25"/>
      <c r="W1082" s="27" t="s">
        <v>3960</v>
      </c>
      <c r="X1082" s="28" t="s">
        <v>3961</v>
      </c>
      <c r="Y1082" s="28"/>
      <c r="Z1082" s="29" t="s">
        <v>37</v>
      </c>
    </row>
    <row r="1083" spans="1:26" ht="30" customHeight="1" thickBot="1" x14ac:dyDescent="0.25">
      <c r="A1083" s="17">
        <f t="shared" si="33"/>
        <v>1082</v>
      </c>
      <c r="B1083" s="18" t="s">
        <v>25</v>
      </c>
      <c r="C1083" s="19">
        <v>3450126932491</v>
      </c>
      <c r="D1083" s="19"/>
      <c r="E1083" s="20">
        <v>45449</v>
      </c>
      <c r="F1083" s="20">
        <v>49101</v>
      </c>
      <c r="G1083" s="21">
        <v>38796</v>
      </c>
      <c r="H1083" s="22">
        <f t="shared" ca="1" si="32"/>
        <v>20</v>
      </c>
      <c r="I1083" s="19" t="s">
        <v>26</v>
      </c>
      <c r="J1083" s="18" t="s">
        <v>27</v>
      </c>
      <c r="K1083" s="18"/>
      <c r="L1083" s="23" t="s">
        <v>3968</v>
      </c>
      <c r="M1083" s="23" t="s">
        <v>3969</v>
      </c>
      <c r="N1083" s="23" t="s">
        <v>1499</v>
      </c>
      <c r="O1083" s="18"/>
      <c r="P1083" s="24"/>
      <c r="Q1083" s="25">
        <v>46045</v>
      </c>
      <c r="R1083" s="13">
        <v>0</v>
      </c>
      <c r="S1083" s="26" t="str">
        <f>VLOOKUP(C1083,'[1]Bazaar Salary'!$B$6:$J$1193,9,0)</f>
        <v>51870020159332330013</v>
      </c>
      <c r="T1083" s="25" t="s">
        <v>32</v>
      </c>
      <c r="U1083" s="25" t="s">
        <v>159</v>
      </c>
      <c r="V1083" s="25"/>
      <c r="W1083" s="27" t="s">
        <v>3970</v>
      </c>
      <c r="X1083" s="28" t="s">
        <v>3971</v>
      </c>
      <c r="Y1083" s="28"/>
      <c r="Z1083" s="29" t="s">
        <v>37</v>
      </c>
    </row>
    <row r="1084" spans="1:26" ht="30" customHeight="1" thickBot="1" x14ac:dyDescent="0.25">
      <c r="A1084" s="17">
        <f t="shared" si="33"/>
        <v>1083</v>
      </c>
      <c r="B1084" s="18" t="s">
        <v>25</v>
      </c>
      <c r="C1084" s="19">
        <v>3210405517881</v>
      </c>
      <c r="D1084" s="19">
        <v>1947</v>
      </c>
      <c r="E1084" s="20">
        <v>43719</v>
      </c>
      <c r="F1084" s="20">
        <v>47372</v>
      </c>
      <c r="G1084" s="21">
        <v>36392</v>
      </c>
      <c r="H1084" s="22">
        <f t="shared" ca="1" si="32"/>
        <v>26</v>
      </c>
      <c r="I1084" s="19" t="s">
        <v>26</v>
      </c>
      <c r="J1084" s="18" t="s">
        <v>27</v>
      </c>
      <c r="K1084" s="18"/>
      <c r="L1084" s="23" t="s">
        <v>600</v>
      </c>
      <c r="M1084" s="23" t="s">
        <v>2825</v>
      </c>
      <c r="N1084" s="23" t="s">
        <v>1499</v>
      </c>
      <c r="O1084" s="18"/>
      <c r="P1084" s="24"/>
      <c r="Q1084" s="25">
        <v>45992</v>
      </c>
      <c r="R1084" s="13">
        <v>0</v>
      </c>
      <c r="S1084" s="26" t="str">
        <f>VLOOKUP(C1084,'[1]Bazaar Salary'!$B$6:$J$1193,9,0)</f>
        <v>51870020153133660011</v>
      </c>
      <c r="T1084" s="25" t="s">
        <v>32</v>
      </c>
      <c r="U1084" s="25" t="s">
        <v>159</v>
      </c>
      <c r="V1084" s="25"/>
      <c r="W1084" s="27" t="s">
        <v>3972</v>
      </c>
      <c r="X1084" s="28" t="s">
        <v>3973</v>
      </c>
      <c r="Y1084" s="28"/>
      <c r="Z1084" s="29" t="s">
        <v>37</v>
      </c>
    </row>
    <row r="1085" spans="1:26" ht="30" customHeight="1" thickBot="1" x14ac:dyDescent="0.25">
      <c r="A1085" s="17">
        <f t="shared" si="33"/>
        <v>1084</v>
      </c>
      <c r="B1085" s="18" t="s">
        <v>25</v>
      </c>
      <c r="C1085" s="19">
        <v>3210266413377</v>
      </c>
      <c r="D1085" s="19">
        <v>1958</v>
      </c>
      <c r="E1085" s="20">
        <v>44627</v>
      </c>
      <c r="F1085" s="20">
        <v>48280</v>
      </c>
      <c r="G1085" s="21">
        <v>37573</v>
      </c>
      <c r="H1085" s="22">
        <f t="shared" ca="1" si="32"/>
        <v>23</v>
      </c>
      <c r="I1085" s="19" t="s">
        <v>26</v>
      </c>
      <c r="J1085" s="18" t="s">
        <v>27</v>
      </c>
      <c r="K1085" s="18"/>
      <c r="L1085" s="23" t="s">
        <v>3974</v>
      </c>
      <c r="M1085" s="23" t="s">
        <v>1133</v>
      </c>
      <c r="N1085" s="23" t="s">
        <v>1499</v>
      </c>
      <c r="O1085" s="18"/>
      <c r="P1085" s="24"/>
      <c r="Q1085" s="25">
        <v>45992</v>
      </c>
      <c r="R1085" s="13">
        <v>0</v>
      </c>
      <c r="S1085" s="26" t="str">
        <f>VLOOKUP(C1085,'[1]Bazaar Salary'!$B$6:$J$1193,9,0)</f>
        <v>07300010153086330010</v>
      </c>
      <c r="T1085" s="25" t="s">
        <v>32</v>
      </c>
      <c r="U1085" s="25" t="s">
        <v>159</v>
      </c>
      <c r="V1085" s="25"/>
      <c r="W1085" s="27" t="s">
        <v>3975</v>
      </c>
      <c r="X1085" s="28" t="s">
        <v>3976</v>
      </c>
      <c r="Y1085" s="28"/>
      <c r="Z1085" s="29" t="s">
        <v>37</v>
      </c>
    </row>
    <row r="1086" spans="1:26" ht="30" customHeight="1" thickBot="1" x14ac:dyDescent="0.25">
      <c r="A1086" s="17">
        <f t="shared" si="33"/>
        <v>1085</v>
      </c>
      <c r="B1086" s="18" t="s">
        <v>25</v>
      </c>
      <c r="C1086" s="19">
        <v>3420147610603</v>
      </c>
      <c r="D1086" s="19"/>
      <c r="E1086" s="20">
        <v>44748</v>
      </c>
      <c r="F1086" s="20">
        <v>48401</v>
      </c>
      <c r="G1086" s="21">
        <v>33433</v>
      </c>
      <c r="H1086" s="22">
        <f t="shared" ca="1" si="32"/>
        <v>34</v>
      </c>
      <c r="I1086" s="19" t="s">
        <v>912</v>
      </c>
      <c r="J1086" s="18" t="s">
        <v>27</v>
      </c>
      <c r="K1086" s="18"/>
      <c r="L1086" s="23" t="s">
        <v>3977</v>
      </c>
      <c r="M1086" s="23" t="s">
        <v>1486</v>
      </c>
      <c r="N1086" s="23" t="s">
        <v>1488</v>
      </c>
      <c r="O1086" s="18"/>
      <c r="P1086" s="24"/>
      <c r="Q1086" s="25">
        <v>46072</v>
      </c>
      <c r="R1086" s="13">
        <v>0</v>
      </c>
      <c r="S1086" s="26" t="str">
        <f>VLOOKUP(C1086,'[4]Daily Wages '!$B$6:$G$197,6,0)</f>
        <v>51040020160471760012</v>
      </c>
      <c r="T1086" s="25" t="s">
        <v>32</v>
      </c>
      <c r="U1086" s="25" t="s">
        <v>159</v>
      </c>
      <c r="V1086" s="25"/>
      <c r="W1086" s="27" t="s">
        <v>3839</v>
      </c>
      <c r="X1086" s="28" t="s">
        <v>3978</v>
      </c>
      <c r="Y1086" s="28"/>
      <c r="Z1086" s="29" t="s">
        <v>3390</v>
      </c>
    </row>
    <row r="1087" spans="1:26" ht="30" customHeight="1" thickBot="1" x14ac:dyDescent="0.25">
      <c r="A1087" s="17">
        <f t="shared" si="33"/>
        <v>1086</v>
      </c>
      <c r="B1087" s="18" t="s">
        <v>25</v>
      </c>
      <c r="C1087" s="19">
        <v>3460239456735</v>
      </c>
      <c r="D1087" s="19"/>
      <c r="E1087" s="20">
        <v>46042</v>
      </c>
      <c r="F1087" s="20">
        <v>49694</v>
      </c>
      <c r="G1087" s="21">
        <v>38975</v>
      </c>
      <c r="H1087" s="22">
        <f t="shared" ca="1" si="32"/>
        <v>19</v>
      </c>
      <c r="I1087" s="19" t="s">
        <v>26</v>
      </c>
      <c r="J1087" s="18" t="s">
        <v>27</v>
      </c>
      <c r="K1087" s="18"/>
      <c r="L1087" s="23" t="s">
        <v>3979</v>
      </c>
      <c r="M1087" s="23" t="s">
        <v>974</v>
      </c>
      <c r="N1087" s="23" t="s">
        <v>1499</v>
      </c>
      <c r="O1087" s="18"/>
      <c r="P1087" s="24"/>
      <c r="Q1087" s="25">
        <v>46066</v>
      </c>
      <c r="R1087" s="13">
        <v>0</v>
      </c>
      <c r="S1087" s="26" t="str">
        <f>VLOOKUP(C1087,'[4]Daily Wages '!$B$6:$G$197,6,0)</f>
        <v>51040020160485380016</v>
      </c>
      <c r="T1087" s="25" t="s">
        <v>32</v>
      </c>
      <c r="U1087" s="25" t="s">
        <v>159</v>
      </c>
      <c r="V1087" s="25"/>
      <c r="W1087" s="27" t="s">
        <v>3980</v>
      </c>
      <c r="X1087" s="28" t="s">
        <v>3981</v>
      </c>
      <c r="Y1087" s="28"/>
      <c r="Z1087" s="29" t="s">
        <v>3390</v>
      </c>
    </row>
    <row r="1088" spans="1:26" ht="30" customHeight="1" thickBot="1" x14ac:dyDescent="0.25">
      <c r="A1088" s="17">
        <f t="shared" si="33"/>
        <v>1087</v>
      </c>
      <c r="B1088" s="18" t="s">
        <v>25</v>
      </c>
      <c r="C1088" s="19">
        <v>3420169170861</v>
      </c>
      <c r="D1088" s="19"/>
      <c r="E1088" s="20">
        <v>43733</v>
      </c>
      <c r="F1088" s="20">
        <v>47386</v>
      </c>
      <c r="G1088" s="21">
        <v>37087</v>
      </c>
      <c r="H1088" s="22">
        <f t="shared" ca="1" si="32"/>
        <v>24</v>
      </c>
      <c r="I1088" s="19" t="s">
        <v>26</v>
      </c>
      <c r="J1088" s="18" t="s">
        <v>27</v>
      </c>
      <c r="K1088" s="18"/>
      <c r="L1088" s="23" t="s">
        <v>3982</v>
      </c>
      <c r="M1088" s="23" t="s">
        <v>3983</v>
      </c>
      <c r="N1088" s="23" t="s">
        <v>1499</v>
      </c>
      <c r="O1088" s="18"/>
      <c r="P1088" s="24"/>
      <c r="Q1088" s="25">
        <v>46079</v>
      </c>
      <c r="R1088" s="13">
        <v>0</v>
      </c>
      <c r="S1088" s="26" t="str">
        <f>VLOOKUP(C1088,'[4]Daily Wages '!$B$6:$G$197,6,0)</f>
        <v>51040020160469520019</v>
      </c>
      <c r="T1088" s="25" t="s">
        <v>32</v>
      </c>
      <c r="U1088" s="25" t="s">
        <v>159</v>
      </c>
      <c r="V1088" s="25"/>
      <c r="W1088" s="27" t="s">
        <v>3984</v>
      </c>
      <c r="X1088" s="28" t="s">
        <v>3985</v>
      </c>
      <c r="Y1088" s="28"/>
      <c r="Z1088" s="29" t="s">
        <v>3390</v>
      </c>
    </row>
    <row r="1089" spans="1:26" ht="30" customHeight="1" thickBot="1" x14ac:dyDescent="0.25">
      <c r="A1089" s="17">
        <f t="shared" si="33"/>
        <v>1088</v>
      </c>
      <c r="B1089" s="18" t="s">
        <v>25</v>
      </c>
      <c r="C1089" s="19">
        <v>3520243986657</v>
      </c>
      <c r="D1089" s="19">
        <v>1913</v>
      </c>
      <c r="E1089" s="20">
        <v>44843</v>
      </c>
      <c r="F1089" s="20">
        <v>48496</v>
      </c>
      <c r="G1089" s="21">
        <v>34474</v>
      </c>
      <c r="H1089" s="22">
        <f t="shared" ca="1" si="32"/>
        <v>32</v>
      </c>
      <c r="I1089" s="19" t="s">
        <v>3986</v>
      </c>
      <c r="J1089" s="18" t="s">
        <v>27</v>
      </c>
      <c r="K1089" s="18"/>
      <c r="L1089" s="23" t="s">
        <v>3987</v>
      </c>
      <c r="M1089" s="23" t="s">
        <v>269</v>
      </c>
      <c r="N1089" s="24" t="s">
        <v>3988</v>
      </c>
      <c r="O1089" s="18"/>
      <c r="P1089" s="24"/>
      <c r="Q1089" s="25">
        <v>45992</v>
      </c>
      <c r="R1089" s="13">
        <v>0</v>
      </c>
      <c r="S1089" s="26" t="str">
        <f>VLOOKUP(C1089,'[1]Bazaar Salary'!$B$6:$J$1193,9,0)</f>
        <v>09410010149855030010</v>
      </c>
      <c r="T1089" s="25" t="s">
        <v>32</v>
      </c>
      <c r="U1089" s="25" t="s">
        <v>583</v>
      </c>
      <c r="V1089" s="25" t="s">
        <v>884</v>
      </c>
      <c r="W1089" s="27" t="s">
        <v>3989</v>
      </c>
      <c r="X1089" s="28" t="s">
        <v>3990</v>
      </c>
      <c r="Y1089" s="28"/>
      <c r="Z1089" s="29" t="s">
        <v>37</v>
      </c>
    </row>
    <row r="1090" spans="1:26" ht="30" customHeight="1" thickBot="1" x14ac:dyDescent="0.25">
      <c r="A1090" s="17">
        <f t="shared" si="33"/>
        <v>1089</v>
      </c>
      <c r="B1090" s="18" t="s">
        <v>25</v>
      </c>
      <c r="C1090" s="19">
        <v>3520281863421</v>
      </c>
      <c r="D1090" s="19"/>
      <c r="E1090" s="20">
        <v>45229</v>
      </c>
      <c r="F1090" s="20">
        <v>48882</v>
      </c>
      <c r="G1090" s="21">
        <v>30778</v>
      </c>
      <c r="H1090" s="22">
        <f t="shared" ref="H1090:H1153" ca="1" si="34">INT((TODAY()-G1090)/365)</f>
        <v>42</v>
      </c>
      <c r="I1090" s="19" t="s">
        <v>26</v>
      </c>
      <c r="J1090" s="18" t="s">
        <v>27</v>
      </c>
      <c r="K1090" s="18"/>
      <c r="L1090" s="23" t="s">
        <v>3991</v>
      </c>
      <c r="M1090" s="23" t="s">
        <v>3992</v>
      </c>
      <c r="N1090" s="23" t="s">
        <v>1488</v>
      </c>
      <c r="O1090" s="18"/>
      <c r="P1090" s="24"/>
      <c r="Q1090" s="25">
        <v>46001</v>
      </c>
      <c r="R1090" s="13">
        <v>0</v>
      </c>
      <c r="S1090" s="26" t="str">
        <f>VLOOKUP(C1090,'[1]Bazaar Salary'!$B$6:$J$1193,9,0)</f>
        <v>07690010156542850012</v>
      </c>
      <c r="T1090" s="25" t="s">
        <v>32</v>
      </c>
      <c r="U1090" s="25" t="s">
        <v>583</v>
      </c>
      <c r="V1090" s="25"/>
      <c r="W1090" s="27" t="s">
        <v>3993</v>
      </c>
      <c r="X1090" s="28" t="s">
        <v>3994</v>
      </c>
      <c r="Y1090" s="28"/>
      <c r="Z1090" s="29" t="s">
        <v>37</v>
      </c>
    </row>
    <row r="1091" spans="1:26" ht="30" customHeight="1" thickBot="1" x14ac:dyDescent="0.25">
      <c r="A1091" s="17">
        <f t="shared" si="33"/>
        <v>1090</v>
      </c>
      <c r="B1091" s="18" t="s">
        <v>25</v>
      </c>
      <c r="C1091" s="19">
        <v>3520232184803</v>
      </c>
      <c r="D1091" s="19"/>
      <c r="E1091" s="20">
        <v>44838</v>
      </c>
      <c r="F1091" s="20">
        <v>48491</v>
      </c>
      <c r="G1091" s="21">
        <v>34082</v>
      </c>
      <c r="H1091" s="22">
        <f t="shared" ca="1" si="34"/>
        <v>33</v>
      </c>
      <c r="I1091" s="19" t="s">
        <v>912</v>
      </c>
      <c r="J1091" s="18" t="s">
        <v>27</v>
      </c>
      <c r="K1091" s="18"/>
      <c r="L1091" s="23" t="s">
        <v>3995</v>
      </c>
      <c r="M1091" s="23" t="s">
        <v>1492</v>
      </c>
      <c r="N1091" s="23" t="s">
        <v>1488</v>
      </c>
      <c r="O1091" s="18"/>
      <c r="P1091" s="24"/>
      <c r="Q1091" s="25">
        <v>46001</v>
      </c>
      <c r="R1091" s="13">
        <v>0</v>
      </c>
      <c r="S1091" s="26" t="str">
        <f>VLOOKUP(C1091,'[1]Bazaar Salary'!$B$6:$J$1193,9,0)</f>
        <v>07690010156539150017</v>
      </c>
      <c r="T1091" s="25" t="s">
        <v>32</v>
      </c>
      <c r="U1091" s="25" t="s">
        <v>583</v>
      </c>
      <c r="V1091" s="25"/>
      <c r="W1091" s="27" t="s">
        <v>3996</v>
      </c>
      <c r="X1091" s="28" t="s">
        <v>3997</v>
      </c>
      <c r="Y1091" s="28"/>
      <c r="Z1091" s="29" t="s">
        <v>37</v>
      </c>
    </row>
    <row r="1092" spans="1:26" ht="30" customHeight="1" thickBot="1" x14ac:dyDescent="0.25">
      <c r="A1092" s="17">
        <f t="shared" ref="A1092:A1155" si="35">A1091+1</f>
        <v>1091</v>
      </c>
      <c r="B1092" s="18" t="s">
        <v>25</v>
      </c>
      <c r="C1092" s="19">
        <v>3660312314999</v>
      </c>
      <c r="D1092" s="19"/>
      <c r="E1092" s="20">
        <v>42622</v>
      </c>
      <c r="F1092" s="20">
        <v>46274</v>
      </c>
      <c r="G1092" s="21">
        <v>35916</v>
      </c>
      <c r="H1092" s="22">
        <f t="shared" ca="1" si="34"/>
        <v>28</v>
      </c>
      <c r="I1092" s="19" t="s">
        <v>26</v>
      </c>
      <c r="J1092" s="18" t="s">
        <v>27</v>
      </c>
      <c r="K1092" s="18"/>
      <c r="L1092" s="23" t="s">
        <v>3998</v>
      </c>
      <c r="M1092" s="23" t="s">
        <v>3999</v>
      </c>
      <c r="N1092" s="23" t="s">
        <v>1499</v>
      </c>
      <c r="O1092" s="18"/>
      <c r="P1092" s="24"/>
      <c r="Q1092" s="25">
        <v>46010</v>
      </c>
      <c r="R1092" s="13">
        <v>0</v>
      </c>
      <c r="S1092" s="26" t="str">
        <f>VLOOKUP(C1092,'[1]Bazaar Salary'!$B$6:$J$1193,9,0)</f>
        <v>07670010156979500015</v>
      </c>
      <c r="T1092" s="25" t="s">
        <v>32</v>
      </c>
      <c r="U1092" s="25" t="s">
        <v>583</v>
      </c>
      <c r="V1092" s="25"/>
      <c r="W1092" s="27" t="s">
        <v>4000</v>
      </c>
      <c r="X1092" s="28" t="s">
        <v>4001</v>
      </c>
      <c r="Y1092" s="28"/>
      <c r="Z1092" s="29" t="s">
        <v>37</v>
      </c>
    </row>
    <row r="1093" spans="1:26" ht="30" customHeight="1" thickBot="1" x14ac:dyDescent="0.25">
      <c r="A1093" s="17">
        <f t="shared" si="35"/>
        <v>1092</v>
      </c>
      <c r="B1093" s="18" t="s">
        <v>25</v>
      </c>
      <c r="C1093" s="19">
        <v>3520166783191</v>
      </c>
      <c r="D1093" s="19"/>
      <c r="E1093" s="20">
        <v>44934</v>
      </c>
      <c r="F1093" s="20">
        <v>48587</v>
      </c>
      <c r="G1093" s="21">
        <v>25488</v>
      </c>
      <c r="H1093" s="22">
        <f t="shared" ca="1" si="34"/>
        <v>56</v>
      </c>
      <c r="I1093" s="19" t="s">
        <v>912</v>
      </c>
      <c r="J1093" s="18" t="s">
        <v>27</v>
      </c>
      <c r="K1093" s="18"/>
      <c r="L1093" s="23" t="s">
        <v>4002</v>
      </c>
      <c r="M1093" s="23" t="s">
        <v>4003</v>
      </c>
      <c r="N1093" s="23" t="s">
        <v>1488</v>
      </c>
      <c r="O1093" s="18"/>
      <c r="P1093" s="24"/>
      <c r="Q1093" s="25">
        <v>46018</v>
      </c>
      <c r="R1093" s="13">
        <v>0</v>
      </c>
      <c r="S1093" s="26" t="str">
        <f>VLOOKUP(C1093,'[4]Daily Wages '!$B$6:$G$197,6,0)</f>
        <v>07690010157938840016</v>
      </c>
      <c r="T1093" s="25" t="s">
        <v>32</v>
      </c>
      <c r="U1093" s="25" t="s">
        <v>583</v>
      </c>
      <c r="V1093" s="25"/>
      <c r="W1093" s="27" t="s">
        <v>4004</v>
      </c>
      <c r="X1093" s="28" t="s">
        <v>4005</v>
      </c>
      <c r="Y1093" s="28"/>
      <c r="Z1093" s="29" t="s">
        <v>3390</v>
      </c>
    </row>
    <row r="1094" spans="1:26" ht="30" customHeight="1" thickBot="1" x14ac:dyDescent="0.25">
      <c r="A1094" s="17">
        <f t="shared" si="35"/>
        <v>1093</v>
      </c>
      <c r="B1094" s="18" t="s">
        <v>25</v>
      </c>
      <c r="C1094" s="19">
        <v>3520278935651</v>
      </c>
      <c r="D1094" s="19"/>
      <c r="E1094" s="20">
        <v>44006</v>
      </c>
      <c r="F1094" s="20">
        <v>47658</v>
      </c>
      <c r="G1094" s="21">
        <v>36271</v>
      </c>
      <c r="H1094" s="22">
        <f t="shared" ca="1" si="34"/>
        <v>27</v>
      </c>
      <c r="I1094" s="19" t="s">
        <v>26</v>
      </c>
      <c r="J1094" s="18" t="s">
        <v>27</v>
      </c>
      <c r="K1094" s="18"/>
      <c r="L1094" s="23" t="s">
        <v>4006</v>
      </c>
      <c r="M1094" s="23" t="s">
        <v>1277</v>
      </c>
      <c r="N1094" s="23" t="s">
        <v>1488</v>
      </c>
      <c r="O1094" s="18"/>
      <c r="P1094" s="24"/>
      <c r="Q1094" s="25">
        <v>46158</v>
      </c>
      <c r="R1094" s="13">
        <v>0</v>
      </c>
      <c r="S1094" s="26" t="str">
        <f>VLOOKUP(C1094,'[4]Daily Wages '!$B$6:$G$197,6,0)</f>
        <v>07690010164601350010</v>
      </c>
      <c r="T1094" s="25" t="s">
        <v>32</v>
      </c>
      <c r="U1094" s="25" t="s">
        <v>483</v>
      </c>
      <c r="V1094" s="25"/>
      <c r="W1094" s="27" t="s">
        <v>4007</v>
      </c>
      <c r="X1094" s="28" t="s">
        <v>4008</v>
      </c>
      <c r="Y1094" s="28"/>
      <c r="Z1094" s="29" t="s">
        <v>3390</v>
      </c>
    </row>
    <row r="1095" spans="1:26" ht="30" customHeight="1" thickBot="1" x14ac:dyDescent="0.25">
      <c r="A1095" s="17">
        <f t="shared" si="35"/>
        <v>1094</v>
      </c>
      <c r="B1095" s="18" t="s">
        <v>25</v>
      </c>
      <c r="C1095" s="19">
        <v>3520227237329</v>
      </c>
      <c r="D1095" s="19"/>
      <c r="E1095" s="20">
        <v>45801</v>
      </c>
      <c r="F1095" s="20">
        <v>49453</v>
      </c>
      <c r="G1095" s="21">
        <v>38069</v>
      </c>
      <c r="H1095" s="22">
        <f t="shared" ca="1" si="34"/>
        <v>22</v>
      </c>
      <c r="I1095" s="19" t="s">
        <v>26</v>
      </c>
      <c r="J1095" s="18" t="s">
        <v>27</v>
      </c>
      <c r="K1095" s="18"/>
      <c r="L1095" s="23" t="s">
        <v>413</v>
      </c>
      <c r="M1095" s="23" t="s">
        <v>3044</v>
      </c>
      <c r="N1095" s="23" t="s">
        <v>1499</v>
      </c>
      <c r="O1095" s="18"/>
      <c r="P1095" s="24"/>
      <c r="Q1095" s="25">
        <v>46156</v>
      </c>
      <c r="R1095" s="13">
        <v>0</v>
      </c>
      <c r="S1095" s="26" t="str">
        <f>VLOOKUP(C1095,'[4]Daily Wages '!$B$6:$G$197,6,0)</f>
        <v>09790010149729350010</v>
      </c>
      <c r="T1095" s="25" t="s">
        <v>32</v>
      </c>
      <c r="U1095" s="25" t="s">
        <v>483</v>
      </c>
      <c r="V1095" s="25"/>
      <c r="W1095" s="27" t="s">
        <v>4009</v>
      </c>
      <c r="X1095" s="28" t="s">
        <v>4010</v>
      </c>
      <c r="Y1095" s="28"/>
      <c r="Z1095" s="29" t="s">
        <v>3390</v>
      </c>
    </row>
    <row r="1096" spans="1:26" ht="30" customHeight="1" thickBot="1" x14ac:dyDescent="0.25">
      <c r="A1096" s="17">
        <f t="shared" si="35"/>
        <v>1095</v>
      </c>
      <c r="B1096" s="18" t="s">
        <v>25</v>
      </c>
      <c r="C1096" s="19">
        <v>1310184258697</v>
      </c>
      <c r="D1096" s="19"/>
      <c r="E1096" s="20">
        <v>44813</v>
      </c>
      <c r="F1096" s="20">
        <v>48466</v>
      </c>
      <c r="G1096" s="21">
        <v>37387</v>
      </c>
      <c r="H1096" s="22">
        <f t="shared" ca="1" si="34"/>
        <v>24</v>
      </c>
      <c r="I1096" s="19" t="s">
        <v>26</v>
      </c>
      <c r="J1096" s="18" t="s">
        <v>27</v>
      </c>
      <c r="K1096" s="18"/>
      <c r="L1096" s="23" t="s">
        <v>4011</v>
      </c>
      <c r="M1096" s="23" t="s">
        <v>578</v>
      </c>
      <c r="N1096" s="23" t="s">
        <v>1499</v>
      </c>
      <c r="O1096" s="18"/>
      <c r="P1096" s="24"/>
      <c r="Q1096" s="25">
        <v>46160</v>
      </c>
      <c r="R1096" s="13">
        <v>0</v>
      </c>
      <c r="S1096" s="26"/>
      <c r="T1096" s="25"/>
      <c r="U1096" s="25" t="s">
        <v>483</v>
      </c>
      <c r="V1096" s="25"/>
      <c r="W1096" s="27" t="s">
        <v>4012</v>
      </c>
      <c r="X1096" s="28" t="s">
        <v>4013</v>
      </c>
      <c r="Y1096" s="28"/>
      <c r="Z1096" s="29" t="s">
        <v>3390</v>
      </c>
    </row>
    <row r="1097" spans="1:26" ht="30" customHeight="1" thickBot="1" x14ac:dyDescent="0.25">
      <c r="A1097" s="17">
        <f t="shared" si="35"/>
        <v>1096</v>
      </c>
      <c r="B1097" s="18" t="s">
        <v>25</v>
      </c>
      <c r="C1097" s="19">
        <v>1310110649167</v>
      </c>
      <c r="D1097" s="19"/>
      <c r="E1097" s="20">
        <v>44719</v>
      </c>
      <c r="F1097" s="20">
        <v>48372</v>
      </c>
      <c r="G1097" s="21">
        <v>36718</v>
      </c>
      <c r="H1097" s="22">
        <f t="shared" ca="1" si="34"/>
        <v>25</v>
      </c>
      <c r="I1097" s="19" t="s">
        <v>26</v>
      </c>
      <c r="J1097" s="18" t="s">
        <v>27</v>
      </c>
      <c r="K1097" s="18"/>
      <c r="L1097" s="23" t="s">
        <v>4014</v>
      </c>
      <c r="M1097" s="23" t="s">
        <v>1413</v>
      </c>
      <c r="N1097" s="23" t="s">
        <v>1499</v>
      </c>
      <c r="O1097" s="18"/>
      <c r="P1097" s="24"/>
      <c r="Q1097" s="25">
        <v>46160</v>
      </c>
      <c r="R1097" s="13">
        <v>0</v>
      </c>
      <c r="S1097" s="26"/>
      <c r="T1097" s="25"/>
      <c r="U1097" s="25" t="s">
        <v>483</v>
      </c>
      <c r="V1097" s="25"/>
      <c r="W1097" s="27" t="s">
        <v>4015</v>
      </c>
      <c r="X1097" s="28" t="s">
        <v>4016</v>
      </c>
      <c r="Y1097" s="28"/>
      <c r="Z1097" s="29" t="s">
        <v>3390</v>
      </c>
    </row>
    <row r="1098" spans="1:26" ht="30" customHeight="1" thickBot="1" x14ac:dyDescent="0.25">
      <c r="A1098" s="17">
        <f t="shared" si="35"/>
        <v>1097</v>
      </c>
      <c r="B1098" s="18" t="s">
        <v>25</v>
      </c>
      <c r="C1098" s="19">
        <v>3430198217259</v>
      </c>
      <c r="D1098" s="19">
        <v>1934</v>
      </c>
      <c r="E1098" s="20">
        <v>42944</v>
      </c>
      <c r="F1098" s="20">
        <v>46596</v>
      </c>
      <c r="G1098" s="21">
        <v>30335</v>
      </c>
      <c r="H1098" s="22">
        <f t="shared" ca="1" si="34"/>
        <v>43</v>
      </c>
      <c r="I1098" s="19" t="s">
        <v>26</v>
      </c>
      <c r="J1098" s="18" t="s">
        <v>27</v>
      </c>
      <c r="K1098" s="18"/>
      <c r="L1098" s="23" t="s">
        <v>2021</v>
      </c>
      <c r="M1098" s="23" t="s">
        <v>1588</v>
      </c>
      <c r="N1098" s="23" t="s">
        <v>1551</v>
      </c>
      <c r="O1098" s="18"/>
      <c r="P1098" s="24"/>
      <c r="Q1098" s="25">
        <v>45992</v>
      </c>
      <c r="R1098" s="13">
        <v>0</v>
      </c>
      <c r="S1098" s="26" t="str">
        <f>VLOOKUP(C1098,'[1]Bazaar Salary'!$B$6:$J$1193,9,0)</f>
        <v>07940010152410640010</v>
      </c>
      <c r="T1098" s="25" t="s">
        <v>32</v>
      </c>
      <c r="U1098" s="25" t="s">
        <v>588</v>
      </c>
      <c r="V1098" s="25"/>
      <c r="W1098" s="27" t="s">
        <v>4017</v>
      </c>
      <c r="X1098" s="28" t="s">
        <v>4018</v>
      </c>
      <c r="Y1098" s="28"/>
      <c r="Z1098" s="29" t="s">
        <v>37</v>
      </c>
    </row>
    <row r="1099" spans="1:26" ht="30" customHeight="1" thickBot="1" x14ac:dyDescent="0.25">
      <c r="A1099" s="17">
        <f t="shared" si="35"/>
        <v>1098</v>
      </c>
      <c r="B1099" s="18" t="s">
        <v>25</v>
      </c>
      <c r="C1099" s="19">
        <v>3410307459300</v>
      </c>
      <c r="D1099" s="19">
        <v>1870</v>
      </c>
      <c r="E1099" s="20">
        <v>45580</v>
      </c>
      <c r="F1099" s="20">
        <v>49232</v>
      </c>
      <c r="G1099" s="21">
        <v>38633</v>
      </c>
      <c r="H1099" s="22">
        <f t="shared" ca="1" si="34"/>
        <v>20</v>
      </c>
      <c r="I1099" s="19" t="s">
        <v>26</v>
      </c>
      <c r="J1099" s="18" t="s">
        <v>27</v>
      </c>
      <c r="K1099" s="18"/>
      <c r="L1099" s="23" t="s">
        <v>4019</v>
      </c>
      <c r="M1099" s="23" t="s">
        <v>4020</v>
      </c>
      <c r="N1099" s="23" t="s">
        <v>1551</v>
      </c>
      <c r="O1099" s="18"/>
      <c r="P1099" s="24"/>
      <c r="Q1099" s="25">
        <v>45992</v>
      </c>
      <c r="R1099" s="13">
        <v>0</v>
      </c>
      <c r="S1099" s="26" t="str">
        <f>VLOOKUP(C1099,'[1]Bazaar Salary'!$B$6:$J$1193,9,0)</f>
        <v>07940010145054740019</v>
      </c>
      <c r="T1099" s="25" t="s">
        <v>32</v>
      </c>
      <c r="U1099" s="25" t="s">
        <v>588</v>
      </c>
      <c r="V1099" s="25"/>
      <c r="W1099" s="27" t="s">
        <v>4021</v>
      </c>
      <c r="X1099" s="28" t="s">
        <v>4022</v>
      </c>
      <c r="Y1099" s="28"/>
      <c r="Z1099" s="29" t="s">
        <v>37</v>
      </c>
    </row>
    <row r="1100" spans="1:26" ht="30" customHeight="1" thickBot="1" x14ac:dyDescent="0.25">
      <c r="A1100" s="17">
        <f t="shared" si="35"/>
        <v>1099</v>
      </c>
      <c r="B1100" s="18" t="s">
        <v>25</v>
      </c>
      <c r="C1100" s="19">
        <v>3210405173055</v>
      </c>
      <c r="D1100" s="19">
        <v>1955</v>
      </c>
      <c r="E1100" s="20">
        <v>45792</v>
      </c>
      <c r="F1100" s="20">
        <v>49444</v>
      </c>
      <c r="G1100" s="21">
        <v>39174</v>
      </c>
      <c r="H1100" s="22">
        <f t="shared" ca="1" si="34"/>
        <v>19</v>
      </c>
      <c r="I1100" s="19" t="s">
        <v>26</v>
      </c>
      <c r="J1100" s="18" t="s">
        <v>27</v>
      </c>
      <c r="K1100" s="18"/>
      <c r="L1100" s="23" t="s">
        <v>1529</v>
      </c>
      <c r="M1100" s="23" t="s">
        <v>4023</v>
      </c>
      <c r="N1100" s="23" t="s">
        <v>1295</v>
      </c>
      <c r="O1100" s="18"/>
      <c r="P1100" s="24"/>
      <c r="Q1100" s="25">
        <v>45992</v>
      </c>
      <c r="R1100" s="13">
        <v>0</v>
      </c>
      <c r="S1100" s="26" t="str">
        <f>VLOOKUP(C1100,'[1]Bazaar Salary'!$B$6:$J$1193,9,0)</f>
        <v>07300010153091010010</v>
      </c>
      <c r="T1100" s="25" t="s">
        <v>32</v>
      </c>
      <c r="U1100" s="25" t="s">
        <v>588</v>
      </c>
      <c r="V1100" s="25" t="s">
        <v>884</v>
      </c>
      <c r="W1100" s="27" t="s">
        <v>4024</v>
      </c>
      <c r="X1100" s="28" t="s">
        <v>4025</v>
      </c>
      <c r="Y1100" s="28"/>
      <c r="Z1100" s="29" t="s">
        <v>37</v>
      </c>
    </row>
    <row r="1101" spans="1:26" ht="30" customHeight="1" thickBot="1" x14ac:dyDescent="0.25">
      <c r="A1101" s="17">
        <f t="shared" si="35"/>
        <v>1100</v>
      </c>
      <c r="B1101" s="18" t="s">
        <v>25</v>
      </c>
      <c r="C1101" s="19">
        <v>3410411984985</v>
      </c>
      <c r="D1101" s="19">
        <v>1874</v>
      </c>
      <c r="E1101" s="20">
        <v>44733</v>
      </c>
      <c r="F1101" s="20">
        <v>48386</v>
      </c>
      <c r="G1101" s="21">
        <v>33970</v>
      </c>
      <c r="H1101" s="22">
        <f t="shared" ca="1" si="34"/>
        <v>33</v>
      </c>
      <c r="I1101" s="19" t="s">
        <v>26</v>
      </c>
      <c r="J1101" s="18" t="s">
        <v>27</v>
      </c>
      <c r="K1101" s="18"/>
      <c r="L1101" s="23" t="s">
        <v>4026</v>
      </c>
      <c r="M1101" s="23" t="s">
        <v>4027</v>
      </c>
      <c r="N1101" s="24" t="s">
        <v>457</v>
      </c>
      <c r="O1101" s="18"/>
      <c r="P1101" s="24"/>
      <c r="Q1101" s="25">
        <v>46023</v>
      </c>
      <c r="R1101" s="13">
        <v>0</v>
      </c>
      <c r="S1101" s="26" t="str">
        <f>VLOOKUP(C1101,'[1]Bazaar Salary'!$B$6:$J$1193,9,0)</f>
        <v>08300010080889480010</v>
      </c>
      <c r="T1101" s="25" t="s">
        <v>32</v>
      </c>
      <c r="U1101" s="25" t="s">
        <v>588</v>
      </c>
      <c r="V1101" s="25" t="s">
        <v>293</v>
      </c>
      <c r="W1101" s="27" t="s">
        <v>4028</v>
      </c>
      <c r="X1101" s="28" t="s">
        <v>4029</v>
      </c>
      <c r="Y1101" s="28"/>
      <c r="Z1101" s="29" t="s">
        <v>37</v>
      </c>
    </row>
    <row r="1102" spans="1:26" ht="30" customHeight="1" thickBot="1" x14ac:dyDescent="0.25">
      <c r="A1102" s="17">
        <f t="shared" si="35"/>
        <v>1101</v>
      </c>
      <c r="B1102" s="18" t="s">
        <v>25</v>
      </c>
      <c r="C1102" s="19">
        <v>3410308691153</v>
      </c>
      <c r="D1102" s="19">
        <v>1868</v>
      </c>
      <c r="E1102" s="20">
        <v>44390</v>
      </c>
      <c r="F1102" s="20">
        <v>48042</v>
      </c>
      <c r="G1102" s="21">
        <v>35400</v>
      </c>
      <c r="H1102" s="22">
        <f t="shared" ca="1" si="34"/>
        <v>29</v>
      </c>
      <c r="I1102" s="19" t="s">
        <v>912</v>
      </c>
      <c r="J1102" s="18" t="s">
        <v>27</v>
      </c>
      <c r="K1102" s="18"/>
      <c r="L1102" s="23" t="s">
        <v>4030</v>
      </c>
      <c r="M1102" s="23" t="s">
        <v>4031</v>
      </c>
      <c r="N1102" s="23" t="s">
        <v>1488</v>
      </c>
      <c r="O1102" s="18"/>
      <c r="P1102" s="24"/>
      <c r="Q1102" s="25">
        <v>45992</v>
      </c>
      <c r="R1102" s="13">
        <v>0</v>
      </c>
      <c r="S1102" s="26" t="str">
        <f>VLOOKUP(C1102,'[1]Bazaar Salary'!$B$6:$J$1193,9,0)</f>
        <v>07940010145046600010</v>
      </c>
      <c r="T1102" s="25" t="s">
        <v>32</v>
      </c>
      <c r="U1102" s="25" t="s">
        <v>588</v>
      </c>
      <c r="V1102" s="25"/>
      <c r="W1102" s="27" t="s">
        <v>4032</v>
      </c>
      <c r="X1102" s="28" t="s">
        <v>4033</v>
      </c>
      <c r="Y1102" s="28"/>
      <c r="Z1102" s="29" t="s">
        <v>37</v>
      </c>
    </row>
    <row r="1103" spans="1:26" ht="30" customHeight="1" thickBot="1" x14ac:dyDescent="0.25">
      <c r="A1103" s="17">
        <f t="shared" si="35"/>
        <v>1102</v>
      </c>
      <c r="B1103" s="18" t="s">
        <v>25</v>
      </c>
      <c r="C1103" s="19">
        <v>3410323950727</v>
      </c>
      <c r="D1103" s="19">
        <v>1908</v>
      </c>
      <c r="E1103" s="20">
        <v>45685</v>
      </c>
      <c r="F1103" s="20">
        <v>49337</v>
      </c>
      <c r="G1103" s="21">
        <v>38792</v>
      </c>
      <c r="H1103" s="22">
        <f t="shared" ca="1" si="34"/>
        <v>20</v>
      </c>
      <c r="I1103" s="19" t="s">
        <v>26</v>
      </c>
      <c r="J1103" s="18" t="s">
        <v>27</v>
      </c>
      <c r="K1103" s="18"/>
      <c r="L1103" s="23" t="s">
        <v>4034</v>
      </c>
      <c r="M1103" s="23" t="s">
        <v>4035</v>
      </c>
      <c r="N1103" s="23" t="s">
        <v>1499</v>
      </c>
      <c r="O1103" s="18"/>
      <c r="P1103" s="24"/>
      <c r="Q1103" s="25">
        <v>45992</v>
      </c>
      <c r="R1103" s="13">
        <v>0</v>
      </c>
      <c r="S1103" s="26" t="str">
        <f>VLOOKUP(C1103,'[1]Bazaar Salary'!$B$6:$J$1193,9,0)</f>
        <v>07940010149026690010</v>
      </c>
      <c r="T1103" s="25" t="s">
        <v>32</v>
      </c>
      <c r="U1103" s="25" t="s">
        <v>588</v>
      </c>
      <c r="V1103" s="25" t="s">
        <v>1356</v>
      </c>
      <c r="W1103" s="27" t="s">
        <v>4036</v>
      </c>
      <c r="X1103" s="28" t="s">
        <v>4037</v>
      </c>
      <c r="Y1103" s="28"/>
      <c r="Z1103" s="29" t="s">
        <v>37</v>
      </c>
    </row>
    <row r="1104" spans="1:26" ht="30" customHeight="1" thickBot="1" x14ac:dyDescent="0.25">
      <c r="A1104" s="17">
        <f t="shared" si="35"/>
        <v>1103</v>
      </c>
      <c r="B1104" s="18" t="s">
        <v>25</v>
      </c>
      <c r="C1104" s="19">
        <v>3430103408589</v>
      </c>
      <c r="D1104" s="19"/>
      <c r="E1104" s="20">
        <v>45016</v>
      </c>
      <c r="F1104" s="20">
        <v>48669</v>
      </c>
      <c r="G1104" s="21">
        <v>29253</v>
      </c>
      <c r="H1104" s="22">
        <f t="shared" ca="1" si="34"/>
        <v>46</v>
      </c>
      <c r="I1104" s="19" t="s">
        <v>26</v>
      </c>
      <c r="J1104" s="18" t="s">
        <v>27</v>
      </c>
      <c r="K1104" s="18"/>
      <c r="L1104" s="23" t="s">
        <v>1118</v>
      </c>
      <c r="M1104" s="23" t="s">
        <v>2083</v>
      </c>
      <c r="N1104" s="23" t="s">
        <v>1499</v>
      </c>
      <c r="O1104" s="18"/>
      <c r="P1104" s="24"/>
      <c r="Q1104" s="25">
        <v>46051</v>
      </c>
      <c r="R1104" s="13">
        <v>0</v>
      </c>
      <c r="S1104" s="26" t="str">
        <f>VLOOKUP(C1104,'[1]Bazaar Salary'!$B$6:$J$1193,9,0)</f>
        <v>07940010159589370012</v>
      </c>
      <c r="T1104" s="25" t="s">
        <v>32</v>
      </c>
      <c r="U1104" s="25" t="s">
        <v>588</v>
      </c>
      <c r="V1104" s="25"/>
      <c r="W1104" s="27" t="s">
        <v>4038</v>
      </c>
      <c r="X1104" s="28" t="s">
        <v>4039</v>
      </c>
      <c r="Y1104" s="28"/>
      <c r="Z1104" s="29" t="s">
        <v>37</v>
      </c>
    </row>
    <row r="1105" spans="1:26" ht="30" customHeight="1" thickBot="1" x14ac:dyDescent="0.25">
      <c r="A1105" s="17">
        <f t="shared" si="35"/>
        <v>1104</v>
      </c>
      <c r="B1105" s="18" t="s">
        <v>25</v>
      </c>
      <c r="C1105" s="19">
        <v>3430140911339</v>
      </c>
      <c r="D1105" s="19"/>
      <c r="E1105" s="20">
        <v>45049</v>
      </c>
      <c r="F1105" s="20">
        <v>48702</v>
      </c>
      <c r="G1105" s="21">
        <v>34737</v>
      </c>
      <c r="H1105" s="22">
        <f t="shared" ca="1" si="34"/>
        <v>31</v>
      </c>
      <c r="I1105" s="19" t="s">
        <v>912</v>
      </c>
      <c r="J1105" s="18" t="s">
        <v>27</v>
      </c>
      <c r="K1105" s="18"/>
      <c r="L1105" s="23" t="s">
        <v>4040</v>
      </c>
      <c r="M1105" s="23" t="s">
        <v>2179</v>
      </c>
      <c r="N1105" s="23" t="s">
        <v>1488</v>
      </c>
      <c r="O1105" s="18"/>
      <c r="P1105" s="24"/>
      <c r="Q1105" s="25">
        <v>46071</v>
      </c>
      <c r="R1105" s="13">
        <v>0</v>
      </c>
      <c r="S1105" s="26" t="str">
        <f>VLOOKUP(C1105,'[4]Daily Wages '!$B$6:$G$197,6,0)</f>
        <v>07940010160676080014</v>
      </c>
      <c r="T1105" s="25" t="s">
        <v>32</v>
      </c>
      <c r="U1105" s="25" t="s">
        <v>588</v>
      </c>
      <c r="V1105" s="25"/>
      <c r="W1105" s="27" t="s">
        <v>4041</v>
      </c>
      <c r="X1105" s="28" t="s">
        <v>4042</v>
      </c>
      <c r="Y1105" s="28"/>
      <c r="Z1105" s="29" t="s">
        <v>3390</v>
      </c>
    </row>
    <row r="1106" spans="1:26" ht="30" customHeight="1" thickBot="1" x14ac:dyDescent="0.25">
      <c r="A1106" s="17">
        <f t="shared" si="35"/>
        <v>1105</v>
      </c>
      <c r="B1106" s="18" t="s">
        <v>25</v>
      </c>
      <c r="C1106" s="19">
        <v>3520186543874</v>
      </c>
      <c r="D1106" s="19">
        <v>1912</v>
      </c>
      <c r="E1106" s="20">
        <v>45324</v>
      </c>
      <c r="F1106" s="20">
        <v>48977</v>
      </c>
      <c r="G1106" s="21">
        <v>38647</v>
      </c>
      <c r="H1106" s="22">
        <f t="shared" ca="1" si="34"/>
        <v>20</v>
      </c>
      <c r="I1106" s="19" t="s">
        <v>26</v>
      </c>
      <c r="J1106" s="18" t="s">
        <v>66</v>
      </c>
      <c r="K1106" s="18"/>
      <c r="L1106" s="23" t="s">
        <v>4043</v>
      </c>
      <c r="M1106" s="23" t="s">
        <v>1165</v>
      </c>
      <c r="N1106" s="24" t="s">
        <v>1295</v>
      </c>
      <c r="O1106" s="18"/>
      <c r="P1106" s="24"/>
      <c r="Q1106" s="25">
        <v>45992</v>
      </c>
      <c r="R1106" s="13">
        <v>0</v>
      </c>
      <c r="S1106" s="26" t="str">
        <f>VLOOKUP(C1106,'[1]Bazaar Salary'!$B$6:$J$1193,9,0)</f>
        <v>01260010149396170016</v>
      </c>
      <c r="T1106" s="25" t="s">
        <v>32</v>
      </c>
      <c r="U1106" s="25" t="s">
        <v>309</v>
      </c>
      <c r="V1106" s="25" t="s">
        <v>3391</v>
      </c>
      <c r="W1106" s="27" t="s">
        <v>4044</v>
      </c>
      <c r="X1106" s="28" t="s">
        <v>4045</v>
      </c>
      <c r="Y1106" s="28"/>
      <c r="Z1106" s="29" t="s">
        <v>37</v>
      </c>
    </row>
    <row r="1107" spans="1:26" ht="30" customHeight="1" thickBot="1" x14ac:dyDescent="0.25">
      <c r="A1107" s="17">
        <f t="shared" si="35"/>
        <v>1106</v>
      </c>
      <c r="B1107" s="18" t="s">
        <v>25</v>
      </c>
      <c r="C1107" s="19">
        <v>3520144886005</v>
      </c>
      <c r="D1107" s="19"/>
      <c r="E1107" s="20">
        <v>44962</v>
      </c>
      <c r="F1107" s="20">
        <v>48615</v>
      </c>
      <c r="G1107" s="21">
        <v>33519</v>
      </c>
      <c r="H1107" s="22">
        <f t="shared" ca="1" si="34"/>
        <v>34</v>
      </c>
      <c r="I1107" s="19" t="s">
        <v>26</v>
      </c>
      <c r="J1107" s="18" t="s">
        <v>27</v>
      </c>
      <c r="K1107" s="18"/>
      <c r="L1107" s="23" t="s">
        <v>4046</v>
      </c>
      <c r="M1107" s="23" t="s">
        <v>4047</v>
      </c>
      <c r="N1107" s="23" t="s">
        <v>457</v>
      </c>
      <c r="O1107" s="18"/>
      <c r="P1107" s="24"/>
      <c r="Q1107" s="25">
        <v>46112</v>
      </c>
      <c r="R1107" s="13">
        <v>0</v>
      </c>
      <c r="S1107" s="26" t="str">
        <f>VLOOKUP(C1107,'[3]May-26'!$B$5:$H$89,7,0)</f>
        <v>01260010162230820019</v>
      </c>
      <c r="T1107" s="25" t="s">
        <v>32</v>
      </c>
      <c r="U1107" s="25" t="s">
        <v>309</v>
      </c>
      <c r="V1107" s="25" t="s">
        <v>405</v>
      </c>
      <c r="W1107" s="27" t="s">
        <v>4048</v>
      </c>
      <c r="X1107" s="28" t="s">
        <v>4049</v>
      </c>
      <c r="Y1107" s="28"/>
      <c r="Z1107" s="29" t="s">
        <v>3390</v>
      </c>
    </row>
    <row r="1108" spans="1:26" ht="30" customHeight="1" thickBot="1" x14ac:dyDescent="0.25">
      <c r="A1108" s="17">
        <f t="shared" si="35"/>
        <v>1107</v>
      </c>
      <c r="B1108" s="18" t="s">
        <v>25</v>
      </c>
      <c r="C1108" s="19">
        <v>3630247953028</v>
      </c>
      <c r="D1108" s="19"/>
      <c r="E1108" s="20">
        <v>44579</v>
      </c>
      <c r="F1108" s="20">
        <v>48231</v>
      </c>
      <c r="G1108" s="21">
        <v>30295</v>
      </c>
      <c r="H1108" s="22">
        <f t="shared" ca="1" si="34"/>
        <v>43</v>
      </c>
      <c r="I1108" s="19" t="s">
        <v>26</v>
      </c>
      <c r="J1108" s="18" t="s">
        <v>66</v>
      </c>
      <c r="K1108" s="18"/>
      <c r="L1108" s="23" t="s">
        <v>4050</v>
      </c>
      <c r="M1108" s="23" t="s">
        <v>4051</v>
      </c>
      <c r="N1108" s="23" t="s">
        <v>457</v>
      </c>
      <c r="O1108" s="18"/>
      <c r="P1108" s="24"/>
      <c r="Q1108" s="25">
        <v>46069</v>
      </c>
      <c r="R1108" s="13">
        <v>0</v>
      </c>
      <c r="S1108" s="26" t="str">
        <f>VLOOKUP(C1108,'[3]May-26'!$B$5:$H$89,7,0)</f>
        <v>51680020160469870012</v>
      </c>
      <c r="T1108" s="25" t="s">
        <v>32</v>
      </c>
      <c r="U1108" s="25" t="s">
        <v>309</v>
      </c>
      <c r="V1108" s="25" t="s">
        <v>4052</v>
      </c>
      <c r="W1108" s="27" t="s">
        <v>4053</v>
      </c>
      <c r="X1108" s="28" t="s">
        <v>4054</v>
      </c>
      <c r="Y1108" s="28"/>
      <c r="Z1108" s="29" t="s">
        <v>3390</v>
      </c>
    </row>
    <row r="1109" spans="1:26" ht="30" customHeight="1" thickBot="1" x14ac:dyDescent="0.25">
      <c r="A1109" s="17">
        <f t="shared" si="35"/>
        <v>1108</v>
      </c>
      <c r="B1109" s="18" t="s">
        <v>25</v>
      </c>
      <c r="C1109" s="19">
        <v>3540492400953</v>
      </c>
      <c r="D1109" s="19"/>
      <c r="E1109" s="20">
        <v>44025</v>
      </c>
      <c r="F1109" s="20">
        <v>47677</v>
      </c>
      <c r="G1109" s="21">
        <v>32813</v>
      </c>
      <c r="H1109" s="22">
        <f t="shared" ca="1" si="34"/>
        <v>36</v>
      </c>
      <c r="I1109" s="19" t="s">
        <v>26</v>
      </c>
      <c r="J1109" s="18" t="s">
        <v>27</v>
      </c>
      <c r="K1109" s="18"/>
      <c r="L1109" s="23" t="s">
        <v>4055</v>
      </c>
      <c r="M1109" s="23" t="s">
        <v>2266</v>
      </c>
      <c r="N1109" s="24" t="s">
        <v>468</v>
      </c>
      <c r="O1109" s="18"/>
      <c r="P1109" s="24"/>
      <c r="Q1109" s="25">
        <v>46094</v>
      </c>
      <c r="R1109" s="13">
        <v>0</v>
      </c>
      <c r="S1109" s="26" t="str">
        <f>VLOOKUP(C1109,'[3]May-26'!$B$5:$H$89,7,0)</f>
        <v>01260010161133340013</v>
      </c>
      <c r="T1109" s="25" t="s">
        <v>32</v>
      </c>
      <c r="U1109" s="25" t="s">
        <v>309</v>
      </c>
      <c r="V1109" s="25" t="s">
        <v>4056</v>
      </c>
      <c r="W1109" s="27" t="s">
        <v>4057</v>
      </c>
      <c r="X1109" s="28" t="s">
        <v>4058</v>
      </c>
      <c r="Y1109" s="28"/>
      <c r="Z1109" s="29" t="s">
        <v>3390</v>
      </c>
    </row>
    <row r="1110" spans="1:26" ht="30" customHeight="1" thickBot="1" x14ac:dyDescent="0.25">
      <c r="A1110" s="17">
        <f t="shared" si="35"/>
        <v>1109</v>
      </c>
      <c r="B1110" s="18" t="s">
        <v>25</v>
      </c>
      <c r="C1110" s="19">
        <v>3520127888451</v>
      </c>
      <c r="D1110" s="19"/>
      <c r="E1110" s="20">
        <v>42872</v>
      </c>
      <c r="F1110" s="20">
        <v>46524</v>
      </c>
      <c r="G1110" s="21">
        <v>32041</v>
      </c>
      <c r="H1110" s="22">
        <f t="shared" ca="1" si="34"/>
        <v>38</v>
      </c>
      <c r="I1110" s="19" t="s">
        <v>26</v>
      </c>
      <c r="J1110" s="18" t="s">
        <v>27</v>
      </c>
      <c r="K1110" s="18"/>
      <c r="L1110" s="23" t="s">
        <v>3718</v>
      </c>
      <c r="M1110" s="23" t="s">
        <v>761</v>
      </c>
      <c r="N1110" s="23" t="s">
        <v>1488</v>
      </c>
      <c r="O1110" s="18"/>
      <c r="P1110" s="24"/>
      <c r="Q1110" s="25">
        <v>46071</v>
      </c>
      <c r="R1110" s="13">
        <v>0</v>
      </c>
      <c r="S1110" s="26" t="str">
        <f>VLOOKUP(C1110,'[4]Daily Wages '!$B$6:$G$197,6,0)</f>
        <v>01260010160464350018</v>
      </c>
      <c r="T1110" s="25" t="s">
        <v>32</v>
      </c>
      <c r="U1110" s="25" t="s">
        <v>309</v>
      </c>
      <c r="V1110" s="25"/>
      <c r="W1110" s="27" t="s">
        <v>4059</v>
      </c>
      <c r="X1110" s="28" t="s">
        <v>4060</v>
      </c>
      <c r="Y1110" s="28"/>
      <c r="Z1110" s="29" t="s">
        <v>3390</v>
      </c>
    </row>
    <row r="1111" spans="1:26" ht="30" customHeight="1" thickBot="1" x14ac:dyDescent="0.25">
      <c r="A1111" s="17">
        <f t="shared" si="35"/>
        <v>1110</v>
      </c>
      <c r="B1111" s="18" t="s">
        <v>25</v>
      </c>
      <c r="C1111" s="19">
        <v>3520265515163</v>
      </c>
      <c r="D1111" s="19">
        <v>1922</v>
      </c>
      <c r="E1111" s="20">
        <v>42787</v>
      </c>
      <c r="F1111" s="20">
        <v>46439</v>
      </c>
      <c r="G1111" s="21">
        <v>31768</v>
      </c>
      <c r="H1111" s="22">
        <f t="shared" ca="1" si="34"/>
        <v>39</v>
      </c>
      <c r="I1111" s="19" t="s">
        <v>26</v>
      </c>
      <c r="J1111" s="18" t="s">
        <v>27</v>
      </c>
      <c r="K1111" s="18"/>
      <c r="L1111" s="23" t="s">
        <v>324</v>
      </c>
      <c r="M1111" s="23" t="s">
        <v>100</v>
      </c>
      <c r="N1111" s="23" t="s">
        <v>1295</v>
      </c>
      <c r="O1111" s="18"/>
      <c r="P1111" s="24" t="s">
        <v>620</v>
      </c>
      <c r="Q1111" s="25">
        <v>45992</v>
      </c>
      <c r="R1111" s="13">
        <v>0</v>
      </c>
      <c r="S1111" s="26" t="str">
        <f>VLOOKUP(C1111,'[1]Head Office '!$B$7:$I$98,8,0)</f>
        <v>02880010150911970012</v>
      </c>
      <c r="T1111" s="25" t="s">
        <v>32</v>
      </c>
      <c r="U1111" s="25" t="s">
        <v>33</v>
      </c>
      <c r="V1111" s="25" t="s">
        <v>3391</v>
      </c>
      <c r="W1111" s="27" t="s">
        <v>4061</v>
      </c>
      <c r="X1111" s="28" t="s">
        <v>4062</v>
      </c>
      <c r="Y1111" s="28" t="str">
        <f>VLOOKUP(C1111,[2]Final!$J$2:$T$175,11,0)</f>
        <v>abidaku4582703@gmail.com</v>
      </c>
      <c r="Z1111" s="29" t="s">
        <v>37</v>
      </c>
    </row>
    <row r="1112" spans="1:26" ht="30" customHeight="1" thickBot="1" x14ac:dyDescent="0.25">
      <c r="A1112" s="17">
        <f t="shared" si="35"/>
        <v>1111</v>
      </c>
      <c r="B1112" s="18" t="s">
        <v>25</v>
      </c>
      <c r="C1112" s="19">
        <v>3520268640274</v>
      </c>
      <c r="D1112" s="19"/>
      <c r="E1112" s="20">
        <v>45604</v>
      </c>
      <c r="F1112" s="20">
        <v>49256</v>
      </c>
      <c r="G1112" s="21">
        <v>35677</v>
      </c>
      <c r="H1112" s="22">
        <f t="shared" ca="1" si="34"/>
        <v>28</v>
      </c>
      <c r="I1112" s="19" t="s">
        <v>26</v>
      </c>
      <c r="J1112" s="18" t="s">
        <v>66</v>
      </c>
      <c r="K1112" s="18"/>
      <c r="L1112" s="23" t="s">
        <v>4063</v>
      </c>
      <c r="M1112" s="23" t="s">
        <v>4064</v>
      </c>
      <c r="N1112" s="23" t="s">
        <v>1295</v>
      </c>
      <c r="O1112" s="18"/>
      <c r="P1112" s="24" t="s">
        <v>620</v>
      </c>
      <c r="Q1112" s="25">
        <v>46038</v>
      </c>
      <c r="R1112" s="13">
        <v>0</v>
      </c>
      <c r="S1112" s="26" t="str">
        <f>VLOOKUP(C1112,'[1]Head Office '!$B$7:$I$98,8,0)</f>
        <v>02880010159010590018</v>
      </c>
      <c r="T1112" s="25" t="s">
        <v>32</v>
      </c>
      <c r="U1112" s="25" t="s">
        <v>33</v>
      </c>
      <c r="V1112" s="25"/>
      <c r="W1112" s="27" t="s">
        <v>4065</v>
      </c>
      <c r="X1112" s="28" t="s">
        <v>4066</v>
      </c>
      <c r="Y1112" s="28"/>
      <c r="Z1112" s="29" t="s">
        <v>37</v>
      </c>
    </row>
    <row r="1113" spans="1:26" ht="30" customHeight="1" thickBot="1" x14ac:dyDescent="0.25">
      <c r="A1113" s="17">
        <f t="shared" si="35"/>
        <v>1112</v>
      </c>
      <c r="B1113" s="18" t="s">
        <v>25</v>
      </c>
      <c r="C1113" s="19">
        <v>3520150089311</v>
      </c>
      <c r="D1113" s="19">
        <v>1921</v>
      </c>
      <c r="E1113" s="20">
        <v>44599</v>
      </c>
      <c r="F1113" s="20">
        <v>48251</v>
      </c>
      <c r="G1113" s="21">
        <v>37858</v>
      </c>
      <c r="H1113" s="22">
        <f t="shared" ca="1" si="34"/>
        <v>22</v>
      </c>
      <c r="I1113" s="19" t="s">
        <v>26</v>
      </c>
      <c r="J1113" s="18" t="s">
        <v>27</v>
      </c>
      <c r="K1113" s="18"/>
      <c r="L1113" s="23" t="s">
        <v>4067</v>
      </c>
      <c r="M1113" s="23" t="s">
        <v>4068</v>
      </c>
      <c r="N1113" s="23" t="s">
        <v>1295</v>
      </c>
      <c r="O1113" s="18"/>
      <c r="P1113" s="24" t="s">
        <v>620</v>
      </c>
      <c r="Q1113" s="25">
        <v>45992</v>
      </c>
      <c r="R1113" s="13">
        <v>0</v>
      </c>
      <c r="S1113" s="26" t="str">
        <f>VLOOKUP(C1113,'[1]Head Office '!$B$7:$I$98,8,0)</f>
        <v>02880010095154660020</v>
      </c>
      <c r="T1113" s="25" t="s">
        <v>32</v>
      </c>
      <c r="U1113" s="25" t="s">
        <v>33</v>
      </c>
      <c r="V1113" s="25" t="s">
        <v>3391</v>
      </c>
      <c r="W1113" s="27" t="s">
        <v>4069</v>
      </c>
      <c r="X1113" s="28" t="s">
        <v>4070</v>
      </c>
      <c r="Y1113" s="28" t="str">
        <f>VLOOKUP(C1113,[2]Final!$J$2:$T$175,11,0)</f>
        <v>maherumair710@gmail.com</v>
      </c>
      <c r="Z1113" s="29" t="s">
        <v>37</v>
      </c>
    </row>
    <row r="1114" spans="1:26" ht="30" customHeight="1" thickBot="1" x14ac:dyDescent="0.25">
      <c r="A1114" s="17">
        <f t="shared" si="35"/>
        <v>1113</v>
      </c>
      <c r="B1114" s="18" t="s">
        <v>25</v>
      </c>
      <c r="C1114" s="19">
        <v>3130229766217</v>
      </c>
      <c r="D1114" s="19">
        <v>1963</v>
      </c>
      <c r="E1114" s="20">
        <v>46156</v>
      </c>
      <c r="F1114" s="20">
        <v>49809</v>
      </c>
      <c r="G1114" s="21">
        <v>35796</v>
      </c>
      <c r="H1114" s="22">
        <f t="shared" ca="1" si="34"/>
        <v>28</v>
      </c>
      <c r="I1114" s="19" t="s">
        <v>26</v>
      </c>
      <c r="J1114" s="18" t="s">
        <v>27</v>
      </c>
      <c r="K1114" s="18"/>
      <c r="L1114" s="23" t="s">
        <v>4071</v>
      </c>
      <c r="M1114" s="23" t="s">
        <v>204</v>
      </c>
      <c r="N1114" s="23" t="s">
        <v>1295</v>
      </c>
      <c r="O1114" s="18"/>
      <c r="P1114" s="24" t="s">
        <v>183</v>
      </c>
      <c r="Q1114" s="25">
        <v>45992</v>
      </c>
      <c r="R1114" s="13">
        <v>0</v>
      </c>
      <c r="S1114" s="26" t="str">
        <f>VLOOKUP(C1114,'[1]Head Office '!$B$7:$I$98,8,0)</f>
        <v>02880010154953460016</v>
      </c>
      <c r="T1114" s="25" t="s">
        <v>32</v>
      </c>
      <c r="U1114" s="25" t="s">
        <v>33</v>
      </c>
      <c r="V1114" s="25" t="s">
        <v>293</v>
      </c>
      <c r="W1114" s="27" t="s">
        <v>4072</v>
      </c>
      <c r="X1114" s="28" t="s">
        <v>4073</v>
      </c>
      <c r="Y1114" s="28" t="str">
        <f>VLOOKUP(C1114,[2]Final!$J$2:$T$175,11,0)</f>
        <v>makkikhan.hse@gmail.com</v>
      </c>
      <c r="Z1114" s="29" t="s">
        <v>37</v>
      </c>
    </row>
    <row r="1115" spans="1:26" ht="30" customHeight="1" thickBot="1" x14ac:dyDescent="0.25">
      <c r="A1115" s="17">
        <f t="shared" si="35"/>
        <v>1114</v>
      </c>
      <c r="B1115" s="18" t="s">
        <v>25</v>
      </c>
      <c r="C1115" s="19">
        <v>3520268011581</v>
      </c>
      <c r="D1115" s="19"/>
      <c r="E1115" s="20">
        <v>44399</v>
      </c>
      <c r="F1115" s="20">
        <v>48051</v>
      </c>
      <c r="G1115" s="21">
        <v>38169</v>
      </c>
      <c r="H1115" s="22">
        <f t="shared" ca="1" si="34"/>
        <v>21</v>
      </c>
      <c r="I1115" s="19" t="s">
        <v>26</v>
      </c>
      <c r="J1115" s="18" t="s">
        <v>27</v>
      </c>
      <c r="K1115" s="18"/>
      <c r="L1115" s="23" t="s">
        <v>4074</v>
      </c>
      <c r="M1115" s="23" t="s">
        <v>1338</v>
      </c>
      <c r="N1115" s="23" t="s">
        <v>1295</v>
      </c>
      <c r="O1115" s="18"/>
      <c r="P1115" s="24" t="s">
        <v>83</v>
      </c>
      <c r="Q1115" s="25">
        <v>46042</v>
      </c>
      <c r="R1115" s="13">
        <v>0</v>
      </c>
      <c r="S1115" s="26" t="str">
        <f>VLOOKUP(C1115,'[1]Head Office '!$B$7:$I$98,8,0)</f>
        <v>06850010107880260015</v>
      </c>
      <c r="T1115" s="25" t="s">
        <v>32</v>
      </c>
      <c r="U1115" s="25" t="s">
        <v>33</v>
      </c>
      <c r="V1115" s="25" t="s">
        <v>3391</v>
      </c>
      <c r="W1115" s="27" t="s">
        <v>1339</v>
      </c>
      <c r="X1115" s="28" t="s">
        <v>4075</v>
      </c>
      <c r="Y1115" s="28" t="str">
        <f>VLOOKUP(C1115,[2]Final!$J$2:$T$175,11,0)</f>
        <v>ur322480@gmail.com</v>
      </c>
      <c r="Z1115" s="29" t="s">
        <v>37</v>
      </c>
    </row>
    <row r="1116" spans="1:26" ht="30" customHeight="1" thickBot="1" x14ac:dyDescent="0.25">
      <c r="A1116" s="17">
        <f t="shared" si="35"/>
        <v>1115</v>
      </c>
      <c r="B1116" s="18" t="s">
        <v>25</v>
      </c>
      <c r="C1116" s="19">
        <v>3440263325002</v>
      </c>
      <c r="D1116" s="19"/>
      <c r="E1116" s="20">
        <v>44158</v>
      </c>
      <c r="F1116" s="20">
        <v>47810</v>
      </c>
      <c r="G1116" s="21">
        <v>34950</v>
      </c>
      <c r="H1116" s="22">
        <f t="shared" ca="1" si="34"/>
        <v>30</v>
      </c>
      <c r="I1116" s="19" t="s">
        <v>26</v>
      </c>
      <c r="J1116" s="18" t="s">
        <v>66</v>
      </c>
      <c r="K1116" s="18"/>
      <c r="L1116" s="23" t="s">
        <v>4076</v>
      </c>
      <c r="M1116" s="23" t="s">
        <v>4077</v>
      </c>
      <c r="N1116" s="23" t="s">
        <v>660</v>
      </c>
      <c r="O1116" s="18"/>
      <c r="P1116" s="24" t="s">
        <v>620</v>
      </c>
      <c r="Q1116" s="25">
        <v>46013</v>
      </c>
      <c r="R1116" s="13">
        <v>0</v>
      </c>
      <c r="S1116" s="26" t="str">
        <f>VLOOKUP(C1116,'[1]Head Office '!$B$7:$I$98,8,0)</f>
        <v>51450020157184820010</v>
      </c>
      <c r="T1116" s="25" t="s">
        <v>32</v>
      </c>
      <c r="U1116" s="25" t="s">
        <v>33</v>
      </c>
      <c r="V1116" s="25"/>
      <c r="W1116" s="27" t="s">
        <v>4078</v>
      </c>
      <c r="X1116" s="28" t="s">
        <v>4079</v>
      </c>
      <c r="Y1116" s="28" t="str">
        <f>VLOOKUP(C1116,[2]Final!$J$2:$T$175,11,0)</f>
        <v>syedafozia.dilawar17@gmail.com</v>
      </c>
      <c r="Z1116" s="29" t="s">
        <v>37</v>
      </c>
    </row>
    <row r="1117" spans="1:26" ht="30" customHeight="1" thickBot="1" x14ac:dyDescent="0.25">
      <c r="A1117" s="17">
        <f t="shared" si="35"/>
        <v>1116</v>
      </c>
      <c r="B1117" s="18" t="s">
        <v>25</v>
      </c>
      <c r="C1117" s="19">
        <v>3520242594775</v>
      </c>
      <c r="D1117" s="19"/>
      <c r="E1117" s="20">
        <v>45694</v>
      </c>
      <c r="F1117" s="20">
        <v>49346</v>
      </c>
      <c r="G1117" s="21">
        <v>34532</v>
      </c>
      <c r="H1117" s="22">
        <f t="shared" ca="1" si="34"/>
        <v>31</v>
      </c>
      <c r="I1117" s="19" t="s">
        <v>26</v>
      </c>
      <c r="J1117" s="18" t="s">
        <v>27</v>
      </c>
      <c r="K1117" s="18"/>
      <c r="L1117" s="23" t="s">
        <v>4080</v>
      </c>
      <c r="M1117" s="23" t="s">
        <v>1355</v>
      </c>
      <c r="N1117" s="23" t="s">
        <v>660</v>
      </c>
      <c r="O1117" s="18"/>
      <c r="P1117" s="24" t="s">
        <v>212</v>
      </c>
      <c r="Q1117" s="25">
        <v>45992</v>
      </c>
      <c r="R1117" s="13">
        <v>0</v>
      </c>
      <c r="S1117" s="26" t="str">
        <f>VLOOKUP(C1117,'[1]Head Office '!$B$7:$I$98,8,0)</f>
        <v>07170010039369670016</v>
      </c>
      <c r="T1117" s="25" t="s">
        <v>32</v>
      </c>
      <c r="U1117" s="25" t="s">
        <v>33</v>
      </c>
      <c r="V1117" s="25" t="s">
        <v>4081</v>
      </c>
      <c r="W1117" s="27" t="s">
        <v>4082</v>
      </c>
      <c r="X1117" s="28" t="s">
        <v>4083</v>
      </c>
      <c r="Y1117" s="28" t="str">
        <f>VLOOKUP(C1117,[2]Final!$J$2:$T$175,11,0)</f>
        <v>khalidsattar109@gmail.com</v>
      </c>
      <c r="Z1117" s="29" t="s">
        <v>37</v>
      </c>
    </row>
    <row r="1118" spans="1:26" ht="30" customHeight="1" thickBot="1" x14ac:dyDescent="0.25">
      <c r="A1118" s="17">
        <f t="shared" si="35"/>
        <v>1117</v>
      </c>
      <c r="B1118" s="18" t="s">
        <v>25</v>
      </c>
      <c r="C1118" s="19">
        <v>3460330580499</v>
      </c>
      <c r="D1118" s="19"/>
      <c r="E1118" s="20">
        <v>43460</v>
      </c>
      <c r="F1118" s="20">
        <v>47113</v>
      </c>
      <c r="G1118" s="21">
        <v>32430</v>
      </c>
      <c r="H1118" s="22">
        <f t="shared" ca="1" si="34"/>
        <v>37</v>
      </c>
      <c r="I1118" s="19" t="s">
        <v>26</v>
      </c>
      <c r="J1118" s="18" t="s">
        <v>27</v>
      </c>
      <c r="K1118" s="18"/>
      <c r="L1118" s="23" t="s">
        <v>4084</v>
      </c>
      <c r="M1118" s="23" t="s">
        <v>4085</v>
      </c>
      <c r="N1118" s="23" t="s">
        <v>660</v>
      </c>
      <c r="O1118" s="18"/>
      <c r="P1118" s="24" t="s">
        <v>83</v>
      </c>
      <c r="Q1118" s="25">
        <v>46023</v>
      </c>
      <c r="R1118" s="13">
        <v>0</v>
      </c>
      <c r="S1118" s="26" t="str">
        <f>VLOOKUP(C1118,'[1]Head Office '!$B$7:$I$98,8,0)</f>
        <v>02880010155812230010</v>
      </c>
      <c r="T1118" s="25" t="s">
        <v>32</v>
      </c>
      <c r="U1118" s="25" t="s">
        <v>33</v>
      </c>
      <c r="V1118" s="25" t="s">
        <v>4086</v>
      </c>
      <c r="W1118" s="27" t="s">
        <v>4087</v>
      </c>
      <c r="X1118" s="28" t="s">
        <v>4088</v>
      </c>
      <c r="Y1118" s="28" t="str">
        <f>VLOOKUP(C1118,[2]Final!$J$2:$T$175,11,0)</f>
        <v>rehan345@gmail.com</v>
      </c>
      <c r="Z1118" s="29" t="s">
        <v>37</v>
      </c>
    </row>
    <row r="1119" spans="1:26" ht="30" customHeight="1" thickBot="1" x14ac:dyDescent="0.25">
      <c r="A1119" s="17">
        <f t="shared" si="35"/>
        <v>1118</v>
      </c>
      <c r="B1119" s="18" t="s">
        <v>25</v>
      </c>
      <c r="C1119" s="19">
        <v>3320339365107</v>
      </c>
      <c r="D1119" s="19"/>
      <c r="E1119" s="20">
        <v>45026</v>
      </c>
      <c r="F1119" s="20">
        <v>48679</v>
      </c>
      <c r="G1119" s="21">
        <v>34788</v>
      </c>
      <c r="H1119" s="22">
        <f t="shared" ca="1" si="34"/>
        <v>31</v>
      </c>
      <c r="I1119" s="19" t="s">
        <v>26</v>
      </c>
      <c r="J1119" s="18" t="s">
        <v>27</v>
      </c>
      <c r="K1119" s="18"/>
      <c r="L1119" s="23" t="s">
        <v>4089</v>
      </c>
      <c r="M1119" s="23" t="s">
        <v>4090</v>
      </c>
      <c r="N1119" s="23" t="s">
        <v>660</v>
      </c>
      <c r="O1119" s="18"/>
      <c r="P1119" s="24" t="s">
        <v>55</v>
      </c>
      <c r="Q1119" s="25">
        <v>46023</v>
      </c>
      <c r="R1119" s="13">
        <v>0</v>
      </c>
      <c r="S1119" s="26" t="str">
        <f>VLOOKUP(C1119,'[1]Head Office '!$B$7:$I$98,8,0)</f>
        <v>02880010159674260010</v>
      </c>
      <c r="T1119" s="25" t="s">
        <v>32</v>
      </c>
      <c r="U1119" s="25" t="s">
        <v>33</v>
      </c>
      <c r="V1119" s="25" t="s">
        <v>4091</v>
      </c>
      <c r="W1119" s="27" t="s">
        <v>4092</v>
      </c>
      <c r="X1119" s="28" t="s">
        <v>4093</v>
      </c>
      <c r="Y1119" s="28" t="str">
        <f>VLOOKUP(C1119,[2]Final!$J$2:$T$175,11,0)</f>
        <v>shahbaz12ce@gmail.com</v>
      </c>
      <c r="Z1119" s="29" t="s">
        <v>37</v>
      </c>
    </row>
    <row r="1120" spans="1:26" ht="30" customHeight="1" thickBot="1" x14ac:dyDescent="0.25">
      <c r="A1120" s="17">
        <f t="shared" si="35"/>
        <v>1119</v>
      </c>
      <c r="B1120" s="18" t="s">
        <v>25</v>
      </c>
      <c r="C1120" s="19">
        <v>3520296243381</v>
      </c>
      <c r="D1120" s="19">
        <v>1964</v>
      </c>
      <c r="E1120" s="20">
        <v>43368</v>
      </c>
      <c r="F1120" s="20">
        <v>47021</v>
      </c>
      <c r="G1120" s="21">
        <v>35960</v>
      </c>
      <c r="H1120" s="22">
        <f t="shared" ca="1" si="34"/>
        <v>28</v>
      </c>
      <c r="I1120" s="19" t="s">
        <v>26</v>
      </c>
      <c r="J1120" s="18" t="s">
        <v>27</v>
      </c>
      <c r="K1120" s="18"/>
      <c r="L1120" s="23" t="s">
        <v>4094</v>
      </c>
      <c r="M1120" s="23" t="s">
        <v>4095</v>
      </c>
      <c r="N1120" s="23" t="s">
        <v>457</v>
      </c>
      <c r="O1120" s="18"/>
      <c r="P1120" s="24" t="s">
        <v>41</v>
      </c>
      <c r="Q1120" s="25">
        <v>46023</v>
      </c>
      <c r="R1120" s="13">
        <v>0</v>
      </c>
      <c r="S1120" s="26" t="str">
        <f>VLOOKUP(C1120,'[1]Head Office '!$B$7:$I$98,8,0)</f>
        <v>02880010155114090018</v>
      </c>
      <c r="T1120" s="25" t="s">
        <v>32</v>
      </c>
      <c r="U1120" s="25" t="s">
        <v>33</v>
      </c>
      <c r="V1120" s="25" t="s">
        <v>4096</v>
      </c>
      <c r="W1120" s="27" t="s">
        <v>4097</v>
      </c>
      <c r="X1120" s="28" t="s">
        <v>4098</v>
      </c>
      <c r="Y1120" s="28"/>
      <c r="Z1120" s="29" t="s">
        <v>37</v>
      </c>
    </row>
    <row r="1121" spans="1:26" ht="30" customHeight="1" thickBot="1" x14ac:dyDescent="0.25">
      <c r="A1121" s="17">
        <f t="shared" si="35"/>
        <v>1120</v>
      </c>
      <c r="B1121" s="18" t="s">
        <v>25</v>
      </c>
      <c r="C1121" s="19">
        <v>3520250190125</v>
      </c>
      <c r="D1121" s="19"/>
      <c r="E1121" s="20">
        <v>43178</v>
      </c>
      <c r="F1121" s="20">
        <v>46831</v>
      </c>
      <c r="G1121" s="21">
        <v>36028</v>
      </c>
      <c r="H1121" s="22">
        <f t="shared" ca="1" si="34"/>
        <v>27</v>
      </c>
      <c r="I1121" s="19" t="s">
        <v>26</v>
      </c>
      <c r="J1121" s="18" t="s">
        <v>27</v>
      </c>
      <c r="K1121" s="18"/>
      <c r="L1121" s="23" t="s">
        <v>4099</v>
      </c>
      <c r="M1121" s="23" t="s">
        <v>2247</v>
      </c>
      <c r="N1121" s="23" t="s">
        <v>457</v>
      </c>
      <c r="O1121" s="18"/>
      <c r="P1121" s="24" t="s">
        <v>55</v>
      </c>
      <c r="Q1121" s="25">
        <v>46023</v>
      </c>
      <c r="R1121" s="13">
        <v>0</v>
      </c>
      <c r="S1121" s="26" t="str">
        <f>VLOOKUP(C1121,'[1]Head Office '!$B$7:$I$98,8,0)</f>
        <v>02880010159311930019</v>
      </c>
      <c r="T1121" s="25" t="s">
        <v>32</v>
      </c>
      <c r="U1121" s="25" t="s">
        <v>33</v>
      </c>
      <c r="V1121" s="25" t="s">
        <v>4100</v>
      </c>
      <c r="W1121" s="27" t="s">
        <v>4101</v>
      </c>
      <c r="X1121" s="28" t="s">
        <v>4102</v>
      </c>
      <c r="Y1121" s="28" t="str">
        <f>VLOOKUP(C1121,[2]Final!$J$2:$T$175,11,0)</f>
        <v>ahmad123hussain321@gmail.com</v>
      </c>
      <c r="Z1121" s="29" t="s">
        <v>37</v>
      </c>
    </row>
    <row r="1122" spans="1:26" ht="30" customHeight="1" thickBot="1" x14ac:dyDescent="0.25">
      <c r="A1122" s="17">
        <f t="shared" si="35"/>
        <v>1121</v>
      </c>
      <c r="B1122" s="18" t="s">
        <v>25</v>
      </c>
      <c r="C1122" s="19">
        <v>3230313168202</v>
      </c>
      <c r="D1122" s="19">
        <v>1915</v>
      </c>
      <c r="E1122" s="20">
        <v>44440</v>
      </c>
      <c r="F1122" s="20">
        <v>48092</v>
      </c>
      <c r="G1122" s="21">
        <v>32643</v>
      </c>
      <c r="H1122" s="22">
        <f t="shared" ca="1" si="34"/>
        <v>37</v>
      </c>
      <c r="I1122" s="19" t="s">
        <v>26</v>
      </c>
      <c r="J1122" s="18" t="s">
        <v>66</v>
      </c>
      <c r="K1122" s="18"/>
      <c r="L1122" s="23" t="s">
        <v>4103</v>
      </c>
      <c r="M1122" s="23" t="s">
        <v>4104</v>
      </c>
      <c r="N1122" s="23" t="s">
        <v>457</v>
      </c>
      <c r="O1122" s="18"/>
      <c r="P1122" s="24" t="s">
        <v>620</v>
      </c>
      <c r="Q1122" s="25">
        <v>46023</v>
      </c>
      <c r="R1122" s="13">
        <v>0</v>
      </c>
      <c r="S1122" s="26" t="str">
        <f>VLOOKUP(C1122,'[1]Head Office '!$B$7:$I$98,8,0)</f>
        <v>02880010042683940022</v>
      </c>
      <c r="T1122" s="25" t="s">
        <v>32</v>
      </c>
      <c r="U1122" s="25" t="s">
        <v>33</v>
      </c>
      <c r="V1122" s="25" t="s">
        <v>4105</v>
      </c>
      <c r="W1122" s="27" t="s">
        <v>4106</v>
      </c>
      <c r="X1122" s="28" t="s">
        <v>4107</v>
      </c>
      <c r="Y1122" s="28" t="str">
        <f>VLOOKUP(C1122,[2]Final!$J$2:$T$175,11,0)</f>
        <v>ahsanfakhra9@gmail.com</v>
      </c>
      <c r="Z1122" s="29" t="s">
        <v>37</v>
      </c>
    </row>
    <row r="1123" spans="1:26" ht="30" customHeight="1" thickBot="1" x14ac:dyDescent="0.25">
      <c r="A1123" s="17">
        <f t="shared" si="35"/>
        <v>1122</v>
      </c>
      <c r="B1123" s="18" t="s">
        <v>25</v>
      </c>
      <c r="C1123" s="19">
        <v>3520247499748</v>
      </c>
      <c r="D1123" s="19">
        <v>1929</v>
      </c>
      <c r="E1123" s="20">
        <v>44682</v>
      </c>
      <c r="F1123" s="20">
        <v>48335</v>
      </c>
      <c r="G1123" s="21">
        <v>36994</v>
      </c>
      <c r="H1123" s="22">
        <f t="shared" ca="1" si="34"/>
        <v>25</v>
      </c>
      <c r="I1123" s="19" t="s">
        <v>26</v>
      </c>
      <c r="J1123" s="18" t="s">
        <v>66</v>
      </c>
      <c r="K1123" s="18"/>
      <c r="L1123" s="23" t="s">
        <v>4108</v>
      </c>
      <c r="M1123" s="23" t="s">
        <v>4109</v>
      </c>
      <c r="N1123" s="23" t="s">
        <v>457</v>
      </c>
      <c r="O1123" s="18"/>
      <c r="P1123" s="24" t="s">
        <v>620</v>
      </c>
      <c r="Q1123" s="25">
        <v>46023</v>
      </c>
      <c r="R1123" s="13">
        <v>0</v>
      </c>
      <c r="S1123" s="26" t="str">
        <f>VLOOKUP(C1123,'[1]Head Office '!$B$7:$I$98,8,0)</f>
        <v>02880010151223970013</v>
      </c>
      <c r="T1123" s="25" t="s">
        <v>32</v>
      </c>
      <c r="U1123" s="25" t="s">
        <v>33</v>
      </c>
      <c r="V1123" s="25" t="s">
        <v>4110</v>
      </c>
      <c r="W1123" s="27" t="s">
        <v>4111</v>
      </c>
      <c r="X1123" s="28" t="s">
        <v>4112</v>
      </c>
      <c r="Y1123" s="28" t="str">
        <f>VLOOKUP(C1123,[2]Final!$J$2:$T$175,11,0)</f>
        <v>hifzaamir330@gmail.com</v>
      </c>
      <c r="Z1123" s="29" t="s">
        <v>37</v>
      </c>
    </row>
    <row r="1124" spans="1:26" ht="30" customHeight="1" thickBot="1" x14ac:dyDescent="0.25">
      <c r="A1124" s="17">
        <f t="shared" si="35"/>
        <v>1123</v>
      </c>
      <c r="B1124" s="18" t="s">
        <v>25</v>
      </c>
      <c r="C1124" s="19">
        <v>3330333203693</v>
      </c>
      <c r="D1124" s="19"/>
      <c r="E1124" s="20">
        <v>45131</v>
      </c>
      <c r="F1124" s="20">
        <v>48784</v>
      </c>
      <c r="G1124" s="21">
        <v>34578</v>
      </c>
      <c r="H1124" s="22">
        <f t="shared" ca="1" si="34"/>
        <v>31</v>
      </c>
      <c r="I1124" s="19" t="s">
        <v>26</v>
      </c>
      <c r="J1124" s="18" t="s">
        <v>27</v>
      </c>
      <c r="K1124" s="18"/>
      <c r="L1124" s="23" t="s">
        <v>3819</v>
      </c>
      <c r="M1124" s="23" t="s">
        <v>1783</v>
      </c>
      <c r="N1124" s="23" t="s">
        <v>457</v>
      </c>
      <c r="O1124" s="18"/>
      <c r="P1124" s="24" t="s">
        <v>62</v>
      </c>
      <c r="Q1124" s="25">
        <v>46023</v>
      </c>
      <c r="R1124" s="13">
        <v>0</v>
      </c>
      <c r="S1124" s="26" t="str">
        <f>VLOOKUP(C1124,'[1]Head Office '!$B$7:$I$98,8,0)</f>
        <v>04810010105604950010</v>
      </c>
      <c r="T1124" s="25" t="s">
        <v>32</v>
      </c>
      <c r="U1124" s="25" t="s">
        <v>33</v>
      </c>
      <c r="V1124" s="25" t="s">
        <v>4113</v>
      </c>
      <c r="W1124" s="27" t="s">
        <v>4114</v>
      </c>
      <c r="X1124" s="28" t="s">
        <v>4115</v>
      </c>
      <c r="Y1124" s="28" t="str">
        <f>VLOOKUP(C1124,[2]Final!$J$2:$T$175,11,0)</f>
        <v>sunyali846@gmail.com</v>
      </c>
      <c r="Z1124" s="29" t="s">
        <v>37</v>
      </c>
    </row>
    <row r="1125" spans="1:26" ht="30" customHeight="1" thickBot="1" x14ac:dyDescent="0.25">
      <c r="A1125" s="17">
        <f t="shared" si="35"/>
        <v>1124</v>
      </c>
      <c r="B1125" s="18" t="s">
        <v>25</v>
      </c>
      <c r="C1125" s="19">
        <v>3520205428939</v>
      </c>
      <c r="D1125" s="19">
        <v>1952</v>
      </c>
      <c r="E1125" s="20">
        <v>44969</v>
      </c>
      <c r="F1125" s="20">
        <v>48622</v>
      </c>
      <c r="G1125" s="21">
        <v>35688</v>
      </c>
      <c r="H1125" s="22">
        <f t="shared" ca="1" si="34"/>
        <v>28</v>
      </c>
      <c r="I1125" s="19" t="s">
        <v>26</v>
      </c>
      <c r="J1125" s="18" t="s">
        <v>27</v>
      </c>
      <c r="K1125" s="18"/>
      <c r="L1125" s="23" t="s">
        <v>4116</v>
      </c>
      <c r="M1125" s="23" t="s">
        <v>1669</v>
      </c>
      <c r="N1125" s="23" t="s">
        <v>457</v>
      </c>
      <c r="O1125" s="18"/>
      <c r="P1125" s="24" t="s">
        <v>70</v>
      </c>
      <c r="Q1125" s="25">
        <v>46023</v>
      </c>
      <c r="R1125" s="13">
        <v>0</v>
      </c>
      <c r="S1125" s="26" t="str">
        <f>VLOOKUP(C1125,'[1]Head Office '!$B$7:$I$98,8,0)</f>
        <v>02880010102084120022</v>
      </c>
      <c r="T1125" s="25" t="s">
        <v>32</v>
      </c>
      <c r="U1125" s="25" t="s">
        <v>33</v>
      </c>
      <c r="V1125" s="25" t="s">
        <v>4117</v>
      </c>
      <c r="W1125" s="27" t="s">
        <v>4118</v>
      </c>
      <c r="X1125" s="28" t="s">
        <v>4119</v>
      </c>
      <c r="Y1125" s="28" t="str">
        <f>VLOOKUP(C1125,[2]Final!$J$2:$T$175,11,0)</f>
        <v>adilrauf02@gmail.com</v>
      </c>
      <c r="Z1125" s="29" t="s">
        <v>37</v>
      </c>
    </row>
    <row r="1126" spans="1:26" ht="30" customHeight="1" thickBot="1" x14ac:dyDescent="0.25">
      <c r="A1126" s="17">
        <f t="shared" si="35"/>
        <v>1125</v>
      </c>
      <c r="B1126" s="18" t="s">
        <v>25</v>
      </c>
      <c r="C1126" s="19">
        <v>3630278225831</v>
      </c>
      <c r="D1126" s="19"/>
      <c r="E1126" s="20">
        <v>44375</v>
      </c>
      <c r="F1126" s="20">
        <v>48027</v>
      </c>
      <c r="G1126" s="21">
        <v>37338</v>
      </c>
      <c r="H1126" s="22">
        <f t="shared" ca="1" si="34"/>
        <v>24</v>
      </c>
      <c r="I1126" s="19" t="s">
        <v>26</v>
      </c>
      <c r="J1126" s="18" t="s">
        <v>27</v>
      </c>
      <c r="K1126" s="18"/>
      <c r="L1126" s="23" t="s">
        <v>4120</v>
      </c>
      <c r="M1126" s="23" t="s">
        <v>4121</v>
      </c>
      <c r="N1126" s="23" t="s">
        <v>457</v>
      </c>
      <c r="O1126" s="18"/>
      <c r="P1126" s="24" t="s">
        <v>62</v>
      </c>
      <c r="Q1126" s="25">
        <v>46023</v>
      </c>
      <c r="R1126" s="13">
        <v>0</v>
      </c>
      <c r="S1126" s="26" t="str">
        <f>VLOOKUP(C1126,'[1]Head Office '!$B$7:$I$98,8,0)</f>
        <v>51010020095373750010</v>
      </c>
      <c r="T1126" s="25" t="s">
        <v>32</v>
      </c>
      <c r="U1126" s="25" t="s">
        <v>33</v>
      </c>
      <c r="V1126" s="25" t="s">
        <v>4091</v>
      </c>
      <c r="W1126" s="27" t="s">
        <v>4122</v>
      </c>
      <c r="X1126" s="28" t="s">
        <v>4123</v>
      </c>
      <c r="Y1126" s="28" t="str">
        <f>VLOOKUP(C1126,[2]Final!$J$2:$T$175,11,0)</f>
        <v>huzaifaqasimm@gmail.com</v>
      </c>
      <c r="Z1126" s="29" t="s">
        <v>37</v>
      </c>
    </row>
    <row r="1127" spans="1:26" ht="30" customHeight="1" thickBot="1" x14ac:dyDescent="0.25">
      <c r="A1127" s="17">
        <f t="shared" si="35"/>
        <v>1126</v>
      </c>
      <c r="B1127" s="18" t="s">
        <v>25</v>
      </c>
      <c r="C1127" s="19">
        <v>3230171907704</v>
      </c>
      <c r="D1127" s="19"/>
      <c r="E1127" s="20">
        <v>42969</v>
      </c>
      <c r="F1127" s="20">
        <v>46621</v>
      </c>
      <c r="G1127" s="21">
        <v>36083</v>
      </c>
      <c r="H1127" s="22">
        <f t="shared" ca="1" si="34"/>
        <v>27</v>
      </c>
      <c r="I1127" s="19" t="s">
        <v>26</v>
      </c>
      <c r="J1127" s="18" t="s">
        <v>66</v>
      </c>
      <c r="K1127" s="18"/>
      <c r="L1127" s="23" t="s">
        <v>4124</v>
      </c>
      <c r="M1127" s="23" t="s">
        <v>785</v>
      </c>
      <c r="N1127" s="23" t="s">
        <v>457</v>
      </c>
      <c r="O1127" s="18"/>
      <c r="P1127" s="24" t="s">
        <v>620</v>
      </c>
      <c r="Q1127" s="25">
        <v>46041</v>
      </c>
      <c r="R1127" s="13">
        <v>0</v>
      </c>
      <c r="S1127" s="26" t="str">
        <f>VLOOKUP(C1127,'[1]Head Office '!$B$7:$I$98,8,0)</f>
        <v>02880010159032160015</v>
      </c>
      <c r="T1127" s="25" t="s">
        <v>32</v>
      </c>
      <c r="U1127" s="25" t="s">
        <v>33</v>
      </c>
      <c r="V1127" s="25" t="s">
        <v>4125</v>
      </c>
      <c r="W1127" s="27" t="s">
        <v>788</v>
      </c>
      <c r="X1127" s="28"/>
      <c r="Y1127" s="28"/>
      <c r="Z1127" s="29" t="s">
        <v>37</v>
      </c>
    </row>
    <row r="1128" spans="1:26" ht="30" customHeight="1" thickBot="1" x14ac:dyDescent="0.25">
      <c r="A1128" s="17">
        <f t="shared" si="35"/>
        <v>1127</v>
      </c>
      <c r="B1128" s="18" t="s">
        <v>25</v>
      </c>
      <c r="C1128" s="19">
        <v>3110182492814</v>
      </c>
      <c r="D1128" s="19">
        <v>1980</v>
      </c>
      <c r="E1128" s="20">
        <v>46099</v>
      </c>
      <c r="F1128" s="20">
        <v>47906</v>
      </c>
      <c r="G1128" s="21">
        <v>37633</v>
      </c>
      <c r="H1128" s="22">
        <f t="shared" ca="1" si="34"/>
        <v>23</v>
      </c>
      <c r="I1128" s="19" t="s">
        <v>26</v>
      </c>
      <c r="J1128" s="18" t="s">
        <v>66</v>
      </c>
      <c r="K1128" s="18"/>
      <c r="L1128" s="23" t="s">
        <v>4126</v>
      </c>
      <c r="M1128" s="23" t="s">
        <v>4127</v>
      </c>
      <c r="N1128" s="23" t="s">
        <v>457</v>
      </c>
      <c r="O1128" s="18"/>
      <c r="P1128" s="24" t="s">
        <v>62</v>
      </c>
      <c r="Q1128" s="25">
        <v>46023</v>
      </c>
      <c r="R1128" s="13">
        <v>0</v>
      </c>
      <c r="S1128" s="26" t="str">
        <f>VLOOKUP(C1128,'[1]Head Office '!$B$7:$I$98,8,0)</f>
        <v>02880010065323850044</v>
      </c>
      <c r="T1128" s="25" t="s">
        <v>32</v>
      </c>
      <c r="U1128" s="25" t="s">
        <v>33</v>
      </c>
      <c r="V1128" s="25" t="s">
        <v>4128</v>
      </c>
      <c r="W1128" s="27" t="s">
        <v>4129</v>
      </c>
      <c r="X1128" s="28" t="s">
        <v>4130</v>
      </c>
      <c r="Y1128" s="28" t="str">
        <f>VLOOKUP(C1128,[2]Final!$J$2:$T$175,11,0)</f>
        <v>reevaanadeem@gmail.com</v>
      </c>
      <c r="Z1128" s="29" t="s">
        <v>37</v>
      </c>
    </row>
    <row r="1129" spans="1:26" ht="30" customHeight="1" thickBot="1" x14ac:dyDescent="0.25">
      <c r="A1129" s="17">
        <f t="shared" si="35"/>
        <v>1128</v>
      </c>
      <c r="B1129" s="18" t="s">
        <v>25</v>
      </c>
      <c r="C1129" s="19">
        <v>3840321089630</v>
      </c>
      <c r="D1129" s="19">
        <v>1945</v>
      </c>
      <c r="E1129" s="20">
        <v>46135</v>
      </c>
      <c r="F1129" s="20">
        <v>49788</v>
      </c>
      <c r="G1129" s="21">
        <v>27776</v>
      </c>
      <c r="H1129" s="22">
        <f t="shared" ca="1" si="34"/>
        <v>50</v>
      </c>
      <c r="I1129" s="19" t="s">
        <v>26</v>
      </c>
      <c r="J1129" s="18" t="s">
        <v>66</v>
      </c>
      <c r="K1129" s="18"/>
      <c r="L1129" s="23" t="s">
        <v>4131</v>
      </c>
      <c r="M1129" s="23" t="s">
        <v>4132</v>
      </c>
      <c r="N1129" s="23" t="s">
        <v>457</v>
      </c>
      <c r="O1129" s="18"/>
      <c r="P1129" s="24" t="s">
        <v>48</v>
      </c>
      <c r="Q1129" s="25">
        <v>46023</v>
      </c>
      <c r="R1129" s="13">
        <v>0</v>
      </c>
      <c r="S1129" s="26" t="str">
        <f>VLOOKUP(C1129,'[1]Head Office '!$B$7:$I$98,8,0)</f>
        <v>02880010039933940021</v>
      </c>
      <c r="T1129" s="25" t="s">
        <v>32</v>
      </c>
      <c r="U1129" s="25" t="s">
        <v>33</v>
      </c>
      <c r="V1129" s="25" t="s">
        <v>4133</v>
      </c>
      <c r="W1129" s="27" t="s">
        <v>4134</v>
      </c>
      <c r="X1129" s="28" t="s">
        <v>4135</v>
      </c>
      <c r="Y1129" s="28" t="str">
        <f>VLOOKUP(C1129,[2]Final!$J$2:$T$175,11,0)</f>
        <v>shaistakhalil59@gmail.com</v>
      </c>
      <c r="Z1129" s="29" t="s">
        <v>37</v>
      </c>
    </row>
    <row r="1130" spans="1:26" ht="30" customHeight="1" thickBot="1" x14ac:dyDescent="0.25">
      <c r="A1130" s="17">
        <f t="shared" si="35"/>
        <v>1129</v>
      </c>
      <c r="B1130" s="18" t="s">
        <v>25</v>
      </c>
      <c r="C1130" s="19">
        <v>3520130217373</v>
      </c>
      <c r="D1130" s="19"/>
      <c r="E1130" s="20">
        <v>43774</v>
      </c>
      <c r="F1130" s="20">
        <v>47427</v>
      </c>
      <c r="G1130" s="21">
        <v>26299</v>
      </c>
      <c r="H1130" s="22">
        <f t="shared" ca="1" si="34"/>
        <v>54</v>
      </c>
      <c r="I1130" s="19" t="s">
        <v>912</v>
      </c>
      <c r="J1130" s="18" t="s">
        <v>27</v>
      </c>
      <c r="K1130" s="18"/>
      <c r="L1130" s="23" t="s">
        <v>1735</v>
      </c>
      <c r="M1130" s="23" t="s">
        <v>1791</v>
      </c>
      <c r="N1130" s="23" t="s">
        <v>1488</v>
      </c>
      <c r="O1130" s="18"/>
      <c r="P1130" s="24" t="s">
        <v>102</v>
      </c>
      <c r="Q1130" s="25">
        <v>46024</v>
      </c>
      <c r="R1130" s="13">
        <v>0</v>
      </c>
      <c r="S1130" s="26" t="str">
        <f>VLOOKUP(C1130,'[1]Head Office '!$B$7:$I$98,8,0)</f>
        <v>02880010158918550014</v>
      </c>
      <c r="T1130" s="25" t="s">
        <v>32</v>
      </c>
      <c r="U1130" s="25" t="s">
        <v>33</v>
      </c>
      <c r="V1130" s="25"/>
      <c r="W1130" s="27" t="s">
        <v>4136</v>
      </c>
      <c r="X1130" s="28" t="s">
        <v>972</v>
      </c>
      <c r="Y1130" s="28"/>
      <c r="Z1130" s="29" t="s">
        <v>37</v>
      </c>
    </row>
    <row r="1131" spans="1:26" ht="30" customHeight="1" thickBot="1" x14ac:dyDescent="0.25">
      <c r="A1131" s="17">
        <f t="shared" si="35"/>
        <v>1130</v>
      </c>
      <c r="B1131" s="18" t="s">
        <v>25</v>
      </c>
      <c r="C1131" s="19">
        <v>3660314247857</v>
      </c>
      <c r="D1131" s="19">
        <v>1880</v>
      </c>
      <c r="E1131" s="20">
        <v>45391</v>
      </c>
      <c r="F1131" s="20">
        <v>49043</v>
      </c>
      <c r="G1131" s="21">
        <v>32454</v>
      </c>
      <c r="H1131" s="22">
        <f t="shared" ca="1" si="34"/>
        <v>37</v>
      </c>
      <c r="I1131" s="19" t="s">
        <v>26</v>
      </c>
      <c r="J1131" s="18" t="s">
        <v>27</v>
      </c>
      <c r="K1131" s="18"/>
      <c r="L1131" s="23" t="s">
        <v>2210</v>
      </c>
      <c r="M1131" s="23" t="s">
        <v>4137</v>
      </c>
      <c r="N1131" s="23" t="s">
        <v>1499</v>
      </c>
      <c r="O1131" s="18"/>
      <c r="P1131" s="24" t="s">
        <v>183</v>
      </c>
      <c r="Q1131" s="25">
        <v>45992</v>
      </c>
      <c r="R1131" s="13">
        <v>0</v>
      </c>
      <c r="S1131" s="26" t="str">
        <f>VLOOKUP(C1131,'[1]Head Office '!$B$7:$I$98,8,0)</f>
        <v>02880010117276840018</v>
      </c>
      <c r="T1131" s="25" t="s">
        <v>32</v>
      </c>
      <c r="U1131" s="25" t="s">
        <v>33</v>
      </c>
      <c r="V1131" s="25" t="s">
        <v>4138</v>
      </c>
      <c r="W1131" s="27" t="s">
        <v>575</v>
      </c>
      <c r="X1131" s="28" t="s">
        <v>4139</v>
      </c>
      <c r="Y1131" s="28"/>
      <c r="Z1131" s="29" t="s">
        <v>37</v>
      </c>
    </row>
    <row r="1132" spans="1:26" ht="30" customHeight="1" thickBot="1" x14ac:dyDescent="0.25">
      <c r="A1132" s="17">
        <f t="shared" si="35"/>
        <v>1131</v>
      </c>
      <c r="B1132" s="18" t="s">
        <v>25</v>
      </c>
      <c r="C1132" s="19">
        <v>3520213684959</v>
      </c>
      <c r="D1132" s="19">
        <v>1904</v>
      </c>
      <c r="E1132" s="20">
        <v>44395</v>
      </c>
      <c r="F1132" s="20">
        <v>48047</v>
      </c>
      <c r="G1132" s="21">
        <v>31773</v>
      </c>
      <c r="H1132" s="22">
        <f t="shared" ca="1" si="34"/>
        <v>39</v>
      </c>
      <c r="I1132" s="19" t="s">
        <v>26</v>
      </c>
      <c r="J1132" s="18" t="s">
        <v>27</v>
      </c>
      <c r="K1132" s="18"/>
      <c r="L1132" s="23" t="s">
        <v>4140</v>
      </c>
      <c r="M1132" s="23" t="s">
        <v>4141</v>
      </c>
      <c r="N1132" s="23" t="s">
        <v>1499</v>
      </c>
      <c r="O1132" s="18"/>
      <c r="P1132" s="24" t="s">
        <v>102</v>
      </c>
      <c r="Q1132" s="25">
        <v>45992</v>
      </c>
      <c r="R1132" s="13">
        <v>0</v>
      </c>
      <c r="S1132" s="26" t="str">
        <f>VLOOKUP(C1132,'[1]Head Office '!$B$7:$I$98,8,0)</f>
        <v>02880010147522250018</v>
      </c>
      <c r="T1132" s="25" t="s">
        <v>32</v>
      </c>
      <c r="U1132" s="25" t="s">
        <v>33</v>
      </c>
      <c r="V1132" s="25"/>
      <c r="W1132" s="27" t="s">
        <v>4142</v>
      </c>
      <c r="X1132" s="28" t="s">
        <v>4143</v>
      </c>
      <c r="Y1132" s="28" t="str">
        <f>VLOOKUP(C1132,[2]Final!$J$2:$T$175,11,0)</f>
        <v>faizijaan@gmail.com</v>
      </c>
      <c r="Z1132" s="29" t="s">
        <v>37</v>
      </c>
    </row>
    <row r="1133" spans="1:26" ht="30" customHeight="1" thickBot="1" x14ac:dyDescent="0.25">
      <c r="A1133" s="17">
        <f t="shared" si="35"/>
        <v>1132</v>
      </c>
      <c r="B1133" s="18" t="s">
        <v>25</v>
      </c>
      <c r="C1133" s="19">
        <v>3520116944717</v>
      </c>
      <c r="D1133" s="19">
        <v>1920</v>
      </c>
      <c r="E1133" s="20">
        <v>45519</v>
      </c>
      <c r="F1133" s="20">
        <v>49171</v>
      </c>
      <c r="G1133" s="21">
        <v>37987</v>
      </c>
      <c r="H1133" s="22">
        <f t="shared" ca="1" si="34"/>
        <v>22</v>
      </c>
      <c r="I1133" s="19" t="s">
        <v>26</v>
      </c>
      <c r="J1133" s="18" t="s">
        <v>27</v>
      </c>
      <c r="K1133" s="18"/>
      <c r="L1133" s="23" t="s">
        <v>4144</v>
      </c>
      <c r="M1133" s="23" t="s">
        <v>1032</v>
      </c>
      <c r="N1133" s="23" t="s">
        <v>1499</v>
      </c>
      <c r="O1133" s="18"/>
      <c r="P1133" s="24" t="s">
        <v>102</v>
      </c>
      <c r="Q1133" s="25">
        <v>45992</v>
      </c>
      <c r="R1133" s="13">
        <v>0</v>
      </c>
      <c r="S1133" s="26" t="str">
        <f>VLOOKUP(C1133,'[1]Head Office '!$B$7:$I$98,8,0)</f>
        <v>51010020150833840018</v>
      </c>
      <c r="T1133" s="25" t="s">
        <v>32</v>
      </c>
      <c r="U1133" s="25" t="s">
        <v>33</v>
      </c>
      <c r="V1133" s="25"/>
      <c r="W1133" s="27" t="s">
        <v>4145</v>
      </c>
      <c r="X1133" s="28" t="s">
        <v>4146</v>
      </c>
      <c r="Y1133" s="28"/>
      <c r="Z1133" s="29" t="s">
        <v>37</v>
      </c>
    </row>
    <row r="1134" spans="1:26" ht="30" customHeight="1" thickBot="1" x14ac:dyDescent="0.25">
      <c r="A1134" s="17">
        <f t="shared" si="35"/>
        <v>1133</v>
      </c>
      <c r="B1134" s="18" t="s">
        <v>25</v>
      </c>
      <c r="C1134" s="19">
        <v>3530165415365</v>
      </c>
      <c r="D1134" s="19">
        <v>1899</v>
      </c>
      <c r="E1134" s="20">
        <v>44601</v>
      </c>
      <c r="F1134" s="20">
        <v>48253</v>
      </c>
      <c r="G1134" s="21">
        <v>38004</v>
      </c>
      <c r="H1134" s="22">
        <f t="shared" ca="1" si="34"/>
        <v>22</v>
      </c>
      <c r="I1134" s="19" t="s">
        <v>26</v>
      </c>
      <c r="J1134" s="18" t="s">
        <v>27</v>
      </c>
      <c r="K1134" s="18"/>
      <c r="L1134" s="23" t="s">
        <v>1125</v>
      </c>
      <c r="M1134" s="23" t="s">
        <v>2738</v>
      </c>
      <c r="N1134" s="23" t="s">
        <v>4147</v>
      </c>
      <c r="O1134" s="18"/>
      <c r="P1134" s="24" t="s">
        <v>95</v>
      </c>
      <c r="Q1134" s="25">
        <v>45992</v>
      </c>
      <c r="R1134" s="13">
        <v>0</v>
      </c>
      <c r="S1134" s="26" t="str">
        <f>VLOOKUP(C1134,'[1]Head Office '!$B$7:$I$98,8,0)</f>
        <v>07030010134243720019</v>
      </c>
      <c r="T1134" s="25" t="s">
        <v>32</v>
      </c>
      <c r="U1134" s="25" t="s">
        <v>33</v>
      </c>
      <c r="V1134" s="25" t="s">
        <v>4148</v>
      </c>
      <c r="W1134" s="27" t="s">
        <v>4149</v>
      </c>
      <c r="X1134" s="28" t="s">
        <v>4150</v>
      </c>
      <c r="Y1134" s="28" t="str">
        <f>VLOOKUP(C1134,[2]Final!$J$2:$T$175,11,0)</f>
        <v>hafizliaqatali18@gmail.com</v>
      </c>
      <c r="Z1134" s="29" t="s">
        <v>37</v>
      </c>
    </row>
    <row r="1135" spans="1:26" ht="30" customHeight="1" thickBot="1" x14ac:dyDescent="0.25">
      <c r="A1135" s="17">
        <f t="shared" si="35"/>
        <v>1134</v>
      </c>
      <c r="B1135" s="18" t="s">
        <v>25</v>
      </c>
      <c r="C1135" s="19">
        <v>3220359319553</v>
      </c>
      <c r="D1135" s="19">
        <v>1916</v>
      </c>
      <c r="E1135" s="20">
        <v>44606</v>
      </c>
      <c r="F1135" s="20">
        <v>48258</v>
      </c>
      <c r="G1135" s="21">
        <v>37935</v>
      </c>
      <c r="H1135" s="22">
        <f t="shared" ca="1" si="34"/>
        <v>22</v>
      </c>
      <c r="I1135" s="19" t="s">
        <v>26</v>
      </c>
      <c r="J1135" s="18" t="s">
        <v>27</v>
      </c>
      <c r="K1135" s="18"/>
      <c r="L1135" s="23" t="s">
        <v>1057</v>
      </c>
      <c r="M1135" s="23" t="s">
        <v>1028</v>
      </c>
      <c r="N1135" s="23" t="s">
        <v>4147</v>
      </c>
      <c r="O1135" s="18"/>
      <c r="P1135" s="24" t="s">
        <v>95</v>
      </c>
      <c r="Q1135" s="25">
        <v>45992</v>
      </c>
      <c r="R1135" s="13">
        <v>0</v>
      </c>
      <c r="S1135" s="26" t="str">
        <f>VLOOKUP(C1135,'[1]Head Office '!$B$7:$I$98,8,0)</f>
        <v>08050010091337780018</v>
      </c>
      <c r="T1135" s="25" t="s">
        <v>32</v>
      </c>
      <c r="U1135" s="25" t="s">
        <v>33</v>
      </c>
      <c r="V1135" s="25" t="s">
        <v>340</v>
      </c>
      <c r="W1135" s="27" t="s">
        <v>4151</v>
      </c>
      <c r="X1135" s="28" t="s">
        <v>4152</v>
      </c>
      <c r="Y1135" s="28" t="str">
        <f>VLOOKUP(C1135,[2]Final!$J$2:$T$175,11,0)</f>
        <v>mumar5112003@gmail.com</v>
      </c>
      <c r="Z1135" s="29" t="s">
        <v>37</v>
      </c>
    </row>
    <row r="1136" spans="1:26" ht="30" customHeight="1" thickBot="1" x14ac:dyDescent="0.25">
      <c r="A1136" s="17">
        <f t="shared" si="35"/>
        <v>1135</v>
      </c>
      <c r="B1136" s="18" t="s">
        <v>25</v>
      </c>
      <c r="C1136" s="19">
        <v>3110473829021</v>
      </c>
      <c r="D1136" s="19"/>
      <c r="E1136" s="20">
        <v>45420</v>
      </c>
      <c r="F1136" s="20">
        <v>49072</v>
      </c>
      <c r="G1136" s="21">
        <v>35655</v>
      </c>
      <c r="H1136" s="22">
        <f t="shared" ca="1" si="34"/>
        <v>28</v>
      </c>
      <c r="I1136" s="19" t="s">
        <v>26</v>
      </c>
      <c r="J1136" s="18" t="s">
        <v>27</v>
      </c>
      <c r="K1136" s="18"/>
      <c r="L1136" s="23" t="s">
        <v>4153</v>
      </c>
      <c r="M1136" s="23" t="s">
        <v>517</v>
      </c>
      <c r="N1136" s="23" t="s">
        <v>4154</v>
      </c>
      <c r="O1136" s="18"/>
      <c r="P1136" s="24" t="s">
        <v>62</v>
      </c>
      <c r="Q1136" s="25">
        <v>46023</v>
      </c>
      <c r="R1136" s="13">
        <v>0</v>
      </c>
      <c r="S1136" s="26" t="str">
        <f>VLOOKUP(C1136,'[1]Head Office '!$B$7:$I$98,8,0)</f>
        <v>53200020159385300010</v>
      </c>
      <c r="T1136" s="25" t="s">
        <v>32</v>
      </c>
      <c r="U1136" s="25" t="s">
        <v>33</v>
      </c>
      <c r="V1136" s="25" t="s">
        <v>4155</v>
      </c>
      <c r="W1136" s="27" t="s">
        <v>4156</v>
      </c>
      <c r="X1136" s="28" t="s">
        <v>4157</v>
      </c>
      <c r="Y1136" s="28" t="str">
        <f>VLOOKUP(C1136,[2]Final!$J$2:$T$175,11,0)</f>
        <v>sadahaider1214@gmail.com</v>
      </c>
      <c r="Z1136" s="29" t="s">
        <v>37</v>
      </c>
    </row>
    <row r="1137" spans="1:26" ht="30" customHeight="1" thickBot="1" x14ac:dyDescent="0.25">
      <c r="A1137" s="17">
        <f t="shared" si="35"/>
        <v>1136</v>
      </c>
      <c r="B1137" s="18" t="s">
        <v>25</v>
      </c>
      <c r="C1137" s="19">
        <v>3520272649551</v>
      </c>
      <c r="D1137" s="19"/>
      <c r="E1137" s="20">
        <v>44922</v>
      </c>
      <c r="F1137" s="20">
        <v>48575</v>
      </c>
      <c r="G1137" s="21">
        <v>35648</v>
      </c>
      <c r="H1137" s="22">
        <f t="shared" ca="1" si="34"/>
        <v>28</v>
      </c>
      <c r="I1137" s="19" t="s">
        <v>26</v>
      </c>
      <c r="J1137" s="18" t="s">
        <v>27</v>
      </c>
      <c r="K1137" s="18"/>
      <c r="L1137" s="23" t="s">
        <v>258</v>
      </c>
      <c r="M1137" s="23" t="s">
        <v>107</v>
      </c>
      <c r="N1137" s="23" t="s">
        <v>4158</v>
      </c>
      <c r="O1137" s="18"/>
      <c r="P1137" s="24" t="s">
        <v>183</v>
      </c>
      <c r="Q1137" s="25">
        <v>46008</v>
      </c>
      <c r="R1137" s="13">
        <v>0</v>
      </c>
      <c r="S1137" s="26" t="str">
        <f>VLOOKUP(C1137,'[1]Head Office '!$B$7:$I$98,8,0)</f>
        <v>05280010096142290017</v>
      </c>
      <c r="T1137" s="25" t="s">
        <v>32</v>
      </c>
      <c r="U1137" s="25" t="s">
        <v>33</v>
      </c>
      <c r="V1137" s="25" t="s">
        <v>4081</v>
      </c>
      <c r="W1137" s="27" t="s">
        <v>4159</v>
      </c>
      <c r="X1137" s="28" t="s">
        <v>4160</v>
      </c>
      <c r="Y1137" s="28"/>
      <c r="Z1137" s="29" t="s">
        <v>37</v>
      </c>
    </row>
    <row r="1138" spans="1:26" ht="30" customHeight="1" thickBot="1" x14ac:dyDescent="0.25">
      <c r="A1138" s="17">
        <f t="shared" si="35"/>
        <v>1137</v>
      </c>
      <c r="B1138" s="18" t="s">
        <v>25</v>
      </c>
      <c r="C1138" s="19">
        <v>3810178663415</v>
      </c>
      <c r="D1138" s="19"/>
      <c r="E1138" s="20">
        <v>43447</v>
      </c>
      <c r="F1138" s="20">
        <v>47100</v>
      </c>
      <c r="G1138" s="21">
        <v>33538</v>
      </c>
      <c r="H1138" s="22">
        <f t="shared" ca="1" si="34"/>
        <v>34</v>
      </c>
      <c r="I1138" s="19" t="s">
        <v>26</v>
      </c>
      <c r="J1138" s="18" t="s">
        <v>27</v>
      </c>
      <c r="K1138" s="18"/>
      <c r="L1138" s="23" t="s">
        <v>4161</v>
      </c>
      <c r="M1138" s="23" t="s">
        <v>4162</v>
      </c>
      <c r="N1138" s="23" t="s">
        <v>4163</v>
      </c>
      <c r="O1138" s="18"/>
      <c r="P1138" s="24" t="s">
        <v>62</v>
      </c>
      <c r="Q1138" s="25">
        <v>46023</v>
      </c>
      <c r="R1138" s="13">
        <v>0</v>
      </c>
      <c r="S1138" s="26" t="str">
        <f>VLOOKUP(C1138,'[1]Head Office '!$B$7:$I$98,8,0)</f>
        <v>06370010159425980010</v>
      </c>
      <c r="T1138" s="25" t="s">
        <v>32</v>
      </c>
      <c r="U1138" s="25" t="s">
        <v>33</v>
      </c>
      <c r="V1138" s="25" t="s">
        <v>4155</v>
      </c>
      <c r="W1138" s="27" t="s">
        <v>4164</v>
      </c>
      <c r="X1138" s="28" t="s">
        <v>4165</v>
      </c>
      <c r="Y1138" s="28"/>
      <c r="Z1138" s="29" t="s">
        <v>37</v>
      </c>
    </row>
    <row r="1139" spans="1:26" ht="30" customHeight="1" thickBot="1" x14ac:dyDescent="0.25">
      <c r="A1139" s="17">
        <f t="shared" si="35"/>
        <v>1138</v>
      </c>
      <c r="B1139" s="18" t="s">
        <v>25</v>
      </c>
      <c r="C1139" s="19">
        <v>3120228435783</v>
      </c>
      <c r="D1139" s="19"/>
      <c r="E1139" s="20">
        <v>45056</v>
      </c>
      <c r="F1139" s="20">
        <v>48709</v>
      </c>
      <c r="G1139" s="21">
        <v>34731</v>
      </c>
      <c r="H1139" s="22">
        <f t="shared" ca="1" si="34"/>
        <v>31</v>
      </c>
      <c r="I1139" s="19" t="s">
        <v>26</v>
      </c>
      <c r="J1139" s="18" t="s">
        <v>27</v>
      </c>
      <c r="K1139" s="18"/>
      <c r="L1139" s="23" t="s">
        <v>4166</v>
      </c>
      <c r="M1139" s="23" t="s">
        <v>4167</v>
      </c>
      <c r="N1139" s="23" t="s">
        <v>4163</v>
      </c>
      <c r="O1139" s="18"/>
      <c r="P1139" s="24" t="s">
        <v>62</v>
      </c>
      <c r="Q1139" s="25">
        <v>46023</v>
      </c>
      <c r="R1139" s="13">
        <v>0</v>
      </c>
      <c r="S1139" s="26" t="str">
        <f>VLOOKUP(C1139,'[1]Head Office '!$B$7:$I$98,8,0)</f>
        <v>51010020159329310019</v>
      </c>
      <c r="T1139" s="25" t="s">
        <v>32</v>
      </c>
      <c r="U1139" s="25" t="s">
        <v>33</v>
      </c>
      <c r="V1139" s="25" t="s">
        <v>4168</v>
      </c>
      <c r="W1139" s="27" t="s">
        <v>4169</v>
      </c>
      <c r="X1139" s="28" t="s">
        <v>4170</v>
      </c>
      <c r="Y1139" s="28"/>
      <c r="Z1139" s="29" t="s">
        <v>37</v>
      </c>
    </row>
    <row r="1140" spans="1:26" ht="30" customHeight="1" thickBot="1" x14ac:dyDescent="0.25">
      <c r="A1140" s="17">
        <f t="shared" si="35"/>
        <v>1139</v>
      </c>
      <c r="B1140" s="18" t="s">
        <v>25</v>
      </c>
      <c r="C1140" s="19">
        <v>3520229136913</v>
      </c>
      <c r="D1140" s="19"/>
      <c r="E1140" s="20">
        <v>45006</v>
      </c>
      <c r="F1140" s="20">
        <v>48659</v>
      </c>
      <c r="G1140" s="21">
        <v>26584</v>
      </c>
      <c r="H1140" s="22">
        <f t="shared" ca="1" si="34"/>
        <v>53</v>
      </c>
      <c r="I1140" s="19" t="s">
        <v>26</v>
      </c>
      <c r="J1140" s="18" t="s">
        <v>27</v>
      </c>
      <c r="K1140" s="18"/>
      <c r="L1140" s="23" t="s">
        <v>4171</v>
      </c>
      <c r="M1140" s="23" t="s">
        <v>4172</v>
      </c>
      <c r="N1140" s="23" t="s">
        <v>615</v>
      </c>
      <c r="O1140" s="18"/>
      <c r="P1140" s="24" t="s">
        <v>620</v>
      </c>
      <c r="Q1140" s="25">
        <v>46086</v>
      </c>
      <c r="R1140" s="13">
        <v>0</v>
      </c>
      <c r="S1140" s="26" t="str">
        <f>VLOOKUP(C1140,'[3]May-26'!$B$5:$H$89,7,0)</f>
        <v>02880010160946690015</v>
      </c>
      <c r="T1140" s="25" t="s">
        <v>32</v>
      </c>
      <c r="U1140" s="25" t="s">
        <v>33</v>
      </c>
      <c r="V1140" s="25" t="s">
        <v>4173</v>
      </c>
      <c r="W1140" s="27" t="s">
        <v>4174</v>
      </c>
      <c r="X1140" s="28" t="s">
        <v>4175</v>
      </c>
      <c r="Y1140" s="28" t="str">
        <f>VLOOKUP(C1140,[2]Final!$J$2:$T$175,11,0)</f>
        <v>alidarpk@gmail.com</v>
      </c>
      <c r="Z1140" s="29" t="s">
        <v>3390</v>
      </c>
    </row>
    <row r="1141" spans="1:26" ht="30" customHeight="1" thickBot="1" x14ac:dyDescent="0.25">
      <c r="A1141" s="17">
        <f t="shared" si="35"/>
        <v>1140</v>
      </c>
      <c r="B1141" s="18" t="s">
        <v>25</v>
      </c>
      <c r="C1141" s="19">
        <v>3520275904754</v>
      </c>
      <c r="D1141" s="19"/>
      <c r="E1141" s="20">
        <v>45827</v>
      </c>
      <c r="F1141" s="20">
        <v>49479</v>
      </c>
      <c r="G1141" s="21">
        <v>39503</v>
      </c>
      <c r="H1141" s="22">
        <f t="shared" ca="1" si="34"/>
        <v>18</v>
      </c>
      <c r="I1141" s="19" t="s">
        <v>26</v>
      </c>
      <c r="J1141" s="18" t="s">
        <v>66</v>
      </c>
      <c r="K1141" s="18"/>
      <c r="L1141" s="23" t="s">
        <v>4176</v>
      </c>
      <c r="M1141" s="23" t="s">
        <v>890</v>
      </c>
      <c r="N1141" s="23" t="s">
        <v>1295</v>
      </c>
      <c r="O1141" s="18"/>
      <c r="P1141" s="24" t="s">
        <v>620</v>
      </c>
      <c r="Q1141" s="25">
        <v>46080</v>
      </c>
      <c r="R1141" s="13">
        <v>0</v>
      </c>
      <c r="S1141" s="26" t="str">
        <f>VLOOKUP(C1141,'[3]May-26'!$B$5:$H$89,7,0)</f>
        <v>02880010160858450010</v>
      </c>
      <c r="T1141" s="25" t="s">
        <v>32</v>
      </c>
      <c r="U1141" s="25" t="s">
        <v>33</v>
      </c>
      <c r="V1141" s="25" t="s">
        <v>884</v>
      </c>
      <c r="W1141" s="27" t="s">
        <v>4177</v>
      </c>
      <c r="X1141" s="28" t="s">
        <v>4178</v>
      </c>
      <c r="Y1141" s="28"/>
      <c r="Z1141" s="29" t="s">
        <v>3390</v>
      </c>
    </row>
    <row r="1142" spans="1:26" ht="30" customHeight="1" thickBot="1" x14ac:dyDescent="0.25">
      <c r="A1142" s="17">
        <f t="shared" si="35"/>
        <v>1141</v>
      </c>
      <c r="B1142" s="18" t="s">
        <v>25</v>
      </c>
      <c r="C1142" s="19">
        <v>3520237864907</v>
      </c>
      <c r="D1142" s="19"/>
      <c r="E1142" s="20">
        <v>46050</v>
      </c>
      <c r="F1142" s="20">
        <v>49702</v>
      </c>
      <c r="G1142" s="21">
        <v>38856</v>
      </c>
      <c r="H1142" s="22">
        <f t="shared" ca="1" si="34"/>
        <v>20</v>
      </c>
      <c r="I1142" s="19" t="s">
        <v>26</v>
      </c>
      <c r="J1142" s="18" t="s">
        <v>27</v>
      </c>
      <c r="K1142" s="18"/>
      <c r="L1142" s="23" t="s">
        <v>784</v>
      </c>
      <c r="M1142" s="23" t="s">
        <v>799</v>
      </c>
      <c r="N1142" s="23" t="s">
        <v>1295</v>
      </c>
      <c r="O1142" s="18"/>
      <c r="P1142" s="24" t="s">
        <v>83</v>
      </c>
      <c r="Q1142" s="25">
        <v>46125</v>
      </c>
      <c r="R1142" s="13">
        <v>0</v>
      </c>
      <c r="S1142" s="26" t="str">
        <f>VLOOKUP(C1142,'[3]May-26'!$B$5:$H$89,7,0)</f>
        <v>02880010162817320010</v>
      </c>
      <c r="T1142" s="25" t="s">
        <v>32</v>
      </c>
      <c r="U1142" s="25" t="s">
        <v>33</v>
      </c>
      <c r="V1142" s="25" t="s">
        <v>884</v>
      </c>
      <c r="W1142" s="27" t="s">
        <v>4179</v>
      </c>
      <c r="X1142" s="28" t="s">
        <v>4180</v>
      </c>
      <c r="Y1142" s="28" t="str">
        <f>VLOOKUP(C1142,[2]Final!$J$2:$T$175,11,0)</f>
        <v>meesamraza7868@gmail.com</v>
      </c>
      <c r="Z1142" s="29" t="s">
        <v>3390</v>
      </c>
    </row>
    <row r="1143" spans="1:26" ht="30" customHeight="1" thickBot="1" x14ac:dyDescent="0.25">
      <c r="A1143" s="17">
        <f t="shared" si="35"/>
        <v>1142</v>
      </c>
      <c r="B1143" s="18" t="s">
        <v>25</v>
      </c>
      <c r="C1143" s="19">
        <v>3520269421933</v>
      </c>
      <c r="D1143" s="19"/>
      <c r="E1143" s="20">
        <v>46142</v>
      </c>
      <c r="F1143" s="20">
        <v>49795</v>
      </c>
      <c r="G1143" s="21">
        <v>37638</v>
      </c>
      <c r="H1143" s="22">
        <f t="shared" ca="1" si="34"/>
        <v>23</v>
      </c>
      <c r="I1143" s="19" t="s">
        <v>26</v>
      </c>
      <c r="J1143" s="18" t="s">
        <v>27</v>
      </c>
      <c r="K1143" s="18"/>
      <c r="L1143" s="23" t="s">
        <v>1917</v>
      </c>
      <c r="M1143" s="23" t="s">
        <v>4181</v>
      </c>
      <c r="N1143" s="23" t="s">
        <v>1295</v>
      </c>
      <c r="O1143" s="18"/>
      <c r="P1143" s="24" t="s">
        <v>109</v>
      </c>
      <c r="Q1143" s="25">
        <v>46054</v>
      </c>
      <c r="R1143" s="13">
        <v>0</v>
      </c>
      <c r="S1143" s="26" t="str">
        <f>VLOOKUP(C1143,'[3]May-26'!$B$5:$H$89,7,0)</f>
        <v>11880010130807980010</v>
      </c>
      <c r="T1143" s="25" t="s">
        <v>32</v>
      </c>
      <c r="U1143" s="25" t="s">
        <v>33</v>
      </c>
      <c r="V1143" s="25" t="s">
        <v>4182</v>
      </c>
      <c r="W1143" s="27" t="s">
        <v>4183</v>
      </c>
      <c r="X1143" s="28"/>
      <c r="Y1143" s="28" t="str">
        <f>VLOOKUP(C1143,[2]Final!$J$2:$T$175,11,0)</f>
        <v>muhammad.hamza.4t4@gmail.com</v>
      </c>
      <c r="Z1143" s="29" t="s">
        <v>3390</v>
      </c>
    </row>
    <row r="1144" spans="1:26" ht="30" customHeight="1" thickBot="1" x14ac:dyDescent="0.25">
      <c r="A1144" s="17">
        <f t="shared" si="35"/>
        <v>1143</v>
      </c>
      <c r="B1144" s="18" t="s">
        <v>25</v>
      </c>
      <c r="C1144" s="19">
        <v>3610398315875</v>
      </c>
      <c r="D1144" s="19"/>
      <c r="E1144" s="20">
        <v>44678</v>
      </c>
      <c r="F1144" s="20">
        <v>48331</v>
      </c>
      <c r="G1144" s="21">
        <v>36406</v>
      </c>
      <c r="H1144" s="22">
        <f t="shared" ca="1" si="34"/>
        <v>26</v>
      </c>
      <c r="I1144" s="19" t="s">
        <v>26</v>
      </c>
      <c r="J1144" s="18" t="s">
        <v>27</v>
      </c>
      <c r="K1144" s="18"/>
      <c r="L1144" s="23" t="s">
        <v>4184</v>
      </c>
      <c r="M1144" s="23" t="s">
        <v>4185</v>
      </c>
      <c r="N1144" s="23" t="s">
        <v>660</v>
      </c>
      <c r="O1144" s="18"/>
      <c r="P1144" s="24" t="s">
        <v>55</v>
      </c>
      <c r="Q1144" s="25">
        <v>46154</v>
      </c>
      <c r="R1144" s="13">
        <v>0</v>
      </c>
      <c r="S1144" s="26" t="str">
        <f>VLOOKUP(C1144,'[1]Head Office '!$B$7:$I$98,8,0)</f>
        <v>02880010164405730010</v>
      </c>
      <c r="T1144" s="25" t="s">
        <v>32</v>
      </c>
      <c r="U1144" s="25" t="s">
        <v>33</v>
      </c>
      <c r="V1144" s="25" t="s">
        <v>4186</v>
      </c>
      <c r="W1144" s="27" t="s">
        <v>4187</v>
      </c>
      <c r="X1144" s="28" t="s">
        <v>4188</v>
      </c>
      <c r="Y1144" s="28" t="str">
        <f>VLOOKUP(C1144,[2]Final!$J$2:$T$175,11,0)</f>
        <v>talha.arts.90@gmail.com</v>
      </c>
      <c r="Z1144" s="29" t="s">
        <v>3390</v>
      </c>
    </row>
    <row r="1145" spans="1:26" ht="30" customHeight="1" thickBot="1" x14ac:dyDescent="0.25">
      <c r="A1145" s="17">
        <f t="shared" si="35"/>
        <v>1144</v>
      </c>
      <c r="B1145" s="18" t="s">
        <v>25</v>
      </c>
      <c r="C1145" s="19">
        <v>3530217808087</v>
      </c>
      <c r="D1145" s="19"/>
      <c r="E1145" s="20">
        <v>44207</v>
      </c>
      <c r="F1145" s="20">
        <v>47859</v>
      </c>
      <c r="G1145" s="21">
        <v>37569</v>
      </c>
      <c r="H1145" s="22">
        <f t="shared" ca="1" si="34"/>
        <v>23</v>
      </c>
      <c r="I1145" s="19" t="s">
        <v>26</v>
      </c>
      <c r="J1145" s="18" t="s">
        <v>27</v>
      </c>
      <c r="K1145" s="18"/>
      <c r="L1145" s="23" t="s">
        <v>4189</v>
      </c>
      <c r="M1145" s="23" t="s">
        <v>4190</v>
      </c>
      <c r="N1145" s="23" t="s">
        <v>457</v>
      </c>
      <c r="O1145" s="18"/>
      <c r="P1145" s="24" t="s">
        <v>95</v>
      </c>
      <c r="Q1145" s="25">
        <v>46028</v>
      </c>
      <c r="R1145" s="13">
        <v>0</v>
      </c>
      <c r="S1145" s="26" t="str">
        <f>VLOOKUP(C1145,'[1]Head Office '!$B$7:$I$98,8,0)</f>
        <v>02880010158460180015</v>
      </c>
      <c r="T1145" s="25" t="s">
        <v>32</v>
      </c>
      <c r="U1145" s="25" t="s">
        <v>33</v>
      </c>
      <c r="V1145" s="25" t="s">
        <v>4191</v>
      </c>
      <c r="W1145" s="27" t="s">
        <v>4192</v>
      </c>
      <c r="X1145" s="28" t="s">
        <v>4193</v>
      </c>
      <c r="Y1145" s="28" t="str">
        <f>VLOOKUP(C1145,[2]Final!$J$2:$T$175,11,0)</f>
        <v>alihussnain165@gmail.com</v>
      </c>
      <c r="Z1145" s="29" t="s">
        <v>37</v>
      </c>
    </row>
    <row r="1146" spans="1:26" ht="30" customHeight="1" thickBot="1" x14ac:dyDescent="0.25">
      <c r="A1146" s="17">
        <f t="shared" si="35"/>
        <v>1145</v>
      </c>
      <c r="B1146" s="18" t="s">
        <v>25</v>
      </c>
      <c r="C1146" s="19">
        <v>3520216752643</v>
      </c>
      <c r="D1146" s="19"/>
      <c r="E1146" s="20">
        <v>43458</v>
      </c>
      <c r="F1146" s="20">
        <v>47111</v>
      </c>
      <c r="G1146" s="21">
        <v>32351</v>
      </c>
      <c r="H1146" s="22">
        <f t="shared" ca="1" si="34"/>
        <v>37</v>
      </c>
      <c r="I1146" s="19" t="s">
        <v>26</v>
      </c>
      <c r="J1146" s="18" t="s">
        <v>27</v>
      </c>
      <c r="K1146" s="18"/>
      <c r="L1146" s="23" t="s">
        <v>4194</v>
      </c>
      <c r="M1146" s="23" t="s">
        <v>1818</v>
      </c>
      <c r="N1146" s="23" t="s">
        <v>457</v>
      </c>
      <c r="O1146" s="18"/>
      <c r="P1146" s="24" t="s">
        <v>620</v>
      </c>
      <c r="Q1146" s="25">
        <v>46083</v>
      </c>
      <c r="R1146" s="13">
        <v>0</v>
      </c>
      <c r="S1146" s="26" t="str">
        <f>VLOOKUP(C1146,'[1]Head Office '!$B$7:$I$98,8,0)</f>
        <v>02880010162988830015</v>
      </c>
      <c r="T1146" s="25" t="s">
        <v>32</v>
      </c>
      <c r="U1146" s="25" t="s">
        <v>33</v>
      </c>
      <c r="V1146" s="25" t="s">
        <v>405</v>
      </c>
      <c r="W1146" s="27" t="s">
        <v>4195</v>
      </c>
      <c r="X1146" s="28" t="s">
        <v>4196</v>
      </c>
      <c r="Y1146" s="28" t="str">
        <f>VLOOKUP(C1146,[2]Final!$J$2:$T$175,11,0)</f>
        <v>khizarhayat2004@gmail.com</v>
      </c>
      <c r="Z1146" s="29" t="s">
        <v>3390</v>
      </c>
    </row>
    <row r="1147" spans="1:26" ht="30" customHeight="1" thickBot="1" x14ac:dyDescent="0.25">
      <c r="A1147" s="17">
        <f t="shared" si="35"/>
        <v>1146</v>
      </c>
      <c r="B1147" s="18" t="s">
        <v>25</v>
      </c>
      <c r="C1147" s="19">
        <v>3520225557457</v>
      </c>
      <c r="D1147" s="19"/>
      <c r="E1147" s="20">
        <v>45648</v>
      </c>
      <c r="F1147" s="20">
        <v>49300</v>
      </c>
      <c r="G1147" s="21">
        <v>36440</v>
      </c>
      <c r="H1147" s="22">
        <f t="shared" ca="1" si="34"/>
        <v>26</v>
      </c>
      <c r="I1147" s="19" t="s">
        <v>26</v>
      </c>
      <c r="J1147" s="18" t="s">
        <v>27</v>
      </c>
      <c r="K1147" s="18"/>
      <c r="L1147" s="23" t="s">
        <v>99</v>
      </c>
      <c r="M1147" s="23" t="s">
        <v>4197</v>
      </c>
      <c r="N1147" s="23" t="s">
        <v>457</v>
      </c>
      <c r="O1147" s="18"/>
      <c r="P1147" s="24" t="s">
        <v>41</v>
      </c>
      <c r="Q1147" s="25">
        <v>46062</v>
      </c>
      <c r="R1147" s="13">
        <v>0</v>
      </c>
      <c r="S1147" s="26" t="str">
        <f>VLOOKUP(C1147,'[1]Head Office '!$B$7:$I$98,8,0)</f>
        <v>02880010160741280012</v>
      </c>
      <c r="T1147" s="25" t="s">
        <v>32</v>
      </c>
      <c r="U1147" s="25" t="s">
        <v>33</v>
      </c>
      <c r="V1147" s="25" t="s">
        <v>4198</v>
      </c>
      <c r="W1147" s="27" t="s">
        <v>4199</v>
      </c>
      <c r="X1147" s="28" t="s">
        <v>4200</v>
      </c>
      <c r="Y1147" s="28" t="str">
        <f>VLOOKUP(C1147,[2]Final!$J$2:$T$175,11,0)</f>
        <v>aliahad0331@gmail.com</v>
      </c>
      <c r="Z1147" s="29" t="s">
        <v>37</v>
      </c>
    </row>
    <row r="1148" spans="1:26" ht="30" customHeight="1" thickBot="1" x14ac:dyDescent="0.25">
      <c r="A1148" s="17">
        <f t="shared" si="35"/>
        <v>1147</v>
      </c>
      <c r="B1148" s="18" t="s">
        <v>25</v>
      </c>
      <c r="C1148" s="19">
        <v>3520296180471</v>
      </c>
      <c r="D1148" s="19"/>
      <c r="E1148" s="20">
        <v>42619</v>
      </c>
      <c r="F1148" s="20">
        <v>46271</v>
      </c>
      <c r="G1148" s="21">
        <v>35999</v>
      </c>
      <c r="H1148" s="22">
        <f t="shared" ca="1" si="34"/>
        <v>27</v>
      </c>
      <c r="I1148" s="19" t="s">
        <v>26</v>
      </c>
      <c r="J1148" s="18" t="s">
        <v>27</v>
      </c>
      <c r="K1148" s="18"/>
      <c r="L1148" s="23" t="s">
        <v>619</v>
      </c>
      <c r="M1148" s="23" t="s">
        <v>4201</v>
      </c>
      <c r="N1148" s="23" t="s">
        <v>457</v>
      </c>
      <c r="O1148" s="18"/>
      <c r="P1148" s="24"/>
      <c r="Q1148" s="25">
        <v>46156</v>
      </c>
      <c r="R1148" s="13">
        <v>0</v>
      </c>
      <c r="S1148" s="26" t="str">
        <f>VLOOKUP(C1148,'[3]May-26'!$B$5:$H$89,7,0)</f>
        <v>02880010045284660011</v>
      </c>
      <c r="T1148" s="25" t="s">
        <v>32</v>
      </c>
      <c r="U1148" s="25" t="s">
        <v>33</v>
      </c>
      <c r="V1148" s="25" t="s">
        <v>4202</v>
      </c>
      <c r="W1148" s="27" t="s">
        <v>4203</v>
      </c>
      <c r="X1148" s="28" t="s">
        <v>4204</v>
      </c>
      <c r="Y1148" s="28"/>
      <c r="Z1148" s="29" t="s">
        <v>3390</v>
      </c>
    </row>
    <row r="1149" spans="1:26" ht="30" customHeight="1" thickBot="1" x14ac:dyDescent="0.25">
      <c r="A1149" s="17">
        <f t="shared" si="35"/>
        <v>1148</v>
      </c>
      <c r="B1149" s="18" t="s">
        <v>25</v>
      </c>
      <c r="C1149" s="19">
        <v>3330294012083</v>
      </c>
      <c r="D1149" s="19"/>
      <c r="E1149" s="20">
        <v>44798</v>
      </c>
      <c r="F1149" s="20">
        <v>48454</v>
      </c>
      <c r="G1149" s="21">
        <v>35506</v>
      </c>
      <c r="H1149" s="22">
        <f t="shared" ca="1" si="34"/>
        <v>29</v>
      </c>
      <c r="I1149" s="19" t="s">
        <v>26</v>
      </c>
      <c r="J1149" s="18" t="s">
        <v>27</v>
      </c>
      <c r="K1149" s="18"/>
      <c r="L1149" s="23" t="s">
        <v>4205</v>
      </c>
      <c r="M1149" s="23" t="s">
        <v>199</v>
      </c>
      <c r="N1149" s="23" t="s">
        <v>457</v>
      </c>
      <c r="O1149" s="18"/>
      <c r="P1149" s="24" t="s">
        <v>48</v>
      </c>
      <c r="Q1149" s="25">
        <v>46091</v>
      </c>
      <c r="R1149" s="13">
        <v>0</v>
      </c>
      <c r="S1149" s="26" t="str">
        <f>VLOOKUP(C1149,'[1]Head Office '!$B$7:$I$98,8,0)</f>
        <v>02880010161043150015</v>
      </c>
      <c r="T1149" s="25" t="s">
        <v>32</v>
      </c>
      <c r="U1149" s="25" t="s">
        <v>33</v>
      </c>
      <c r="V1149" s="25" t="s">
        <v>172</v>
      </c>
      <c r="W1149" s="27" t="s">
        <v>4206</v>
      </c>
      <c r="X1149" s="28" t="s">
        <v>4207</v>
      </c>
      <c r="Y1149" s="28" t="str">
        <f>VLOOKUP(C1149,[2]Final!$J$2:$T$175,11,0)</f>
        <v>qzmalik735@gmail.com</v>
      </c>
      <c r="Z1149" s="29" t="s">
        <v>37</v>
      </c>
    </row>
    <row r="1150" spans="1:26" ht="30" customHeight="1" thickBot="1" x14ac:dyDescent="0.25">
      <c r="A1150" s="17">
        <f t="shared" si="35"/>
        <v>1149</v>
      </c>
      <c r="B1150" s="18" t="s">
        <v>25</v>
      </c>
      <c r="C1150" s="19">
        <v>3520199098784</v>
      </c>
      <c r="D1150" s="19"/>
      <c r="E1150" s="20">
        <v>44440</v>
      </c>
      <c r="F1150" s="20">
        <v>48092</v>
      </c>
      <c r="G1150" s="21">
        <v>37779</v>
      </c>
      <c r="H1150" s="22">
        <f t="shared" ca="1" si="34"/>
        <v>23</v>
      </c>
      <c r="I1150" s="19" t="s">
        <v>26</v>
      </c>
      <c r="J1150" s="18" t="s">
        <v>66</v>
      </c>
      <c r="K1150" s="18"/>
      <c r="L1150" s="23" t="s">
        <v>4208</v>
      </c>
      <c r="M1150" s="23" t="s">
        <v>926</v>
      </c>
      <c r="N1150" s="23" t="s">
        <v>457</v>
      </c>
      <c r="O1150" s="18"/>
      <c r="P1150" s="24" t="s">
        <v>95</v>
      </c>
      <c r="Q1150" s="25">
        <v>46027</v>
      </c>
      <c r="R1150" s="13">
        <v>0</v>
      </c>
      <c r="S1150" s="26" t="str">
        <f>VLOOKUP(C1150,'[1]Head Office '!$B$7:$I$98,8,0)</f>
        <v>02880010158551750010</v>
      </c>
      <c r="T1150" s="25" t="s">
        <v>32</v>
      </c>
      <c r="U1150" s="25" t="s">
        <v>33</v>
      </c>
      <c r="V1150" s="25" t="s">
        <v>4209</v>
      </c>
      <c r="W1150" s="27" t="s">
        <v>4210</v>
      </c>
      <c r="X1150" s="28" t="s">
        <v>4211</v>
      </c>
      <c r="Y1150" s="28" t="str">
        <f>VLOOKUP(C1150,[2]Final!$J$2:$T$175,11,0)</f>
        <v>sanarehmatali05@gmail.com</v>
      </c>
      <c r="Z1150" s="29" t="s">
        <v>37</v>
      </c>
    </row>
    <row r="1151" spans="1:26" ht="30" customHeight="1" thickBot="1" x14ac:dyDescent="0.25">
      <c r="A1151" s="17">
        <f t="shared" si="35"/>
        <v>1150</v>
      </c>
      <c r="B1151" s="18" t="s">
        <v>25</v>
      </c>
      <c r="C1151" s="19">
        <v>3540435797517</v>
      </c>
      <c r="D1151" s="19"/>
      <c r="E1151" s="20">
        <v>44887</v>
      </c>
      <c r="F1151" s="20">
        <v>48540</v>
      </c>
      <c r="G1151" s="21">
        <v>35979</v>
      </c>
      <c r="H1151" s="22">
        <f t="shared" ca="1" si="34"/>
        <v>27</v>
      </c>
      <c r="I1151" s="19" t="s">
        <v>26</v>
      </c>
      <c r="J1151" s="18" t="s">
        <v>27</v>
      </c>
      <c r="K1151" s="18"/>
      <c r="L1151" s="23" t="s">
        <v>4212</v>
      </c>
      <c r="M1151" s="23" t="s">
        <v>1071</v>
      </c>
      <c r="N1151" s="23" t="s">
        <v>457</v>
      </c>
      <c r="O1151" s="18"/>
      <c r="P1151" s="24" t="s">
        <v>109</v>
      </c>
      <c r="Q1151" s="25">
        <v>46023</v>
      </c>
      <c r="R1151" s="13">
        <v>0</v>
      </c>
      <c r="S1151" s="26" t="str">
        <f>VLOOKUP(C1151,'[1]Head Office '!$B$7:$I$98,8,0)</f>
        <v>02880010160408140012</v>
      </c>
      <c r="T1151" s="25" t="s">
        <v>32</v>
      </c>
      <c r="U1151" s="25" t="s">
        <v>33</v>
      </c>
      <c r="V1151" s="25" t="s">
        <v>340</v>
      </c>
      <c r="W1151" s="27" t="s">
        <v>4213</v>
      </c>
      <c r="X1151" s="28" t="s">
        <v>4214</v>
      </c>
      <c r="Y1151" s="28" t="str">
        <f>VLOOKUP(C1151,[2]Final!$J$2:$T$175,11,0)</f>
        <v>naqvitahir624@gmail.com</v>
      </c>
      <c r="Z1151" s="29" t="s">
        <v>37</v>
      </c>
    </row>
    <row r="1152" spans="1:26" ht="30" customHeight="1" thickBot="1" x14ac:dyDescent="0.25">
      <c r="A1152" s="17">
        <f t="shared" si="35"/>
        <v>1151</v>
      </c>
      <c r="B1152" s="18" t="s">
        <v>25</v>
      </c>
      <c r="C1152" s="19">
        <v>3520228198157</v>
      </c>
      <c r="D1152" s="19"/>
      <c r="E1152" s="20">
        <v>46034</v>
      </c>
      <c r="F1152" s="20">
        <v>49686</v>
      </c>
      <c r="G1152" s="21">
        <v>35796</v>
      </c>
      <c r="H1152" s="22">
        <f t="shared" ca="1" si="34"/>
        <v>28</v>
      </c>
      <c r="I1152" s="19" t="s">
        <v>912</v>
      </c>
      <c r="J1152" s="18" t="s">
        <v>27</v>
      </c>
      <c r="K1152" s="18"/>
      <c r="L1152" s="23" t="s">
        <v>4215</v>
      </c>
      <c r="M1152" s="23" t="s">
        <v>2214</v>
      </c>
      <c r="N1152" s="23" t="s">
        <v>1499</v>
      </c>
      <c r="O1152" s="18"/>
      <c r="P1152" s="24" t="s">
        <v>102</v>
      </c>
      <c r="Q1152" s="25">
        <v>46149</v>
      </c>
      <c r="R1152" s="13">
        <v>0</v>
      </c>
      <c r="S1152" s="26"/>
      <c r="T1152" s="25"/>
      <c r="U1152" s="25" t="s">
        <v>33</v>
      </c>
      <c r="V1152" s="25" t="s">
        <v>1093</v>
      </c>
      <c r="W1152" s="27" t="s">
        <v>4216</v>
      </c>
      <c r="X1152" s="28" t="s">
        <v>4217</v>
      </c>
      <c r="Y1152" s="28"/>
      <c r="Z1152" s="29" t="s">
        <v>3390</v>
      </c>
    </row>
    <row r="1153" spans="1:26" ht="30" customHeight="1" thickBot="1" x14ac:dyDescent="0.25">
      <c r="A1153" s="17">
        <f t="shared" si="35"/>
        <v>1152</v>
      </c>
      <c r="B1153" s="18" t="s">
        <v>25</v>
      </c>
      <c r="C1153" s="19">
        <v>1350472130515</v>
      </c>
      <c r="D1153" s="19"/>
      <c r="E1153" s="20">
        <v>45960</v>
      </c>
      <c r="F1153" s="20">
        <v>49612</v>
      </c>
      <c r="G1153" s="21">
        <v>35713</v>
      </c>
      <c r="H1153" s="22">
        <f t="shared" ca="1" si="34"/>
        <v>28</v>
      </c>
      <c r="I1153" s="19" t="s">
        <v>26</v>
      </c>
      <c r="J1153" s="18" t="s">
        <v>27</v>
      </c>
      <c r="K1153" s="18"/>
      <c r="L1153" s="23" t="s">
        <v>4218</v>
      </c>
      <c r="M1153" s="23" t="s">
        <v>4219</v>
      </c>
      <c r="N1153" s="23" t="s">
        <v>1499</v>
      </c>
      <c r="O1153" s="18"/>
      <c r="P1153" s="24" t="s">
        <v>102</v>
      </c>
      <c r="Q1153" s="25">
        <v>46133</v>
      </c>
      <c r="R1153" s="13">
        <v>0</v>
      </c>
      <c r="S1153" s="26" t="str">
        <f>VLOOKUP(C1153,'[4]Daily Wages '!$B$6:$G$197,6,0)</f>
        <v>02880010163087490018</v>
      </c>
      <c r="T1153" s="25" t="s">
        <v>32</v>
      </c>
      <c r="U1153" s="25" t="s">
        <v>33</v>
      </c>
      <c r="V1153" s="25"/>
      <c r="W1153" s="27" t="s">
        <v>4220</v>
      </c>
      <c r="X1153" s="28"/>
      <c r="Y1153" s="28"/>
      <c r="Z1153" s="29" t="s">
        <v>3390</v>
      </c>
    </row>
    <row r="1154" spans="1:26" ht="30" customHeight="1" thickBot="1" x14ac:dyDescent="0.25">
      <c r="A1154" s="17">
        <f t="shared" si="35"/>
        <v>1153</v>
      </c>
      <c r="B1154" s="18" t="s">
        <v>25</v>
      </c>
      <c r="C1154" s="19">
        <v>3840176605499</v>
      </c>
      <c r="D1154" s="19"/>
      <c r="E1154" s="20">
        <v>42416</v>
      </c>
      <c r="F1154" s="20" t="s">
        <v>196</v>
      </c>
      <c r="G1154" s="21">
        <v>19450</v>
      </c>
      <c r="H1154" s="22">
        <f t="shared" ref="H1154:H1217" ca="1" si="36">INT((TODAY()-G1154)/365)</f>
        <v>73</v>
      </c>
      <c r="I1154" s="19" t="s">
        <v>26</v>
      </c>
      <c r="J1154" s="18" t="s">
        <v>27</v>
      </c>
      <c r="K1154" s="18"/>
      <c r="L1154" s="23" t="s">
        <v>4221</v>
      </c>
      <c r="M1154" s="23" t="s">
        <v>4222</v>
      </c>
      <c r="N1154" s="23" t="s">
        <v>4223</v>
      </c>
      <c r="O1154" s="18"/>
      <c r="P1154" s="24" t="s">
        <v>62</v>
      </c>
      <c r="Q1154" s="25">
        <v>46065</v>
      </c>
      <c r="R1154" s="13">
        <v>0</v>
      </c>
      <c r="S1154" s="26" t="str">
        <f>VLOOKUP(C1154,'[1]Head Office '!$B$7:$I$98,8,0)</f>
        <v>06070010087051020010</v>
      </c>
      <c r="T1154" s="25" t="s">
        <v>32</v>
      </c>
      <c r="U1154" s="25" t="s">
        <v>33</v>
      </c>
      <c r="V1154" s="25" t="s">
        <v>4224</v>
      </c>
      <c r="W1154" s="27" t="s">
        <v>4225</v>
      </c>
      <c r="X1154" s="28" t="s">
        <v>4226</v>
      </c>
      <c r="Y1154" s="28"/>
      <c r="Z1154" s="29" t="s">
        <v>37</v>
      </c>
    </row>
    <row r="1155" spans="1:26" ht="30" customHeight="1" thickBot="1" x14ac:dyDescent="0.25">
      <c r="A1155" s="17">
        <f t="shared" si="35"/>
        <v>1154</v>
      </c>
      <c r="B1155" s="18" t="s">
        <v>25</v>
      </c>
      <c r="C1155" s="19">
        <v>3630122516599</v>
      </c>
      <c r="D1155" s="19"/>
      <c r="E1155" s="20">
        <v>42517</v>
      </c>
      <c r="F1155" s="20">
        <v>46169</v>
      </c>
      <c r="G1155" s="21">
        <v>35431</v>
      </c>
      <c r="H1155" s="22">
        <f t="shared" ca="1" si="36"/>
        <v>29</v>
      </c>
      <c r="I1155" s="19" t="s">
        <v>26</v>
      </c>
      <c r="J1155" s="18" t="s">
        <v>27</v>
      </c>
      <c r="K1155" s="18"/>
      <c r="L1155" s="23" t="s">
        <v>4227</v>
      </c>
      <c r="M1155" s="23" t="s">
        <v>1108</v>
      </c>
      <c r="N1155" s="23" t="s">
        <v>1295</v>
      </c>
      <c r="O1155" s="18"/>
      <c r="P1155" s="24"/>
      <c r="Q1155" s="25">
        <v>46037</v>
      </c>
      <c r="R1155" s="13">
        <v>0</v>
      </c>
      <c r="S1155" s="26" t="str">
        <f>VLOOKUP(C1155,'[1]Bazaar Salary'!$B$6:$J$1193,9,0)</f>
        <v>06390010159038070019</v>
      </c>
      <c r="T1155" s="25" t="s">
        <v>32</v>
      </c>
      <c r="U1155" s="25" t="s">
        <v>4228</v>
      </c>
      <c r="V1155" s="25"/>
      <c r="W1155" s="27" t="s">
        <v>4229</v>
      </c>
      <c r="X1155" s="28" t="s">
        <v>4230</v>
      </c>
      <c r="Y1155" s="28"/>
      <c r="Z1155" s="29" t="s">
        <v>37</v>
      </c>
    </row>
    <row r="1156" spans="1:26" ht="30" customHeight="1" thickBot="1" x14ac:dyDescent="0.25">
      <c r="A1156" s="17">
        <f t="shared" ref="A1156:A1219" si="37">A1155+1</f>
        <v>1155</v>
      </c>
      <c r="B1156" s="18" t="s">
        <v>25</v>
      </c>
      <c r="C1156" s="19">
        <v>3230355359013</v>
      </c>
      <c r="D1156" s="19"/>
      <c r="E1156" s="20">
        <v>45264</v>
      </c>
      <c r="F1156" s="20">
        <v>48917</v>
      </c>
      <c r="G1156" s="21">
        <v>37658</v>
      </c>
      <c r="H1156" s="22">
        <f t="shared" ca="1" si="36"/>
        <v>23</v>
      </c>
      <c r="I1156" s="19" t="s">
        <v>26</v>
      </c>
      <c r="J1156" s="18" t="s">
        <v>27</v>
      </c>
      <c r="K1156" s="18"/>
      <c r="L1156" s="23" t="s">
        <v>4231</v>
      </c>
      <c r="M1156" s="23" t="s">
        <v>4232</v>
      </c>
      <c r="N1156" s="23" t="s">
        <v>457</v>
      </c>
      <c r="O1156" s="18"/>
      <c r="P1156" s="24"/>
      <c r="Q1156" s="25">
        <v>46042</v>
      </c>
      <c r="R1156" s="13">
        <v>0</v>
      </c>
      <c r="S1156" s="26" t="str">
        <f>VLOOKUP(C1156,'[1]Bazaar Salary'!$B$6:$J$1193,9,0)</f>
        <v>06120010100465710020</v>
      </c>
      <c r="T1156" s="25" t="s">
        <v>32</v>
      </c>
      <c r="U1156" s="25" t="s">
        <v>4228</v>
      </c>
      <c r="V1156" s="25" t="s">
        <v>4233</v>
      </c>
      <c r="W1156" s="27" t="s">
        <v>4234</v>
      </c>
      <c r="X1156" s="28" t="s">
        <v>4235</v>
      </c>
      <c r="Y1156" s="28"/>
      <c r="Z1156" s="29" t="s">
        <v>37</v>
      </c>
    </row>
    <row r="1157" spans="1:26" ht="30" customHeight="1" thickBot="1" x14ac:dyDescent="0.25">
      <c r="A1157" s="17">
        <f t="shared" si="37"/>
        <v>1156</v>
      </c>
      <c r="B1157" s="18" t="s">
        <v>25</v>
      </c>
      <c r="C1157" s="19">
        <v>3620263510365</v>
      </c>
      <c r="D1157" s="19"/>
      <c r="E1157" s="20">
        <v>42836</v>
      </c>
      <c r="F1157" s="20">
        <v>46488</v>
      </c>
      <c r="G1157" s="21">
        <v>31517</v>
      </c>
      <c r="H1157" s="22">
        <f t="shared" ca="1" si="36"/>
        <v>40</v>
      </c>
      <c r="I1157" s="19" t="s">
        <v>26</v>
      </c>
      <c r="J1157" s="18" t="s">
        <v>27</v>
      </c>
      <c r="K1157" s="18"/>
      <c r="L1157" s="23" t="s">
        <v>4236</v>
      </c>
      <c r="M1157" s="23" t="s">
        <v>3087</v>
      </c>
      <c r="N1157" s="23" t="s">
        <v>1499</v>
      </c>
      <c r="O1157" s="18"/>
      <c r="P1157" s="24"/>
      <c r="Q1157" s="25">
        <v>45997</v>
      </c>
      <c r="R1157" s="13">
        <v>0</v>
      </c>
      <c r="S1157" s="26" t="str">
        <f>VLOOKUP(C1157,'[1]Bazaar Salary'!$B$6:$J$1193,9,0)</f>
        <v>09310010092926940018</v>
      </c>
      <c r="T1157" s="25" t="s">
        <v>32</v>
      </c>
      <c r="U1157" s="25" t="s">
        <v>4228</v>
      </c>
      <c r="V1157" s="25"/>
      <c r="W1157" s="27" t="s">
        <v>4237</v>
      </c>
      <c r="X1157" s="28" t="s">
        <v>4238</v>
      </c>
      <c r="Y1157" s="28"/>
      <c r="Z1157" s="29" t="s">
        <v>37</v>
      </c>
    </row>
    <row r="1158" spans="1:26" ht="30" customHeight="1" thickBot="1" x14ac:dyDescent="0.25">
      <c r="A1158" s="17">
        <f t="shared" si="37"/>
        <v>1157</v>
      </c>
      <c r="B1158" s="18" t="s">
        <v>25</v>
      </c>
      <c r="C1158" s="19">
        <v>3510272215003</v>
      </c>
      <c r="D1158" s="19"/>
      <c r="E1158" s="20">
        <v>45390</v>
      </c>
      <c r="F1158" s="20">
        <v>49042</v>
      </c>
      <c r="G1158" s="21">
        <v>32582</v>
      </c>
      <c r="H1158" s="22">
        <f t="shared" ca="1" si="36"/>
        <v>37</v>
      </c>
      <c r="I1158" s="19" t="s">
        <v>26</v>
      </c>
      <c r="J1158" s="18" t="s">
        <v>27</v>
      </c>
      <c r="K1158" s="18"/>
      <c r="L1158" s="24" t="s">
        <v>4239</v>
      </c>
      <c r="M1158" s="23" t="s">
        <v>4240</v>
      </c>
      <c r="N1158" s="24" t="s">
        <v>3988</v>
      </c>
      <c r="O1158" s="18"/>
      <c r="P1158" s="24"/>
      <c r="Q1158" s="25">
        <v>46036</v>
      </c>
      <c r="R1158" s="13">
        <v>0</v>
      </c>
      <c r="S1158" s="26" t="str">
        <f>VLOOKUP(C1158,'[3]May-26'!$B$5:$H$89,7,0)</f>
        <v>06390010159089130010</v>
      </c>
      <c r="T1158" s="25" t="s">
        <v>32</v>
      </c>
      <c r="U1158" s="25" t="s">
        <v>4228</v>
      </c>
      <c r="V1158" s="25" t="s">
        <v>3391</v>
      </c>
      <c r="W1158" s="27" t="s">
        <v>4241</v>
      </c>
      <c r="X1158" s="28" t="s">
        <v>4242</v>
      </c>
      <c r="Y1158" s="28"/>
      <c r="Z1158" s="29" t="s">
        <v>3390</v>
      </c>
    </row>
    <row r="1159" spans="1:26" ht="30" customHeight="1" thickBot="1" x14ac:dyDescent="0.25">
      <c r="A1159" s="17">
        <f t="shared" si="37"/>
        <v>1158</v>
      </c>
      <c r="B1159" s="18" t="s">
        <v>25</v>
      </c>
      <c r="C1159" s="19">
        <v>3630127695883</v>
      </c>
      <c r="D1159" s="19"/>
      <c r="E1159" s="20">
        <v>42795</v>
      </c>
      <c r="F1159" s="20">
        <v>46447</v>
      </c>
      <c r="G1159" s="21">
        <v>35833</v>
      </c>
      <c r="H1159" s="22">
        <f t="shared" ca="1" si="36"/>
        <v>28</v>
      </c>
      <c r="I1159" s="19" t="s">
        <v>26</v>
      </c>
      <c r="J1159" s="18" t="s">
        <v>27</v>
      </c>
      <c r="K1159" s="18"/>
      <c r="L1159" s="23" t="s">
        <v>4243</v>
      </c>
      <c r="M1159" s="23" t="s">
        <v>4244</v>
      </c>
      <c r="N1159" s="23" t="s">
        <v>1488</v>
      </c>
      <c r="O1159" s="18"/>
      <c r="P1159" s="24"/>
      <c r="Q1159" s="25">
        <v>46063</v>
      </c>
      <c r="R1159" s="13">
        <v>0</v>
      </c>
      <c r="S1159" s="26" t="str">
        <f>VLOOKUP(C1159,'[4]Daily Wages '!$B$6:$G$197,6,0)</f>
        <v>06390010160044440015</v>
      </c>
      <c r="T1159" s="25" t="s">
        <v>32</v>
      </c>
      <c r="U1159" s="25" t="s">
        <v>4228</v>
      </c>
      <c r="V1159" s="25"/>
      <c r="W1159" s="27" t="s">
        <v>4245</v>
      </c>
      <c r="X1159" s="28" t="s">
        <v>4246</v>
      </c>
      <c r="Y1159" s="28"/>
      <c r="Z1159" s="29" t="s">
        <v>3390</v>
      </c>
    </row>
    <row r="1160" spans="1:26" ht="30" customHeight="1" thickBot="1" x14ac:dyDescent="0.25">
      <c r="A1160" s="17">
        <f t="shared" si="37"/>
        <v>1159</v>
      </c>
      <c r="B1160" s="18" t="s">
        <v>25</v>
      </c>
      <c r="C1160" s="19">
        <v>3630187324539</v>
      </c>
      <c r="D1160" s="19"/>
      <c r="E1160" s="20">
        <v>48772</v>
      </c>
      <c r="F1160" s="20">
        <v>48772</v>
      </c>
      <c r="G1160" s="21">
        <v>38443</v>
      </c>
      <c r="H1160" s="22">
        <f t="shared" ca="1" si="36"/>
        <v>21</v>
      </c>
      <c r="I1160" s="19" t="s">
        <v>26</v>
      </c>
      <c r="J1160" s="18" t="s">
        <v>27</v>
      </c>
      <c r="K1160" s="18"/>
      <c r="L1160" s="23" t="s">
        <v>4247</v>
      </c>
      <c r="M1160" s="23" t="s">
        <v>842</v>
      </c>
      <c r="N1160" s="23" t="s">
        <v>1488</v>
      </c>
      <c r="O1160" s="18"/>
      <c r="P1160" s="24"/>
      <c r="Q1160" s="25">
        <v>46062</v>
      </c>
      <c r="R1160" s="13">
        <v>0</v>
      </c>
      <c r="S1160" s="26" t="str">
        <f>VLOOKUP(C1160,'[4]Daily Wages '!$B$6:$G$197,6,0)</f>
        <v>06390010159880880014</v>
      </c>
      <c r="T1160" s="25" t="s">
        <v>32</v>
      </c>
      <c r="U1160" s="25" t="s">
        <v>4228</v>
      </c>
      <c r="V1160" s="25"/>
      <c r="W1160" s="27" t="s">
        <v>4248</v>
      </c>
      <c r="X1160" s="28" t="s">
        <v>4249</v>
      </c>
      <c r="Y1160" s="28"/>
      <c r="Z1160" s="29" t="s">
        <v>3390</v>
      </c>
    </row>
    <row r="1161" spans="1:26" ht="30" customHeight="1" thickBot="1" x14ac:dyDescent="0.25">
      <c r="A1161" s="17">
        <f t="shared" si="37"/>
        <v>1160</v>
      </c>
      <c r="B1161" s="18" t="s">
        <v>25</v>
      </c>
      <c r="C1161" s="19">
        <v>3630162806959</v>
      </c>
      <c r="D1161" s="19"/>
      <c r="E1161" s="20">
        <v>42550</v>
      </c>
      <c r="F1161" s="20">
        <v>46202</v>
      </c>
      <c r="G1161" s="21">
        <v>35431</v>
      </c>
      <c r="H1161" s="22">
        <f t="shared" ca="1" si="36"/>
        <v>29</v>
      </c>
      <c r="I1161" s="19" t="s">
        <v>26</v>
      </c>
      <c r="J1161" s="18" t="s">
        <v>27</v>
      </c>
      <c r="K1161" s="18"/>
      <c r="L1161" s="23" t="s">
        <v>3575</v>
      </c>
      <c r="M1161" s="23" t="s">
        <v>703</v>
      </c>
      <c r="N1161" s="23" t="s">
        <v>1488</v>
      </c>
      <c r="O1161" s="18"/>
      <c r="P1161" s="24"/>
      <c r="Q1161" s="25">
        <v>46062</v>
      </c>
      <c r="R1161" s="13">
        <v>0</v>
      </c>
      <c r="S1161" s="26" t="str">
        <f>VLOOKUP(C1161,'[4]Daily Wages '!$B$6:$G$197,6,0)</f>
        <v>06390010159983980010</v>
      </c>
      <c r="T1161" s="25" t="s">
        <v>32</v>
      </c>
      <c r="U1161" s="25" t="s">
        <v>4228</v>
      </c>
      <c r="V1161" s="25"/>
      <c r="W1161" s="27" t="s">
        <v>4250</v>
      </c>
      <c r="X1161" s="28" t="s">
        <v>4251</v>
      </c>
      <c r="Y1161" s="28"/>
      <c r="Z1161" s="29" t="s">
        <v>3390</v>
      </c>
    </row>
    <row r="1162" spans="1:26" ht="30" customHeight="1" thickBot="1" x14ac:dyDescent="0.25">
      <c r="A1162" s="17">
        <f t="shared" si="37"/>
        <v>1161</v>
      </c>
      <c r="B1162" s="18" t="s">
        <v>25</v>
      </c>
      <c r="C1162" s="19">
        <v>3620349884337</v>
      </c>
      <c r="D1162" s="19"/>
      <c r="E1162" s="20">
        <v>44006</v>
      </c>
      <c r="F1162" s="20">
        <v>47658</v>
      </c>
      <c r="G1162" s="21">
        <v>36680</v>
      </c>
      <c r="H1162" s="22">
        <f t="shared" ca="1" si="36"/>
        <v>26</v>
      </c>
      <c r="I1162" s="19" t="s">
        <v>26</v>
      </c>
      <c r="J1162" s="18" t="s">
        <v>27</v>
      </c>
      <c r="K1162" s="18"/>
      <c r="L1162" s="23" t="s">
        <v>3919</v>
      </c>
      <c r="M1162" s="23" t="s">
        <v>4252</v>
      </c>
      <c r="N1162" s="23" t="s">
        <v>1488</v>
      </c>
      <c r="O1162" s="18"/>
      <c r="P1162" s="24"/>
      <c r="Q1162" s="25">
        <v>46064</v>
      </c>
      <c r="R1162" s="13">
        <v>0</v>
      </c>
      <c r="S1162" s="26" t="str">
        <f>VLOOKUP(C1162,'[4]Daily Wages '!$B$6:$G$197,6,0)</f>
        <v>06390010160305360012</v>
      </c>
      <c r="T1162" s="25" t="s">
        <v>32</v>
      </c>
      <c r="U1162" s="25" t="s">
        <v>4228</v>
      </c>
      <c r="V1162" s="25"/>
      <c r="W1162" s="27" t="s">
        <v>4253</v>
      </c>
      <c r="X1162" s="28" t="s">
        <v>4254</v>
      </c>
      <c r="Y1162" s="28"/>
      <c r="Z1162" s="29" t="s">
        <v>3390</v>
      </c>
    </row>
    <row r="1163" spans="1:26" ht="30" customHeight="1" thickBot="1" x14ac:dyDescent="0.25">
      <c r="A1163" s="17">
        <f t="shared" si="37"/>
        <v>1162</v>
      </c>
      <c r="B1163" s="18" t="s">
        <v>25</v>
      </c>
      <c r="C1163" s="19">
        <v>3620310536703</v>
      </c>
      <c r="D1163" s="19"/>
      <c r="E1163" s="20">
        <v>45894</v>
      </c>
      <c r="F1163" s="20">
        <v>49546</v>
      </c>
      <c r="G1163" s="21">
        <v>38473</v>
      </c>
      <c r="H1163" s="22">
        <f t="shared" ca="1" si="36"/>
        <v>21</v>
      </c>
      <c r="I1163" s="19" t="s">
        <v>26</v>
      </c>
      <c r="J1163" s="18" t="s">
        <v>27</v>
      </c>
      <c r="K1163" s="18"/>
      <c r="L1163" s="23" t="s">
        <v>2107</v>
      </c>
      <c r="M1163" s="23" t="s">
        <v>4255</v>
      </c>
      <c r="N1163" s="23" t="s">
        <v>1499</v>
      </c>
      <c r="O1163" s="18"/>
      <c r="P1163" s="24"/>
      <c r="Q1163" s="25">
        <v>46073</v>
      </c>
      <c r="R1163" s="13">
        <v>0</v>
      </c>
      <c r="S1163" s="26" t="str">
        <f>VLOOKUP(C1163,'[4]Daily Wages '!$B$6:$G$197,6,0)</f>
        <v>06390010160510930017</v>
      </c>
      <c r="T1163" s="25" t="s">
        <v>32</v>
      </c>
      <c r="U1163" s="25" t="s">
        <v>4228</v>
      </c>
      <c r="V1163" s="25"/>
      <c r="W1163" s="27" t="s">
        <v>4256</v>
      </c>
      <c r="X1163" s="28" t="s">
        <v>4257</v>
      </c>
      <c r="Y1163" s="28"/>
      <c r="Z1163" s="29" t="s">
        <v>3390</v>
      </c>
    </row>
    <row r="1164" spans="1:26" ht="30" customHeight="1" thickBot="1" x14ac:dyDescent="0.25">
      <c r="A1164" s="17">
        <f t="shared" si="37"/>
        <v>1163</v>
      </c>
      <c r="B1164" s="18" t="s">
        <v>25</v>
      </c>
      <c r="C1164" s="19">
        <v>3110115921787</v>
      </c>
      <c r="D1164" s="19"/>
      <c r="E1164" s="20"/>
      <c r="F1164" s="20"/>
      <c r="G1164" s="21"/>
      <c r="H1164" s="22">
        <f t="shared" ca="1" si="36"/>
        <v>126</v>
      </c>
      <c r="I1164" s="19" t="s">
        <v>26</v>
      </c>
      <c r="J1164" s="18" t="s">
        <v>27</v>
      </c>
      <c r="K1164" s="18"/>
      <c r="L1164" s="23" t="s">
        <v>4258</v>
      </c>
      <c r="M1164" s="23" t="s">
        <v>4259</v>
      </c>
      <c r="N1164" s="23" t="s">
        <v>1499</v>
      </c>
      <c r="O1164" s="18"/>
      <c r="P1164" s="24"/>
      <c r="Q1164" s="25">
        <v>46067</v>
      </c>
      <c r="R1164" s="13">
        <v>0</v>
      </c>
      <c r="S1164" s="26" t="str">
        <f>VLOOKUP(C1164,'[4]Daily Wages '!$B$6:$G$197,6,0)</f>
        <v>06390010159928950017</v>
      </c>
      <c r="T1164" s="25" t="s">
        <v>32</v>
      </c>
      <c r="U1164" s="25" t="s">
        <v>4228</v>
      </c>
      <c r="V1164" s="25"/>
      <c r="W1164" s="27"/>
      <c r="X1164" s="28" t="s">
        <v>4260</v>
      </c>
      <c r="Y1164" s="28"/>
      <c r="Z1164" s="29" t="s">
        <v>3390</v>
      </c>
    </row>
    <row r="1165" spans="1:26" ht="30" customHeight="1" thickBot="1" x14ac:dyDescent="0.25">
      <c r="A1165" s="17">
        <f t="shared" si="37"/>
        <v>1164</v>
      </c>
      <c r="B1165" s="18" t="s">
        <v>25</v>
      </c>
      <c r="C1165" s="19">
        <v>3640283232529</v>
      </c>
      <c r="D1165" s="19"/>
      <c r="E1165" s="20"/>
      <c r="F1165" s="20"/>
      <c r="G1165" s="21"/>
      <c r="H1165" s="22">
        <f t="shared" ca="1" si="36"/>
        <v>126</v>
      </c>
      <c r="I1165" s="19" t="s">
        <v>26</v>
      </c>
      <c r="J1165" s="18" t="s">
        <v>27</v>
      </c>
      <c r="K1165" s="18"/>
      <c r="L1165" s="23" t="s">
        <v>578</v>
      </c>
      <c r="M1165" s="23" t="s">
        <v>695</v>
      </c>
      <c r="N1165" s="23" t="s">
        <v>1499</v>
      </c>
      <c r="O1165" s="18"/>
      <c r="P1165" s="24"/>
      <c r="Q1165" s="25">
        <v>46064</v>
      </c>
      <c r="R1165" s="13">
        <v>0</v>
      </c>
      <c r="S1165" s="26" t="str">
        <f>VLOOKUP(C1165,'[4]Daily Wages '!$B$6:$G$197,6,0)</f>
        <v>06390010110660670019</v>
      </c>
      <c r="T1165" s="25" t="s">
        <v>32</v>
      </c>
      <c r="U1165" s="25" t="s">
        <v>4228</v>
      </c>
      <c r="V1165" s="25"/>
      <c r="W1165" s="27"/>
      <c r="X1165" s="28" t="s">
        <v>4261</v>
      </c>
      <c r="Y1165" s="28"/>
      <c r="Z1165" s="29" t="s">
        <v>3390</v>
      </c>
    </row>
    <row r="1166" spans="1:26" ht="30" customHeight="1" thickBot="1" x14ac:dyDescent="0.25">
      <c r="A1166" s="17">
        <f t="shared" si="37"/>
        <v>1165</v>
      </c>
      <c r="B1166" s="18" t="s">
        <v>25</v>
      </c>
      <c r="C1166" s="19">
        <v>3630344859439</v>
      </c>
      <c r="D1166" s="19"/>
      <c r="E1166" s="20">
        <v>44466</v>
      </c>
      <c r="F1166" s="20">
        <v>48118</v>
      </c>
      <c r="G1166" s="21">
        <v>37847</v>
      </c>
      <c r="H1166" s="22">
        <f t="shared" ca="1" si="36"/>
        <v>22</v>
      </c>
      <c r="I1166" s="19" t="s">
        <v>26</v>
      </c>
      <c r="J1166" s="18" t="s">
        <v>27</v>
      </c>
      <c r="K1166" s="18"/>
      <c r="L1166" s="23" t="s">
        <v>4262</v>
      </c>
      <c r="M1166" s="23" t="s">
        <v>4263</v>
      </c>
      <c r="N1166" s="23" t="s">
        <v>1499</v>
      </c>
      <c r="O1166" s="18"/>
      <c r="P1166" s="24"/>
      <c r="Q1166" s="25">
        <v>46066</v>
      </c>
      <c r="R1166" s="13">
        <v>0</v>
      </c>
      <c r="S1166" s="26" t="str">
        <f>VLOOKUP(C1166,'[4]Daily Wages '!$B$6:$G$197,6,0)</f>
        <v>06390010106606480017</v>
      </c>
      <c r="T1166" s="25" t="s">
        <v>32</v>
      </c>
      <c r="U1166" s="25" t="s">
        <v>4228</v>
      </c>
      <c r="V1166" s="25"/>
      <c r="W1166" s="27" t="s">
        <v>4264</v>
      </c>
      <c r="X1166" s="28" t="s">
        <v>4265</v>
      </c>
      <c r="Y1166" s="28"/>
      <c r="Z1166" s="29" t="s">
        <v>3390</v>
      </c>
    </row>
    <row r="1167" spans="1:26" ht="30" customHeight="1" thickBot="1" x14ac:dyDescent="0.25">
      <c r="A1167" s="17">
        <f t="shared" si="37"/>
        <v>1166</v>
      </c>
      <c r="B1167" s="18" t="s">
        <v>25</v>
      </c>
      <c r="C1167" s="19">
        <v>3630264254247</v>
      </c>
      <c r="D1167" s="19"/>
      <c r="E1167" s="20">
        <v>44799</v>
      </c>
      <c r="F1167" s="20">
        <v>48452</v>
      </c>
      <c r="G1167" s="21">
        <v>32331</v>
      </c>
      <c r="H1167" s="22">
        <f t="shared" ca="1" si="36"/>
        <v>37</v>
      </c>
      <c r="I1167" s="19" t="s">
        <v>26</v>
      </c>
      <c r="J1167" s="18" t="s">
        <v>27</v>
      </c>
      <c r="K1167" s="18"/>
      <c r="L1167" s="23" t="s">
        <v>4266</v>
      </c>
      <c r="M1167" s="23" t="s">
        <v>578</v>
      </c>
      <c r="N1167" s="23" t="s">
        <v>1499</v>
      </c>
      <c r="O1167" s="18"/>
      <c r="P1167" s="24"/>
      <c r="Q1167" s="25">
        <v>46067</v>
      </c>
      <c r="R1167" s="13">
        <v>0</v>
      </c>
      <c r="S1167" s="26" t="str">
        <f>VLOOKUP(C1167,'[4]Daily Wages '!$B$6:$G$197,6,0)</f>
        <v>06390010159930220012</v>
      </c>
      <c r="T1167" s="25" t="s">
        <v>32</v>
      </c>
      <c r="U1167" s="25" t="s">
        <v>4228</v>
      </c>
      <c r="V1167" s="25"/>
      <c r="W1167" s="27" t="s">
        <v>4267</v>
      </c>
      <c r="X1167" s="28" t="s">
        <v>4268</v>
      </c>
      <c r="Y1167" s="28"/>
      <c r="Z1167" s="29" t="s">
        <v>3390</v>
      </c>
    </row>
    <row r="1168" spans="1:26" ht="30" customHeight="1" thickBot="1" x14ac:dyDescent="0.25">
      <c r="A1168" s="17">
        <f t="shared" si="37"/>
        <v>1167</v>
      </c>
      <c r="B1168" s="18" t="s">
        <v>25</v>
      </c>
      <c r="C1168" s="19">
        <v>3640138509823</v>
      </c>
      <c r="D1168" s="19"/>
      <c r="E1168" s="20"/>
      <c r="F1168" s="20"/>
      <c r="G1168" s="21"/>
      <c r="H1168" s="22">
        <f t="shared" ca="1" si="36"/>
        <v>126</v>
      </c>
      <c r="I1168" s="19" t="s">
        <v>26</v>
      </c>
      <c r="J1168" s="18" t="s">
        <v>27</v>
      </c>
      <c r="K1168" s="18"/>
      <c r="L1168" s="23" t="s">
        <v>4269</v>
      </c>
      <c r="M1168" s="23" t="s">
        <v>4270</v>
      </c>
      <c r="N1168" s="23" t="s">
        <v>1499</v>
      </c>
      <c r="O1168" s="18"/>
      <c r="P1168" s="24"/>
      <c r="Q1168" s="25">
        <v>46065</v>
      </c>
      <c r="R1168" s="13">
        <v>0</v>
      </c>
      <c r="S1168" s="26" t="str">
        <f>VLOOKUP(C1168,'[4]Daily Wages '!$B$6:$G$197,6,0)</f>
        <v>06390010160781070010</v>
      </c>
      <c r="T1168" s="25" t="s">
        <v>32</v>
      </c>
      <c r="U1168" s="25" t="s">
        <v>4228</v>
      </c>
      <c r="V1168" s="25"/>
      <c r="W1168" s="27"/>
      <c r="X1168" s="28" t="s">
        <v>4271</v>
      </c>
      <c r="Y1168" s="28"/>
      <c r="Z1168" s="29" t="s">
        <v>3390</v>
      </c>
    </row>
    <row r="1169" spans="1:26" ht="30" customHeight="1" thickBot="1" x14ac:dyDescent="0.25">
      <c r="A1169" s="17">
        <f t="shared" si="37"/>
        <v>1168</v>
      </c>
      <c r="B1169" s="18" t="s">
        <v>25</v>
      </c>
      <c r="C1169" s="19">
        <v>3620206148081</v>
      </c>
      <c r="D1169" s="19"/>
      <c r="E1169" s="20">
        <v>44810</v>
      </c>
      <c r="F1169" s="20">
        <v>48463</v>
      </c>
      <c r="G1169" s="21">
        <v>36066</v>
      </c>
      <c r="H1169" s="22">
        <f t="shared" ca="1" si="36"/>
        <v>27</v>
      </c>
      <c r="I1169" s="19" t="s">
        <v>26</v>
      </c>
      <c r="J1169" s="18" t="s">
        <v>27</v>
      </c>
      <c r="K1169" s="18"/>
      <c r="L1169" s="23" t="s">
        <v>4272</v>
      </c>
      <c r="M1169" s="23" t="s">
        <v>4273</v>
      </c>
      <c r="N1169" s="23" t="s">
        <v>1499</v>
      </c>
      <c r="O1169" s="18"/>
      <c r="P1169" s="24"/>
      <c r="Q1169" s="25">
        <v>46069</v>
      </c>
      <c r="R1169" s="13">
        <v>0</v>
      </c>
      <c r="S1169" s="26"/>
      <c r="T1169" s="25"/>
      <c r="U1169" s="25" t="s">
        <v>4228</v>
      </c>
      <c r="V1169" s="25"/>
      <c r="W1169" s="27" t="s">
        <v>4274</v>
      </c>
      <c r="X1169" s="28" t="s">
        <v>4275</v>
      </c>
      <c r="Y1169" s="28"/>
      <c r="Z1169" s="29" t="s">
        <v>3390</v>
      </c>
    </row>
    <row r="1170" spans="1:26" ht="30" customHeight="1" thickBot="1" x14ac:dyDescent="0.25">
      <c r="A1170" s="17">
        <f t="shared" si="37"/>
        <v>1169</v>
      </c>
      <c r="B1170" s="18" t="s">
        <v>25</v>
      </c>
      <c r="C1170" s="19">
        <v>3240231362497</v>
      </c>
      <c r="D1170" s="19"/>
      <c r="E1170" s="20">
        <v>46090</v>
      </c>
      <c r="F1170" s="20">
        <v>49743</v>
      </c>
      <c r="G1170" s="21">
        <v>34553</v>
      </c>
      <c r="H1170" s="22">
        <f t="shared" ca="1" si="36"/>
        <v>31</v>
      </c>
      <c r="I1170" s="19" t="s">
        <v>26</v>
      </c>
      <c r="J1170" s="18" t="s">
        <v>27</v>
      </c>
      <c r="K1170" s="18"/>
      <c r="L1170" s="23" t="s">
        <v>4276</v>
      </c>
      <c r="M1170" s="23" t="s">
        <v>4277</v>
      </c>
      <c r="N1170" s="23" t="s">
        <v>1488</v>
      </c>
      <c r="O1170" s="18"/>
      <c r="P1170" s="24"/>
      <c r="Q1170" s="25">
        <v>46102</v>
      </c>
      <c r="R1170" s="13">
        <v>0</v>
      </c>
      <c r="S1170" s="26" t="str">
        <f>VLOOKUP(C1170,'[4]Daily Wages '!$B$6:$G$197,6,0)</f>
        <v>08210010161244860018</v>
      </c>
      <c r="T1170" s="25" t="s">
        <v>32</v>
      </c>
      <c r="U1170" s="25" t="s">
        <v>370</v>
      </c>
      <c r="V1170" s="25"/>
      <c r="W1170" s="27" t="s">
        <v>4278</v>
      </c>
      <c r="X1170" s="28"/>
      <c r="Y1170" s="28"/>
      <c r="Z1170" s="29" t="s">
        <v>3390</v>
      </c>
    </row>
    <row r="1171" spans="1:26" ht="30" customHeight="1" thickBot="1" x14ac:dyDescent="0.25">
      <c r="A1171" s="17">
        <f t="shared" si="37"/>
        <v>1170</v>
      </c>
      <c r="B1171" s="18" t="s">
        <v>25</v>
      </c>
      <c r="C1171" s="19">
        <v>3310440461435</v>
      </c>
      <c r="D1171" s="19"/>
      <c r="E1171" s="20">
        <v>44288</v>
      </c>
      <c r="F1171" s="20">
        <v>47940</v>
      </c>
      <c r="G1171" s="21">
        <v>37466</v>
      </c>
      <c r="H1171" s="22">
        <f t="shared" ca="1" si="36"/>
        <v>23</v>
      </c>
      <c r="I1171" s="19" t="s">
        <v>26</v>
      </c>
      <c r="J1171" s="18" t="s">
        <v>27</v>
      </c>
      <c r="K1171" s="18"/>
      <c r="L1171" s="23" t="s">
        <v>4279</v>
      </c>
      <c r="M1171" s="23" t="s">
        <v>842</v>
      </c>
      <c r="N1171" s="24" t="s">
        <v>1295</v>
      </c>
      <c r="O1171" s="18"/>
      <c r="P1171" s="24"/>
      <c r="Q1171" s="25">
        <v>45992</v>
      </c>
      <c r="R1171" s="13">
        <v>0</v>
      </c>
      <c r="S1171" s="26" t="str">
        <f>VLOOKUP(C1171,'[1]Bazaar Salary'!$B$6:$J$1193,9,0)</f>
        <v>07660010150349620010</v>
      </c>
      <c r="T1171" s="25" t="s">
        <v>32</v>
      </c>
      <c r="U1171" s="25" t="s">
        <v>712</v>
      </c>
      <c r="V1171" s="25" t="s">
        <v>3391</v>
      </c>
      <c r="W1171" s="27" t="s">
        <v>4280</v>
      </c>
      <c r="X1171" s="28" t="s">
        <v>735</v>
      </c>
      <c r="Y1171" s="28"/>
      <c r="Z1171" s="29" t="s">
        <v>37</v>
      </c>
    </row>
    <row r="1172" spans="1:26" ht="30" customHeight="1" thickBot="1" x14ac:dyDescent="0.25">
      <c r="A1172" s="17">
        <f t="shared" si="37"/>
        <v>1171</v>
      </c>
      <c r="B1172" s="18" t="s">
        <v>25</v>
      </c>
      <c r="C1172" s="19">
        <v>3310465973913</v>
      </c>
      <c r="D1172" s="19"/>
      <c r="E1172" s="20">
        <v>43469</v>
      </c>
      <c r="F1172" s="20">
        <v>47122</v>
      </c>
      <c r="G1172" s="21">
        <v>36834</v>
      </c>
      <c r="H1172" s="22">
        <f t="shared" ca="1" si="36"/>
        <v>25</v>
      </c>
      <c r="I1172" s="19" t="s">
        <v>26</v>
      </c>
      <c r="J1172" s="18" t="s">
        <v>27</v>
      </c>
      <c r="K1172" s="18"/>
      <c r="L1172" s="23" t="s">
        <v>4281</v>
      </c>
      <c r="M1172" s="23" t="s">
        <v>3364</v>
      </c>
      <c r="N1172" s="23" t="s">
        <v>1295</v>
      </c>
      <c r="O1172" s="18"/>
      <c r="P1172" s="24"/>
      <c r="Q1172" s="25">
        <v>46010</v>
      </c>
      <c r="R1172" s="13">
        <v>0</v>
      </c>
      <c r="S1172" s="26" t="str">
        <f>VLOOKUP(C1172,'[1]Bazaar Salary'!$B$6:$J$1193,9,0)</f>
        <v>01210010074092920015</v>
      </c>
      <c r="T1172" s="25" t="s">
        <v>32</v>
      </c>
      <c r="U1172" s="25" t="s">
        <v>712</v>
      </c>
      <c r="V1172" s="25"/>
      <c r="W1172" s="27" t="s">
        <v>4282</v>
      </c>
      <c r="X1172" s="28" t="s">
        <v>4283</v>
      </c>
      <c r="Y1172" s="28"/>
      <c r="Z1172" s="29" t="s">
        <v>37</v>
      </c>
    </row>
    <row r="1173" spans="1:26" ht="30" customHeight="1" thickBot="1" x14ac:dyDescent="0.25">
      <c r="A1173" s="17">
        <f t="shared" si="37"/>
        <v>1172</v>
      </c>
      <c r="B1173" s="18" t="s">
        <v>25</v>
      </c>
      <c r="C1173" s="19">
        <v>3310426575301</v>
      </c>
      <c r="D1173" s="19"/>
      <c r="E1173" s="20">
        <v>43728</v>
      </c>
      <c r="F1173" s="20">
        <v>47381</v>
      </c>
      <c r="G1173" s="21">
        <v>36526</v>
      </c>
      <c r="H1173" s="22">
        <f t="shared" ca="1" si="36"/>
        <v>26</v>
      </c>
      <c r="I1173" s="19" t="s">
        <v>26</v>
      </c>
      <c r="J1173" s="18" t="s">
        <v>27</v>
      </c>
      <c r="K1173" s="18"/>
      <c r="L1173" s="23" t="s">
        <v>4284</v>
      </c>
      <c r="M1173" s="23" t="s">
        <v>4285</v>
      </c>
      <c r="N1173" s="23" t="s">
        <v>1488</v>
      </c>
      <c r="O1173" s="18"/>
      <c r="P1173" s="24"/>
      <c r="Q1173" s="25">
        <v>45992</v>
      </c>
      <c r="R1173" s="13">
        <v>0</v>
      </c>
      <c r="S1173" s="26" t="str">
        <f>VLOOKUP(C1173,'[1]Bazaar Salary'!$B$6:$J$1193,9,0)</f>
        <v>00060010118811680010</v>
      </c>
      <c r="T1173" s="25" t="s">
        <v>32</v>
      </c>
      <c r="U1173" s="25" t="s">
        <v>712</v>
      </c>
      <c r="V1173" s="25"/>
      <c r="W1173" s="27" t="s">
        <v>4286</v>
      </c>
      <c r="X1173" s="28" t="s">
        <v>4287</v>
      </c>
      <c r="Y1173" s="28"/>
      <c r="Z1173" s="29" t="s">
        <v>37</v>
      </c>
    </row>
    <row r="1174" spans="1:26" ht="30" customHeight="1" thickBot="1" x14ac:dyDescent="0.25">
      <c r="A1174" s="17">
        <f t="shared" si="37"/>
        <v>1173</v>
      </c>
      <c r="B1174" s="18" t="s">
        <v>25</v>
      </c>
      <c r="C1174" s="19">
        <v>3310453466223</v>
      </c>
      <c r="D1174" s="19"/>
      <c r="E1174" s="20">
        <v>43969</v>
      </c>
      <c r="F1174" s="20">
        <v>47621</v>
      </c>
      <c r="G1174" s="21">
        <v>35431</v>
      </c>
      <c r="H1174" s="22">
        <f t="shared" ca="1" si="36"/>
        <v>29</v>
      </c>
      <c r="I1174" s="19" t="s">
        <v>26</v>
      </c>
      <c r="J1174" s="18" t="s">
        <v>27</v>
      </c>
      <c r="K1174" s="18"/>
      <c r="L1174" s="23" t="s">
        <v>1308</v>
      </c>
      <c r="M1174" s="23" t="s">
        <v>99</v>
      </c>
      <c r="N1174" s="23" t="s">
        <v>1488</v>
      </c>
      <c r="O1174" s="18"/>
      <c r="P1174" s="24"/>
      <c r="Q1174" s="25">
        <v>45992</v>
      </c>
      <c r="R1174" s="13">
        <v>0</v>
      </c>
      <c r="S1174" s="26" t="str">
        <f>VLOOKUP(C1174,'[1]Bazaar Salary'!$B$6:$J$1193,9,0)</f>
        <v>00060010104070120023</v>
      </c>
      <c r="T1174" s="25" t="s">
        <v>32</v>
      </c>
      <c r="U1174" s="25" t="s">
        <v>712</v>
      </c>
      <c r="V1174" s="25"/>
      <c r="W1174" s="27" t="s">
        <v>4288</v>
      </c>
      <c r="X1174" s="28" t="s">
        <v>4289</v>
      </c>
      <c r="Y1174" s="28"/>
      <c r="Z1174" s="29" t="s">
        <v>37</v>
      </c>
    </row>
    <row r="1175" spans="1:26" ht="30" customHeight="1" thickBot="1" x14ac:dyDescent="0.25">
      <c r="A1175" s="17">
        <f t="shared" si="37"/>
        <v>1174</v>
      </c>
      <c r="B1175" s="18" t="s">
        <v>25</v>
      </c>
      <c r="C1175" s="19">
        <v>3310494341413</v>
      </c>
      <c r="D1175" s="19"/>
      <c r="E1175" s="20">
        <v>45119</v>
      </c>
      <c r="F1175" s="20">
        <v>48772</v>
      </c>
      <c r="G1175" s="21">
        <v>35919</v>
      </c>
      <c r="H1175" s="22">
        <f t="shared" ca="1" si="36"/>
        <v>28</v>
      </c>
      <c r="I1175" s="19" t="s">
        <v>26</v>
      </c>
      <c r="J1175" s="18" t="s">
        <v>27</v>
      </c>
      <c r="K1175" s="18"/>
      <c r="L1175" s="23" t="s">
        <v>4290</v>
      </c>
      <c r="M1175" s="23" t="s">
        <v>4291</v>
      </c>
      <c r="N1175" s="23" t="s">
        <v>1488</v>
      </c>
      <c r="O1175" s="18"/>
      <c r="P1175" s="24"/>
      <c r="Q1175" s="25">
        <v>45992</v>
      </c>
      <c r="R1175" s="13">
        <v>0</v>
      </c>
      <c r="S1175" s="26" t="str">
        <f>VLOOKUP(C1175,'[1]Bazaar Salary'!$B$6:$J$1193,9,0)</f>
        <v>53680020153615490016</v>
      </c>
      <c r="T1175" s="25" t="s">
        <v>32</v>
      </c>
      <c r="U1175" s="25" t="s">
        <v>712</v>
      </c>
      <c r="V1175" s="25"/>
      <c r="W1175" s="27" t="s">
        <v>4292</v>
      </c>
      <c r="X1175" s="28" t="s">
        <v>4293</v>
      </c>
      <c r="Y1175" s="28"/>
      <c r="Z1175" s="29" t="s">
        <v>37</v>
      </c>
    </row>
    <row r="1176" spans="1:26" ht="30" customHeight="1" thickBot="1" x14ac:dyDescent="0.25">
      <c r="A1176" s="17">
        <f t="shared" si="37"/>
        <v>1175</v>
      </c>
      <c r="B1176" s="18" t="s">
        <v>25</v>
      </c>
      <c r="C1176" s="19">
        <v>3310422556235</v>
      </c>
      <c r="D1176" s="19"/>
      <c r="E1176" s="20">
        <v>44686</v>
      </c>
      <c r="F1176" s="20">
        <v>48339</v>
      </c>
      <c r="G1176" s="21">
        <v>36342</v>
      </c>
      <c r="H1176" s="22">
        <f t="shared" ca="1" si="36"/>
        <v>26</v>
      </c>
      <c r="I1176" s="19" t="s">
        <v>26</v>
      </c>
      <c r="J1176" s="18" t="s">
        <v>27</v>
      </c>
      <c r="K1176" s="18"/>
      <c r="L1176" s="23" t="s">
        <v>4294</v>
      </c>
      <c r="M1176" s="23" t="s">
        <v>414</v>
      </c>
      <c r="N1176" s="23" t="s">
        <v>1488</v>
      </c>
      <c r="O1176" s="18"/>
      <c r="P1176" s="24"/>
      <c r="Q1176" s="25">
        <v>45992</v>
      </c>
      <c r="R1176" s="13">
        <v>0</v>
      </c>
      <c r="S1176" s="26" t="str">
        <f>VLOOKUP(C1176,'[1]Bazaar Salary'!$B$6:$J$1193,9,0)</f>
        <v>01210010155368140014</v>
      </c>
      <c r="T1176" s="25" t="s">
        <v>32</v>
      </c>
      <c r="U1176" s="25" t="s">
        <v>712</v>
      </c>
      <c r="V1176" s="25"/>
      <c r="W1176" s="27" t="s">
        <v>4295</v>
      </c>
      <c r="X1176" s="28" t="s">
        <v>4296</v>
      </c>
      <c r="Y1176" s="28"/>
      <c r="Z1176" s="29" t="s">
        <v>37</v>
      </c>
    </row>
    <row r="1177" spans="1:26" ht="30" customHeight="1" thickBot="1" x14ac:dyDescent="0.25">
      <c r="A1177" s="17">
        <f t="shared" si="37"/>
        <v>1176</v>
      </c>
      <c r="B1177" s="18" t="s">
        <v>25</v>
      </c>
      <c r="C1177" s="19">
        <v>3310446094273</v>
      </c>
      <c r="D1177" s="19"/>
      <c r="E1177" s="20">
        <v>45340</v>
      </c>
      <c r="F1177" s="20">
        <v>48993</v>
      </c>
      <c r="G1177" s="21">
        <v>38696</v>
      </c>
      <c r="H1177" s="22">
        <f t="shared" ca="1" si="36"/>
        <v>20</v>
      </c>
      <c r="I1177" s="19" t="s">
        <v>26</v>
      </c>
      <c r="J1177" s="18" t="s">
        <v>27</v>
      </c>
      <c r="K1177" s="18"/>
      <c r="L1177" s="23" t="s">
        <v>4297</v>
      </c>
      <c r="M1177" s="23" t="s">
        <v>4298</v>
      </c>
      <c r="N1177" s="23" t="s">
        <v>1499</v>
      </c>
      <c r="O1177" s="18"/>
      <c r="P1177" s="24"/>
      <c r="Q1177" s="25">
        <v>45992</v>
      </c>
      <c r="R1177" s="13">
        <v>0</v>
      </c>
      <c r="S1177" s="26" t="str">
        <f>VLOOKUP(C1177,'[1]Bazaar Salary'!$B$6:$J$1193,9,0)</f>
        <v>53680020154070520015</v>
      </c>
      <c r="T1177" s="25" t="s">
        <v>32</v>
      </c>
      <c r="U1177" s="25" t="s">
        <v>712</v>
      </c>
      <c r="V1177" s="25"/>
      <c r="W1177" s="27" t="s">
        <v>4299</v>
      </c>
      <c r="X1177" s="28" t="s">
        <v>4300</v>
      </c>
      <c r="Y1177" s="28"/>
      <c r="Z1177" s="29" t="s">
        <v>37</v>
      </c>
    </row>
    <row r="1178" spans="1:26" ht="30" customHeight="1" thickBot="1" x14ac:dyDescent="0.25">
      <c r="A1178" s="17">
        <f t="shared" si="37"/>
        <v>1177</v>
      </c>
      <c r="B1178" s="18" t="s">
        <v>25</v>
      </c>
      <c r="C1178" s="19">
        <v>3310409445709</v>
      </c>
      <c r="D1178" s="19"/>
      <c r="E1178" s="20">
        <v>45048</v>
      </c>
      <c r="F1178" s="20">
        <v>48701</v>
      </c>
      <c r="G1178" s="21">
        <v>32579</v>
      </c>
      <c r="H1178" s="22">
        <f t="shared" ca="1" si="36"/>
        <v>37</v>
      </c>
      <c r="I1178" s="19" t="s">
        <v>26</v>
      </c>
      <c r="J1178" s="18" t="s">
        <v>27</v>
      </c>
      <c r="K1178" s="18"/>
      <c r="L1178" s="23" t="s">
        <v>4301</v>
      </c>
      <c r="M1178" s="23" t="s">
        <v>491</v>
      </c>
      <c r="N1178" s="23" t="s">
        <v>1499</v>
      </c>
      <c r="O1178" s="18"/>
      <c r="P1178" s="24"/>
      <c r="Q1178" s="25">
        <v>45992</v>
      </c>
      <c r="R1178" s="13">
        <v>0</v>
      </c>
      <c r="S1178" s="26" t="str">
        <f>VLOOKUP(C1178,'[1]Bazaar Salary'!$B$6:$J$1193,9,0)</f>
        <v>53680020153742180010</v>
      </c>
      <c r="T1178" s="25" t="s">
        <v>32</v>
      </c>
      <c r="U1178" s="25" t="s">
        <v>712</v>
      </c>
      <c r="V1178" s="25"/>
      <c r="W1178" s="27" t="s">
        <v>4302</v>
      </c>
      <c r="X1178" s="28" t="s">
        <v>4303</v>
      </c>
      <c r="Y1178" s="28"/>
      <c r="Z1178" s="29" t="s">
        <v>37</v>
      </c>
    </row>
    <row r="1179" spans="1:26" ht="30" customHeight="1" thickBot="1" x14ac:dyDescent="0.25">
      <c r="A1179" s="17">
        <f t="shared" si="37"/>
        <v>1178</v>
      </c>
      <c r="B1179" s="18" t="s">
        <v>25</v>
      </c>
      <c r="C1179" s="19">
        <v>3310464954117</v>
      </c>
      <c r="D1179" s="19"/>
      <c r="E1179" s="20">
        <v>42827</v>
      </c>
      <c r="F1179" s="20">
        <v>46479</v>
      </c>
      <c r="G1179" s="21">
        <v>31199</v>
      </c>
      <c r="H1179" s="22">
        <f t="shared" ca="1" si="36"/>
        <v>41</v>
      </c>
      <c r="I1179" s="19" t="s">
        <v>912</v>
      </c>
      <c r="J1179" s="18" t="s">
        <v>27</v>
      </c>
      <c r="K1179" s="18"/>
      <c r="L1179" s="23" t="s">
        <v>4304</v>
      </c>
      <c r="M1179" s="23" t="s">
        <v>4305</v>
      </c>
      <c r="N1179" s="23" t="s">
        <v>1488</v>
      </c>
      <c r="O1179" s="18"/>
      <c r="P1179" s="24"/>
      <c r="Q1179" s="25">
        <v>46080</v>
      </c>
      <c r="R1179" s="13">
        <v>0</v>
      </c>
      <c r="S1179" s="26" t="str">
        <f>VLOOKUP(C1179,'[4]Daily Wages '!$B$6:$G$197,6,0)</f>
        <v>53680020160604650017</v>
      </c>
      <c r="T1179" s="25" t="s">
        <v>32</v>
      </c>
      <c r="U1179" s="25" t="s">
        <v>712</v>
      </c>
      <c r="V1179" s="25"/>
      <c r="W1179" s="27" t="s">
        <v>4306</v>
      </c>
      <c r="X1179" s="28" t="s">
        <v>4307</v>
      </c>
      <c r="Y1179" s="28"/>
      <c r="Z1179" s="29" t="s">
        <v>3390</v>
      </c>
    </row>
    <row r="1180" spans="1:26" ht="30" customHeight="1" thickBot="1" x14ac:dyDescent="0.25">
      <c r="A1180" s="17">
        <f t="shared" si="37"/>
        <v>1179</v>
      </c>
      <c r="B1180" s="18" t="s">
        <v>25</v>
      </c>
      <c r="C1180" s="19">
        <v>3650267351397</v>
      </c>
      <c r="D1180" s="19"/>
      <c r="E1180" s="20">
        <v>43133</v>
      </c>
      <c r="F1180" s="20">
        <v>46785</v>
      </c>
      <c r="G1180" s="21">
        <v>36617</v>
      </c>
      <c r="H1180" s="22">
        <f t="shared" ca="1" si="36"/>
        <v>26</v>
      </c>
      <c r="I1180" s="19" t="s">
        <v>26</v>
      </c>
      <c r="J1180" s="18" t="s">
        <v>27</v>
      </c>
      <c r="K1180" s="18"/>
      <c r="L1180" s="23" t="s">
        <v>413</v>
      </c>
      <c r="M1180" s="23" t="s">
        <v>4308</v>
      </c>
      <c r="N1180" s="23" t="s">
        <v>1499</v>
      </c>
      <c r="O1180" s="18"/>
      <c r="P1180" s="24"/>
      <c r="Q1180" s="25">
        <v>46070</v>
      </c>
      <c r="R1180" s="13">
        <v>0</v>
      </c>
      <c r="S1180" s="26" t="str">
        <f>VLOOKUP(C1180,'[4]Daily Wages '!$B$6:$G$197,6,0)</f>
        <v>53680020160500240019</v>
      </c>
      <c r="T1180" s="25" t="s">
        <v>32</v>
      </c>
      <c r="U1180" s="25" t="s">
        <v>712</v>
      </c>
      <c r="V1180" s="25"/>
      <c r="W1180" s="27" t="s">
        <v>4309</v>
      </c>
      <c r="X1180" s="28" t="s">
        <v>4310</v>
      </c>
      <c r="Y1180" s="28"/>
      <c r="Z1180" s="29" t="s">
        <v>3390</v>
      </c>
    </row>
    <row r="1181" spans="1:26" ht="30" customHeight="1" thickBot="1" x14ac:dyDescent="0.25">
      <c r="A1181" s="17">
        <f t="shared" si="37"/>
        <v>1180</v>
      </c>
      <c r="B1181" s="18" t="s">
        <v>25</v>
      </c>
      <c r="C1181" s="19">
        <v>3310401525367</v>
      </c>
      <c r="D1181" s="19"/>
      <c r="E1181" s="20">
        <v>45706</v>
      </c>
      <c r="F1181" s="20">
        <v>49358</v>
      </c>
      <c r="G1181" s="21">
        <v>30848</v>
      </c>
      <c r="H1181" s="22">
        <f t="shared" ca="1" si="36"/>
        <v>42</v>
      </c>
      <c r="I1181" s="19" t="s">
        <v>26</v>
      </c>
      <c r="J1181" s="18" t="s">
        <v>27</v>
      </c>
      <c r="K1181" s="18"/>
      <c r="L1181" s="23" t="s">
        <v>4311</v>
      </c>
      <c r="M1181" s="23" t="s">
        <v>1562</v>
      </c>
      <c r="N1181" s="23" t="s">
        <v>1499</v>
      </c>
      <c r="O1181" s="18"/>
      <c r="P1181" s="24"/>
      <c r="Q1181" s="25">
        <v>46080</v>
      </c>
      <c r="R1181" s="13">
        <v>0</v>
      </c>
      <c r="S1181" s="26" t="str">
        <f>VLOOKUP(C1181,'[4]Daily Wages '!$B$6:$G$197,6,0)</f>
        <v>53680020160680070016</v>
      </c>
      <c r="T1181" s="25" t="s">
        <v>32</v>
      </c>
      <c r="U1181" s="25" t="s">
        <v>712</v>
      </c>
      <c r="V1181" s="25"/>
      <c r="W1181" s="27" t="s">
        <v>4312</v>
      </c>
      <c r="X1181" s="28" t="s">
        <v>4313</v>
      </c>
      <c r="Y1181" s="28"/>
      <c r="Z1181" s="29" t="s">
        <v>3390</v>
      </c>
    </row>
    <row r="1182" spans="1:26" ht="30" customHeight="1" thickBot="1" x14ac:dyDescent="0.25">
      <c r="A1182" s="17">
        <f t="shared" si="37"/>
        <v>1181</v>
      </c>
      <c r="B1182" s="18" t="s">
        <v>25</v>
      </c>
      <c r="C1182" s="19">
        <v>3320245208571</v>
      </c>
      <c r="D1182" s="19"/>
      <c r="E1182" s="20"/>
      <c r="F1182" s="20"/>
      <c r="G1182" s="21"/>
      <c r="H1182" s="22">
        <f t="shared" ca="1" si="36"/>
        <v>126</v>
      </c>
      <c r="I1182" s="19" t="s">
        <v>26</v>
      </c>
      <c r="J1182" s="18" t="s">
        <v>27</v>
      </c>
      <c r="K1182" s="18"/>
      <c r="L1182" s="23" t="s">
        <v>4314</v>
      </c>
      <c r="M1182" s="23" t="s">
        <v>4315</v>
      </c>
      <c r="N1182" s="23" t="s">
        <v>1499</v>
      </c>
      <c r="O1182" s="18"/>
      <c r="P1182" s="24"/>
      <c r="Q1182" s="25">
        <v>46070</v>
      </c>
      <c r="R1182" s="13">
        <v>0</v>
      </c>
      <c r="S1182" s="26" t="str">
        <f>VLOOKUP(C1182,'[4]Daily Wages '!$B$6:$G$197,6,0)</f>
        <v>53680020160498680016</v>
      </c>
      <c r="T1182" s="25" t="s">
        <v>32</v>
      </c>
      <c r="U1182" s="25" t="s">
        <v>712</v>
      </c>
      <c r="V1182" s="25"/>
      <c r="W1182" s="27"/>
      <c r="X1182" s="28" t="s">
        <v>4316</v>
      </c>
      <c r="Y1182" s="28"/>
      <c r="Z1182" s="29" t="s">
        <v>3390</v>
      </c>
    </row>
    <row r="1183" spans="1:26" ht="30" customHeight="1" thickBot="1" x14ac:dyDescent="0.25">
      <c r="A1183" s="17">
        <f t="shared" si="37"/>
        <v>1182</v>
      </c>
      <c r="B1183" s="18" t="s">
        <v>25</v>
      </c>
      <c r="C1183" s="19">
        <v>3320260577891</v>
      </c>
      <c r="D1183" s="19"/>
      <c r="E1183" s="20">
        <v>45908</v>
      </c>
      <c r="F1183" s="20">
        <v>49560</v>
      </c>
      <c r="G1183" s="21">
        <v>32462</v>
      </c>
      <c r="H1183" s="22">
        <f t="shared" ca="1" si="36"/>
        <v>37</v>
      </c>
      <c r="I1183" s="19" t="s">
        <v>26</v>
      </c>
      <c r="J1183" s="18" t="s">
        <v>27</v>
      </c>
      <c r="K1183" s="18"/>
      <c r="L1183" s="23" t="s">
        <v>4317</v>
      </c>
      <c r="M1183" s="23" t="s">
        <v>842</v>
      </c>
      <c r="N1183" s="24" t="s">
        <v>457</v>
      </c>
      <c r="O1183" s="18"/>
      <c r="P1183" s="24"/>
      <c r="Q1183" s="25">
        <v>46023</v>
      </c>
      <c r="R1183" s="13">
        <v>0</v>
      </c>
      <c r="S1183" s="26" t="str">
        <f>VLOOKUP(C1183,'[1]Bazaar Salary'!$B$6:$J$1193,9,0)</f>
        <v>11330010134754860010</v>
      </c>
      <c r="T1183" s="25" t="s">
        <v>32</v>
      </c>
      <c r="U1183" s="25" t="s">
        <v>721</v>
      </c>
      <c r="V1183" s="25"/>
      <c r="W1183" s="27" t="s">
        <v>4318</v>
      </c>
      <c r="X1183" s="28" t="s">
        <v>4319</v>
      </c>
      <c r="Y1183" s="28"/>
      <c r="Z1183" s="29" t="s">
        <v>37</v>
      </c>
    </row>
    <row r="1184" spans="1:26" ht="30" customHeight="1" thickBot="1" x14ac:dyDescent="0.25">
      <c r="A1184" s="17">
        <f t="shared" si="37"/>
        <v>1183</v>
      </c>
      <c r="B1184" s="18" t="s">
        <v>25</v>
      </c>
      <c r="C1184" s="19">
        <v>3320245974637</v>
      </c>
      <c r="D1184" s="19">
        <v>1906</v>
      </c>
      <c r="E1184" s="20">
        <v>45659</v>
      </c>
      <c r="F1184" s="20">
        <v>49311</v>
      </c>
      <c r="G1184" s="21">
        <v>39071</v>
      </c>
      <c r="H1184" s="22">
        <f t="shared" ca="1" si="36"/>
        <v>19</v>
      </c>
      <c r="I1184" s="19" t="s">
        <v>26</v>
      </c>
      <c r="J1184" s="18" t="s">
        <v>27</v>
      </c>
      <c r="K1184" s="18"/>
      <c r="L1184" s="23" t="s">
        <v>4320</v>
      </c>
      <c r="M1184" s="23" t="s">
        <v>4321</v>
      </c>
      <c r="N1184" s="23" t="s">
        <v>1499</v>
      </c>
      <c r="O1184" s="18"/>
      <c r="P1184" s="24"/>
      <c r="Q1184" s="25">
        <v>45992</v>
      </c>
      <c r="R1184" s="13">
        <v>0</v>
      </c>
      <c r="S1184" s="26" t="str">
        <f>VLOOKUP(C1184,'[1]Bazaar Salary'!$B$6:$J$1193,9,0)</f>
        <v>06480020148442760010</v>
      </c>
      <c r="T1184" s="25" t="s">
        <v>32</v>
      </c>
      <c r="U1184" s="25" t="s">
        <v>721</v>
      </c>
      <c r="V1184" s="25" t="s">
        <v>884</v>
      </c>
      <c r="W1184" s="27" t="s">
        <v>4322</v>
      </c>
      <c r="X1184" s="28" t="s">
        <v>4323</v>
      </c>
      <c r="Y1184" s="28"/>
      <c r="Z1184" s="29" t="s">
        <v>37</v>
      </c>
    </row>
    <row r="1185" spans="1:26" ht="30" customHeight="1" thickBot="1" x14ac:dyDescent="0.25">
      <c r="A1185" s="17">
        <f t="shared" si="37"/>
        <v>1184</v>
      </c>
      <c r="B1185" s="18" t="s">
        <v>25</v>
      </c>
      <c r="C1185" s="19">
        <v>3310261546655</v>
      </c>
      <c r="D1185" s="19">
        <v>1950</v>
      </c>
      <c r="E1185" s="20">
        <v>45223</v>
      </c>
      <c r="F1185" s="20">
        <v>48876</v>
      </c>
      <c r="G1185" s="21">
        <v>38448</v>
      </c>
      <c r="H1185" s="22">
        <f t="shared" ca="1" si="36"/>
        <v>21</v>
      </c>
      <c r="I1185" s="19" t="s">
        <v>26</v>
      </c>
      <c r="J1185" s="18" t="s">
        <v>27</v>
      </c>
      <c r="K1185" s="18"/>
      <c r="L1185" s="23" t="s">
        <v>4034</v>
      </c>
      <c r="M1185" s="23" t="s">
        <v>4324</v>
      </c>
      <c r="N1185" s="23" t="s">
        <v>1295</v>
      </c>
      <c r="O1185" s="18"/>
      <c r="P1185" s="24"/>
      <c r="Q1185" s="25">
        <v>45992</v>
      </c>
      <c r="R1185" s="13">
        <v>0</v>
      </c>
      <c r="S1185" s="26" t="str">
        <f>VLOOKUP(C1185,'[1]Bazaar Salary'!$B$6:$J$1193,9,0)</f>
        <v>04900010152261990019</v>
      </c>
      <c r="T1185" s="25" t="s">
        <v>32</v>
      </c>
      <c r="U1185" s="25" t="s">
        <v>219</v>
      </c>
      <c r="V1185" s="25" t="s">
        <v>3391</v>
      </c>
      <c r="W1185" s="27" t="s">
        <v>4325</v>
      </c>
      <c r="X1185" s="28" t="s">
        <v>4326</v>
      </c>
      <c r="Y1185" s="28"/>
      <c r="Z1185" s="29" t="s">
        <v>37</v>
      </c>
    </row>
    <row r="1186" spans="1:26" ht="30" customHeight="1" thickBot="1" x14ac:dyDescent="0.25">
      <c r="A1186" s="17">
        <f t="shared" si="37"/>
        <v>1185</v>
      </c>
      <c r="B1186" s="18" t="s">
        <v>25</v>
      </c>
      <c r="C1186" s="19">
        <v>3310296273411</v>
      </c>
      <c r="D1186" s="19"/>
      <c r="E1186" s="20">
        <v>43048</v>
      </c>
      <c r="F1186" s="20">
        <v>46700</v>
      </c>
      <c r="G1186" s="21">
        <v>35991</v>
      </c>
      <c r="H1186" s="22">
        <f t="shared" ca="1" si="36"/>
        <v>27</v>
      </c>
      <c r="I1186" s="19" t="s">
        <v>26</v>
      </c>
      <c r="J1186" s="18" t="s">
        <v>27</v>
      </c>
      <c r="K1186" s="18"/>
      <c r="L1186" s="23" t="s">
        <v>4327</v>
      </c>
      <c r="M1186" s="23" t="s">
        <v>409</v>
      </c>
      <c r="N1186" s="23" t="s">
        <v>1295</v>
      </c>
      <c r="O1186" s="18"/>
      <c r="P1186" s="24"/>
      <c r="Q1186" s="25">
        <v>45992</v>
      </c>
      <c r="R1186" s="13">
        <v>0</v>
      </c>
      <c r="S1186" s="26" t="str">
        <f>VLOOKUP(C1186,'[1]Bazaar Salary'!$B$6:$J$1193,9,0)</f>
        <v>09380010062880660020</v>
      </c>
      <c r="T1186" s="25" t="s">
        <v>32</v>
      </c>
      <c r="U1186" s="25" t="s">
        <v>219</v>
      </c>
      <c r="V1186" s="25" t="s">
        <v>3391</v>
      </c>
      <c r="W1186" s="27" t="s">
        <v>4328</v>
      </c>
      <c r="X1186" s="28" t="s">
        <v>4329</v>
      </c>
      <c r="Y1186" s="28"/>
      <c r="Z1186" s="29" t="s">
        <v>37</v>
      </c>
    </row>
    <row r="1187" spans="1:26" ht="30" customHeight="1" thickBot="1" x14ac:dyDescent="0.25">
      <c r="A1187" s="17">
        <f t="shared" si="37"/>
        <v>1186</v>
      </c>
      <c r="B1187" s="18" t="s">
        <v>25</v>
      </c>
      <c r="C1187" s="19">
        <v>3320273892071</v>
      </c>
      <c r="D1187" s="19">
        <v>1858</v>
      </c>
      <c r="E1187" s="20">
        <v>43914</v>
      </c>
      <c r="F1187" s="20">
        <v>47566</v>
      </c>
      <c r="G1187" s="21">
        <v>36224</v>
      </c>
      <c r="H1187" s="22">
        <f t="shared" ca="1" si="36"/>
        <v>27</v>
      </c>
      <c r="I1187" s="19" t="s">
        <v>26</v>
      </c>
      <c r="J1187" s="18" t="s">
        <v>27</v>
      </c>
      <c r="K1187" s="18"/>
      <c r="L1187" s="23" t="s">
        <v>4330</v>
      </c>
      <c r="M1187" s="23" t="s">
        <v>1837</v>
      </c>
      <c r="N1187" s="23" t="s">
        <v>1499</v>
      </c>
      <c r="O1187" s="18"/>
      <c r="P1187" s="24"/>
      <c r="Q1187" s="25">
        <v>45992</v>
      </c>
      <c r="R1187" s="13">
        <v>0</v>
      </c>
      <c r="S1187" s="26" t="str">
        <f>VLOOKUP(C1187,'[1]Bazaar Salary'!$B$6:$J$1193,9,0)</f>
        <v>04310010144524770018</v>
      </c>
      <c r="T1187" s="25" t="s">
        <v>32</v>
      </c>
      <c r="U1187" s="25" t="s">
        <v>219</v>
      </c>
      <c r="V1187" s="25"/>
      <c r="W1187" s="27" t="s">
        <v>4331</v>
      </c>
      <c r="X1187" s="28" t="s">
        <v>4332</v>
      </c>
      <c r="Y1187" s="28"/>
      <c r="Z1187" s="29" t="s">
        <v>37</v>
      </c>
    </row>
    <row r="1188" spans="1:26" ht="30" customHeight="1" thickBot="1" x14ac:dyDescent="0.25">
      <c r="A1188" s="17">
        <f t="shared" si="37"/>
        <v>1187</v>
      </c>
      <c r="B1188" s="18" t="s">
        <v>25</v>
      </c>
      <c r="C1188" s="19">
        <v>3110161641769</v>
      </c>
      <c r="D1188" s="19">
        <v>1857</v>
      </c>
      <c r="E1188" s="20">
        <v>44970</v>
      </c>
      <c r="F1188" s="20">
        <v>48623</v>
      </c>
      <c r="G1188" s="21">
        <v>34335</v>
      </c>
      <c r="H1188" s="22">
        <f t="shared" ca="1" si="36"/>
        <v>32</v>
      </c>
      <c r="I1188" s="19" t="s">
        <v>26</v>
      </c>
      <c r="J1188" s="18" t="s">
        <v>27</v>
      </c>
      <c r="K1188" s="18"/>
      <c r="L1188" s="23" t="s">
        <v>4333</v>
      </c>
      <c r="M1188" s="23" t="s">
        <v>1290</v>
      </c>
      <c r="N1188" s="23" t="s">
        <v>1499</v>
      </c>
      <c r="O1188" s="18"/>
      <c r="P1188" s="24"/>
      <c r="Q1188" s="25">
        <v>45992</v>
      </c>
      <c r="R1188" s="13">
        <v>0</v>
      </c>
      <c r="S1188" s="26" t="str">
        <f>VLOOKUP(C1188,'[1]Bazaar Salary'!$B$6:$J$1193,9,0)</f>
        <v>00660010145151860016</v>
      </c>
      <c r="T1188" s="25" t="s">
        <v>32</v>
      </c>
      <c r="U1188" s="25" t="s">
        <v>219</v>
      </c>
      <c r="V1188" s="25"/>
      <c r="W1188" s="27" t="s">
        <v>4334</v>
      </c>
      <c r="X1188" s="28" t="s">
        <v>4335</v>
      </c>
      <c r="Y1188" s="28"/>
      <c r="Z1188" s="29" t="s">
        <v>37</v>
      </c>
    </row>
    <row r="1189" spans="1:26" ht="30" customHeight="1" thickBot="1" x14ac:dyDescent="0.25">
      <c r="A1189" s="17">
        <f t="shared" si="37"/>
        <v>1188</v>
      </c>
      <c r="B1189" s="18" t="s">
        <v>25</v>
      </c>
      <c r="C1189" s="19">
        <v>3520234687635</v>
      </c>
      <c r="D1189" s="19"/>
      <c r="E1189" s="20">
        <v>44865</v>
      </c>
      <c r="F1189" s="20">
        <v>48518</v>
      </c>
      <c r="G1189" s="21">
        <v>38253</v>
      </c>
      <c r="H1189" s="22">
        <f t="shared" ca="1" si="36"/>
        <v>21</v>
      </c>
      <c r="I1189" s="19" t="s">
        <v>26</v>
      </c>
      <c r="J1189" s="18" t="s">
        <v>27</v>
      </c>
      <c r="K1189" s="18"/>
      <c r="L1189" s="23" t="s">
        <v>4336</v>
      </c>
      <c r="M1189" s="23" t="s">
        <v>4337</v>
      </c>
      <c r="N1189" s="23" t="s">
        <v>1295</v>
      </c>
      <c r="O1189" s="18"/>
      <c r="P1189" s="24"/>
      <c r="Q1189" s="25">
        <v>46039</v>
      </c>
      <c r="R1189" s="13">
        <v>0</v>
      </c>
      <c r="S1189" s="26" t="str">
        <f>VLOOKUP(C1189,'[1]Bazaar Salary'!$B$6:$J$1193,9,0)</f>
        <v>07660010158404110010</v>
      </c>
      <c r="T1189" s="25" t="s">
        <v>32</v>
      </c>
      <c r="U1189" s="25" t="s">
        <v>376</v>
      </c>
      <c r="V1189" s="25"/>
      <c r="W1189" s="27" t="s">
        <v>4338</v>
      </c>
      <c r="X1189" s="28" t="s">
        <v>4339</v>
      </c>
      <c r="Y1189" s="28"/>
      <c r="Z1189" s="29" t="s">
        <v>37</v>
      </c>
    </row>
    <row r="1190" spans="1:26" ht="30" customHeight="1" thickBot="1" x14ac:dyDescent="0.25">
      <c r="A1190" s="17">
        <f t="shared" si="37"/>
        <v>1189</v>
      </c>
      <c r="B1190" s="18" t="s">
        <v>25</v>
      </c>
      <c r="C1190" s="19">
        <v>3520213584359</v>
      </c>
      <c r="D1190" s="19"/>
      <c r="E1190" s="20">
        <v>43537</v>
      </c>
      <c r="F1190" s="20">
        <v>47190</v>
      </c>
      <c r="G1190" s="21">
        <v>35855</v>
      </c>
      <c r="H1190" s="22">
        <f t="shared" ca="1" si="36"/>
        <v>28</v>
      </c>
      <c r="I1190" s="19" t="s">
        <v>26</v>
      </c>
      <c r="J1190" s="18" t="s">
        <v>27</v>
      </c>
      <c r="K1190" s="18"/>
      <c r="L1190" s="23" t="s">
        <v>4340</v>
      </c>
      <c r="M1190" s="23" t="s">
        <v>4341</v>
      </c>
      <c r="N1190" s="23" t="s">
        <v>457</v>
      </c>
      <c r="O1190" s="18"/>
      <c r="P1190" s="24"/>
      <c r="Q1190" s="25">
        <v>46039</v>
      </c>
      <c r="R1190" s="13">
        <v>0</v>
      </c>
      <c r="S1190" s="26" t="str">
        <f>VLOOKUP(C1190,'[1]Bazaar Salary'!$B$6:$J$1193,9,0)</f>
        <v>02880010159099570016</v>
      </c>
      <c r="T1190" s="25" t="s">
        <v>32</v>
      </c>
      <c r="U1190" s="25" t="s">
        <v>376</v>
      </c>
      <c r="V1190" s="25"/>
      <c r="W1190" s="27" t="s">
        <v>4342</v>
      </c>
      <c r="X1190" s="28" t="s">
        <v>4343</v>
      </c>
      <c r="Y1190" s="28"/>
      <c r="Z1190" s="29" t="s">
        <v>37</v>
      </c>
    </row>
    <row r="1191" spans="1:26" ht="30" customHeight="1" thickBot="1" x14ac:dyDescent="0.25">
      <c r="A1191" s="17">
        <f t="shared" si="37"/>
        <v>1190</v>
      </c>
      <c r="B1191" s="18" t="s">
        <v>25</v>
      </c>
      <c r="C1191" s="19">
        <v>3520403799751</v>
      </c>
      <c r="D1191" s="19"/>
      <c r="E1191" s="20">
        <v>45593</v>
      </c>
      <c r="F1191" s="20">
        <v>49245</v>
      </c>
      <c r="G1191" s="21">
        <v>36887</v>
      </c>
      <c r="H1191" s="22">
        <f t="shared" ca="1" si="36"/>
        <v>25</v>
      </c>
      <c r="I1191" s="19" t="s">
        <v>26</v>
      </c>
      <c r="J1191" s="18" t="s">
        <v>27</v>
      </c>
      <c r="K1191" s="18"/>
      <c r="L1191" s="23" t="s">
        <v>4344</v>
      </c>
      <c r="M1191" s="23" t="s">
        <v>1100</v>
      </c>
      <c r="N1191" s="23" t="s">
        <v>457</v>
      </c>
      <c r="O1191" s="18"/>
      <c r="P1191" s="24"/>
      <c r="Q1191" s="25">
        <v>46087</v>
      </c>
      <c r="R1191" s="13">
        <v>0</v>
      </c>
      <c r="S1191" s="26" t="str">
        <f>VLOOKUP(C1191,'[3]May-26'!$B$5:$H$89,7,0)</f>
        <v>11950010160953870017</v>
      </c>
      <c r="T1191" s="25" t="s">
        <v>32</v>
      </c>
      <c r="U1191" s="25" t="s">
        <v>376</v>
      </c>
      <c r="V1191" s="25" t="s">
        <v>3391</v>
      </c>
      <c r="W1191" s="27" t="s">
        <v>4345</v>
      </c>
      <c r="X1191" s="28" t="s">
        <v>4346</v>
      </c>
      <c r="Y1191" s="28"/>
      <c r="Z1191" s="29" t="s">
        <v>3390</v>
      </c>
    </row>
    <row r="1192" spans="1:26" ht="30" customHeight="1" thickBot="1" x14ac:dyDescent="0.25">
      <c r="A1192" s="17">
        <f t="shared" si="37"/>
        <v>1191</v>
      </c>
      <c r="B1192" s="18" t="s">
        <v>25</v>
      </c>
      <c r="C1192" s="19">
        <v>3520212602853</v>
      </c>
      <c r="D1192" s="19"/>
      <c r="E1192" s="20">
        <v>43876</v>
      </c>
      <c r="F1192" s="20">
        <v>47529</v>
      </c>
      <c r="G1192" s="21">
        <v>36929</v>
      </c>
      <c r="H1192" s="22">
        <f t="shared" ca="1" si="36"/>
        <v>25</v>
      </c>
      <c r="I1192" s="19" t="s">
        <v>26</v>
      </c>
      <c r="J1192" s="18" t="s">
        <v>27</v>
      </c>
      <c r="K1192" s="18"/>
      <c r="L1192" s="23" t="s">
        <v>4347</v>
      </c>
      <c r="M1192" s="23" t="s">
        <v>4348</v>
      </c>
      <c r="N1192" s="23" t="s">
        <v>457</v>
      </c>
      <c r="O1192" s="18"/>
      <c r="P1192" s="24"/>
      <c r="Q1192" s="25">
        <v>46083</v>
      </c>
      <c r="R1192" s="13">
        <v>0</v>
      </c>
      <c r="S1192" s="26" t="str">
        <f>VLOOKUP(C1192,'[3]May-26'!$B$5:$H$89,7,0)</f>
        <v>02880010160866640016</v>
      </c>
      <c r="T1192" s="25" t="s">
        <v>32</v>
      </c>
      <c r="U1192" s="25" t="s">
        <v>376</v>
      </c>
      <c r="V1192" s="25" t="s">
        <v>3391</v>
      </c>
      <c r="W1192" s="27" t="s">
        <v>4349</v>
      </c>
      <c r="X1192" s="28" t="s">
        <v>4350</v>
      </c>
      <c r="Y1192" s="28"/>
      <c r="Z1192" s="29" t="s">
        <v>3390</v>
      </c>
    </row>
    <row r="1193" spans="1:26" ht="30" customHeight="1" thickBot="1" x14ac:dyDescent="0.25">
      <c r="A1193" s="17">
        <f t="shared" si="37"/>
        <v>1192</v>
      </c>
      <c r="B1193" s="18" t="s">
        <v>25</v>
      </c>
      <c r="C1193" s="19">
        <v>3520247082999</v>
      </c>
      <c r="D1193" s="19"/>
      <c r="E1193" s="20">
        <v>44321</v>
      </c>
      <c r="F1193" s="20">
        <v>47973</v>
      </c>
      <c r="G1193" s="21">
        <v>37675</v>
      </c>
      <c r="H1193" s="22">
        <f t="shared" ca="1" si="36"/>
        <v>23</v>
      </c>
      <c r="I1193" s="19" t="s">
        <v>26</v>
      </c>
      <c r="J1193" s="18" t="s">
        <v>27</v>
      </c>
      <c r="K1193" s="18"/>
      <c r="L1193" s="23" t="s">
        <v>4351</v>
      </c>
      <c r="M1193" s="23" t="s">
        <v>409</v>
      </c>
      <c r="N1193" s="23" t="s">
        <v>457</v>
      </c>
      <c r="O1193" s="18"/>
      <c r="P1193" s="24"/>
      <c r="Q1193" s="25">
        <v>46080</v>
      </c>
      <c r="R1193" s="13">
        <v>0</v>
      </c>
      <c r="S1193" s="26" t="str">
        <f>VLOOKUP(C1193,'[3]May-26'!$B$5:$H$89,7,0)</f>
        <v>00620010119043210013</v>
      </c>
      <c r="T1193" s="25" t="s">
        <v>32</v>
      </c>
      <c r="U1193" s="25" t="s">
        <v>376</v>
      </c>
      <c r="V1193" s="25" t="s">
        <v>3391</v>
      </c>
      <c r="W1193" s="27" t="s">
        <v>4352</v>
      </c>
      <c r="X1193" s="28" t="s">
        <v>4353</v>
      </c>
      <c r="Y1193" s="28"/>
      <c r="Z1193" s="29" t="s">
        <v>3390</v>
      </c>
    </row>
    <row r="1194" spans="1:26" ht="30" customHeight="1" thickBot="1" x14ac:dyDescent="0.25">
      <c r="A1194" s="17">
        <f t="shared" si="37"/>
        <v>1193</v>
      </c>
      <c r="B1194" s="18" t="s">
        <v>25</v>
      </c>
      <c r="C1194" s="19">
        <v>3540397502433</v>
      </c>
      <c r="D1194" s="19"/>
      <c r="E1194" s="20">
        <v>43088</v>
      </c>
      <c r="F1194" s="20">
        <v>46740</v>
      </c>
      <c r="G1194" s="21">
        <v>36423</v>
      </c>
      <c r="H1194" s="22">
        <f t="shared" ca="1" si="36"/>
        <v>26</v>
      </c>
      <c r="I1194" s="19" t="s">
        <v>26</v>
      </c>
      <c r="J1194" s="18" t="s">
        <v>27</v>
      </c>
      <c r="K1194" s="18"/>
      <c r="L1194" s="23" t="s">
        <v>4354</v>
      </c>
      <c r="M1194" s="23" t="s">
        <v>1255</v>
      </c>
      <c r="N1194" s="23" t="s">
        <v>457</v>
      </c>
      <c r="O1194" s="18"/>
      <c r="P1194" s="24"/>
      <c r="Q1194" s="25">
        <v>46128</v>
      </c>
      <c r="R1194" s="13">
        <v>0</v>
      </c>
      <c r="S1194" s="26" t="str">
        <f>VLOOKUP(C1194,'[3]May-26'!$B$5:$H$89,7,0)</f>
        <v>51010020163315460014</v>
      </c>
      <c r="T1194" s="25" t="s">
        <v>32</v>
      </c>
      <c r="U1194" s="25" t="s">
        <v>376</v>
      </c>
      <c r="V1194" s="25" t="s">
        <v>4355</v>
      </c>
      <c r="W1194" s="27" t="s">
        <v>4356</v>
      </c>
      <c r="X1194" s="28" t="s">
        <v>4357</v>
      </c>
      <c r="Y1194" s="28"/>
      <c r="Z1194" s="29" t="s">
        <v>3390</v>
      </c>
    </row>
    <row r="1195" spans="1:26" ht="30" customHeight="1" thickBot="1" x14ac:dyDescent="0.25">
      <c r="A1195" s="17">
        <f t="shared" si="37"/>
        <v>1194</v>
      </c>
      <c r="B1195" s="18" t="s">
        <v>25</v>
      </c>
      <c r="C1195" s="19">
        <v>3520215011083</v>
      </c>
      <c r="D1195" s="19"/>
      <c r="E1195" s="20">
        <v>45944</v>
      </c>
      <c r="F1195" s="20">
        <v>49596</v>
      </c>
      <c r="G1195" s="21">
        <v>39083</v>
      </c>
      <c r="H1195" s="22">
        <f t="shared" ca="1" si="36"/>
        <v>19</v>
      </c>
      <c r="I1195" s="19" t="s">
        <v>26</v>
      </c>
      <c r="J1195" s="18" t="s">
        <v>27</v>
      </c>
      <c r="K1195" s="18"/>
      <c r="L1195" s="23" t="s">
        <v>4358</v>
      </c>
      <c r="M1195" s="23" t="s">
        <v>4359</v>
      </c>
      <c r="N1195" s="23" t="s">
        <v>1488</v>
      </c>
      <c r="O1195" s="18"/>
      <c r="P1195" s="24"/>
      <c r="Q1195" s="25">
        <v>46081</v>
      </c>
      <c r="R1195" s="13">
        <v>0</v>
      </c>
      <c r="S1195" s="26" t="str">
        <f>VLOOKUP(C1195,'[4]Daily Wages '!$B$6:$G$197,6,0)</f>
        <v>02880010160852430015</v>
      </c>
      <c r="T1195" s="25" t="s">
        <v>32</v>
      </c>
      <c r="U1195" s="25" t="s">
        <v>376</v>
      </c>
      <c r="V1195" s="25"/>
      <c r="W1195" s="27" t="s">
        <v>4360</v>
      </c>
      <c r="X1195" s="28" t="s">
        <v>4361</v>
      </c>
      <c r="Y1195" s="28"/>
      <c r="Z1195" s="29" t="s">
        <v>3390</v>
      </c>
    </row>
    <row r="1196" spans="1:26" ht="30" customHeight="1" thickBot="1" x14ac:dyDescent="0.25">
      <c r="A1196" s="17">
        <f t="shared" si="37"/>
        <v>1195</v>
      </c>
      <c r="B1196" s="18" t="s">
        <v>25</v>
      </c>
      <c r="C1196" s="19">
        <v>3640266721317</v>
      </c>
      <c r="D1196" s="19"/>
      <c r="E1196" s="20">
        <v>46044</v>
      </c>
      <c r="F1196" s="20">
        <v>49696</v>
      </c>
      <c r="G1196" s="21">
        <v>39450</v>
      </c>
      <c r="H1196" s="22">
        <f t="shared" ca="1" si="36"/>
        <v>18</v>
      </c>
      <c r="I1196" s="19" t="s">
        <v>26</v>
      </c>
      <c r="J1196" s="18" t="s">
        <v>27</v>
      </c>
      <c r="K1196" s="18"/>
      <c r="L1196" s="23" t="s">
        <v>4362</v>
      </c>
      <c r="M1196" s="23" t="s">
        <v>2612</v>
      </c>
      <c r="N1196" s="23" t="s">
        <v>1499</v>
      </c>
      <c r="O1196" s="18"/>
      <c r="P1196" s="24"/>
      <c r="Q1196" s="25">
        <v>46150</v>
      </c>
      <c r="R1196" s="13">
        <v>0</v>
      </c>
      <c r="S1196" s="26" t="str">
        <f>VLOOKUP(C1196,'[4]Daily Wages '!$B$6:$G$197,6,0)</f>
        <v>02880010161025880014</v>
      </c>
      <c r="T1196" s="25" t="s">
        <v>32</v>
      </c>
      <c r="U1196" s="25" t="s">
        <v>376</v>
      </c>
      <c r="V1196" s="25"/>
      <c r="W1196" s="27" t="s">
        <v>4363</v>
      </c>
      <c r="X1196" s="28" t="s">
        <v>972</v>
      </c>
      <c r="Y1196" s="28"/>
      <c r="Z1196" s="29" t="s">
        <v>3390</v>
      </c>
    </row>
    <row r="1197" spans="1:26" ht="30" customHeight="1" thickBot="1" x14ac:dyDescent="0.25">
      <c r="A1197" s="17">
        <f t="shared" si="37"/>
        <v>1196</v>
      </c>
      <c r="B1197" s="18" t="s">
        <v>25</v>
      </c>
      <c r="C1197" s="19">
        <v>3510148169441</v>
      </c>
      <c r="D1197" s="19"/>
      <c r="E1197" s="20">
        <v>45707</v>
      </c>
      <c r="F1197" s="20">
        <v>49359</v>
      </c>
      <c r="G1197" s="21">
        <v>35280</v>
      </c>
      <c r="H1197" s="22">
        <f t="shared" ca="1" si="36"/>
        <v>29</v>
      </c>
      <c r="I1197" s="19" t="s">
        <v>26</v>
      </c>
      <c r="J1197" s="18" t="s">
        <v>27</v>
      </c>
      <c r="K1197" s="18"/>
      <c r="L1197" s="23" t="s">
        <v>4364</v>
      </c>
      <c r="M1197" s="23" t="s">
        <v>491</v>
      </c>
      <c r="N1197" s="23" t="s">
        <v>1499</v>
      </c>
      <c r="O1197" s="18"/>
      <c r="P1197" s="24"/>
      <c r="Q1197" s="25">
        <v>46080</v>
      </c>
      <c r="R1197" s="13">
        <v>0</v>
      </c>
      <c r="S1197" s="26" t="str">
        <f>VLOOKUP(C1197,'[4]Daily Wages '!$B$6:$G$197,6,0)</f>
        <v>11880010160711720017</v>
      </c>
      <c r="T1197" s="25" t="s">
        <v>32</v>
      </c>
      <c r="U1197" s="25" t="s">
        <v>376</v>
      </c>
      <c r="V1197" s="25"/>
      <c r="W1197" s="27" t="s">
        <v>4365</v>
      </c>
      <c r="X1197" s="28" t="s">
        <v>4366</v>
      </c>
      <c r="Y1197" s="28"/>
      <c r="Z1197" s="29" t="s">
        <v>3390</v>
      </c>
    </row>
    <row r="1198" spans="1:26" ht="30" customHeight="1" thickBot="1" x14ac:dyDescent="0.25">
      <c r="A1198" s="17">
        <f t="shared" si="37"/>
        <v>1197</v>
      </c>
      <c r="B1198" s="18" t="s">
        <v>25</v>
      </c>
      <c r="C1198" s="19">
        <v>3220278087061</v>
      </c>
      <c r="D1198" s="19"/>
      <c r="E1198" s="20">
        <v>43279</v>
      </c>
      <c r="F1198" s="20">
        <v>46932</v>
      </c>
      <c r="G1198" s="21">
        <v>36658</v>
      </c>
      <c r="H1198" s="22">
        <f t="shared" ca="1" si="36"/>
        <v>26</v>
      </c>
      <c r="I1198" s="19" t="s">
        <v>26</v>
      </c>
      <c r="J1198" s="18" t="s">
        <v>27</v>
      </c>
      <c r="K1198" s="18"/>
      <c r="L1198" s="23" t="s">
        <v>960</v>
      </c>
      <c r="M1198" s="23" t="s">
        <v>4367</v>
      </c>
      <c r="N1198" s="23" t="s">
        <v>1295</v>
      </c>
      <c r="O1198" s="18"/>
      <c r="P1198" s="24"/>
      <c r="Q1198" s="25">
        <v>46081</v>
      </c>
      <c r="R1198" s="13">
        <v>0</v>
      </c>
      <c r="S1198" s="26" t="str">
        <f>VLOOKUP(C1198,'[3]May-26'!$B$5:$H$89,7,0)</f>
        <v>06980010160811240011</v>
      </c>
      <c r="T1198" s="25" t="s">
        <v>32</v>
      </c>
      <c r="U1198" s="25" t="s">
        <v>4368</v>
      </c>
      <c r="V1198" s="25" t="s">
        <v>4369</v>
      </c>
      <c r="W1198" s="27" t="s">
        <v>4370</v>
      </c>
      <c r="X1198" s="28" t="s">
        <v>4371</v>
      </c>
      <c r="Y1198" s="28"/>
      <c r="Z1198" s="29" t="s">
        <v>3390</v>
      </c>
    </row>
    <row r="1199" spans="1:26" ht="30" customHeight="1" thickBot="1" x14ac:dyDescent="0.25">
      <c r="A1199" s="17">
        <f t="shared" si="37"/>
        <v>1198</v>
      </c>
      <c r="B1199" s="18" t="s">
        <v>25</v>
      </c>
      <c r="C1199" s="19">
        <v>3220224844255</v>
      </c>
      <c r="D1199" s="19"/>
      <c r="E1199" s="20">
        <v>42779</v>
      </c>
      <c r="F1199" s="20">
        <v>46431</v>
      </c>
      <c r="G1199" s="21">
        <v>33694</v>
      </c>
      <c r="H1199" s="22">
        <f t="shared" ca="1" si="36"/>
        <v>34</v>
      </c>
      <c r="I1199" s="19" t="s">
        <v>26</v>
      </c>
      <c r="J1199" s="18" t="s">
        <v>27</v>
      </c>
      <c r="K1199" s="18"/>
      <c r="L1199" s="23" t="s">
        <v>4372</v>
      </c>
      <c r="M1199" s="23" t="s">
        <v>3621</v>
      </c>
      <c r="N1199" s="24" t="s">
        <v>3988</v>
      </c>
      <c r="O1199" s="18"/>
      <c r="P1199" s="24"/>
      <c r="Q1199" s="25">
        <v>46080</v>
      </c>
      <c r="R1199" s="13">
        <v>0</v>
      </c>
      <c r="S1199" s="26" t="str">
        <f>VLOOKUP(C1199,'[3]May-26'!$B$5:$H$89,7,0)</f>
        <v>06980010099653480017</v>
      </c>
      <c r="T1199" s="25" t="s">
        <v>32</v>
      </c>
      <c r="U1199" s="25" t="s">
        <v>4368</v>
      </c>
      <c r="V1199" s="25" t="s">
        <v>868</v>
      </c>
      <c r="W1199" s="27" t="s">
        <v>4373</v>
      </c>
      <c r="X1199" s="28" t="s">
        <v>4374</v>
      </c>
      <c r="Y1199" s="28"/>
      <c r="Z1199" s="29" t="s">
        <v>3390</v>
      </c>
    </row>
    <row r="1200" spans="1:26" ht="30" customHeight="1" thickBot="1" x14ac:dyDescent="0.25">
      <c r="A1200" s="17">
        <f t="shared" si="37"/>
        <v>1199</v>
      </c>
      <c r="B1200" s="18" t="s">
        <v>25</v>
      </c>
      <c r="C1200" s="19">
        <v>3220262144221</v>
      </c>
      <c r="D1200" s="19"/>
      <c r="E1200" s="20">
        <v>45678</v>
      </c>
      <c r="F1200" s="20">
        <v>49330</v>
      </c>
      <c r="G1200" s="21">
        <v>33970</v>
      </c>
      <c r="H1200" s="22">
        <f t="shared" ca="1" si="36"/>
        <v>33</v>
      </c>
      <c r="I1200" s="19" t="s">
        <v>26</v>
      </c>
      <c r="J1200" s="18" t="s">
        <v>27</v>
      </c>
      <c r="K1200" s="18"/>
      <c r="L1200" s="23" t="s">
        <v>2067</v>
      </c>
      <c r="M1200" s="23" t="s">
        <v>1621</v>
      </c>
      <c r="N1200" s="23" t="s">
        <v>1488</v>
      </c>
      <c r="O1200" s="18"/>
      <c r="P1200" s="24"/>
      <c r="Q1200" s="25">
        <v>46081</v>
      </c>
      <c r="R1200" s="13">
        <v>0</v>
      </c>
      <c r="S1200" s="26" t="str">
        <f>VLOOKUP(C1200,'[4]Daily Wages '!$B$6:$G$197,6,0)</f>
        <v>06980010160837770016</v>
      </c>
      <c r="T1200" s="25" t="s">
        <v>32</v>
      </c>
      <c r="U1200" s="25" t="s">
        <v>4368</v>
      </c>
      <c r="V1200" s="25"/>
      <c r="W1200" s="27" t="s">
        <v>4375</v>
      </c>
      <c r="X1200" s="28" t="s">
        <v>4376</v>
      </c>
      <c r="Y1200" s="28"/>
      <c r="Z1200" s="29" t="s">
        <v>3390</v>
      </c>
    </row>
    <row r="1201" spans="1:26" ht="30" customHeight="1" thickBot="1" x14ac:dyDescent="0.25">
      <c r="A1201" s="17">
        <f t="shared" si="37"/>
        <v>1200</v>
      </c>
      <c r="B1201" s="18" t="s">
        <v>25</v>
      </c>
      <c r="C1201" s="19">
        <v>3220218789573</v>
      </c>
      <c r="D1201" s="19"/>
      <c r="E1201" s="20">
        <v>45186</v>
      </c>
      <c r="F1201" s="20">
        <v>48839</v>
      </c>
      <c r="G1201" s="21">
        <v>37803</v>
      </c>
      <c r="H1201" s="22">
        <f t="shared" ca="1" si="36"/>
        <v>22</v>
      </c>
      <c r="I1201" s="19" t="s">
        <v>26</v>
      </c>
      <c r="J1201" s="18" t="s">
        <v>27</v>
      </c>
      <c r="K1201" s="18"/>
      <c r="L1201" s="23" t="s">
        <v>4377</v>
      </c>
      <c r="M1201" s="23" t="s">
        <v>4378</v>
      </c>
      <c r="N1201" s="23" t="s">
        <v>1488</v>
      </c>
      <c r="O1201" s="18"/>
      <c r="P1201" s="24"/>
      <c r="Q1201" s="25">
        <v>46081</v>
      </c>
      <c r="R1201" s="13">
        <v>0</v>
      </c>
      <c r="S1201" s="26" t="str">
        <f>VLOOKUP(C1201,'[4]Daily Wages '!$B$6:$G$197,6,0)</f>
        <v>06980010160877530017</v>
      </c>
      <c r="T1201" s="25" t="s">
        <v>32</v>
      </c>
      <c r="U1201" s="25" t="s">
        <v>4368</v>
      </c>
      <c r="V1201" s="25"/>
      <c r="W1201" s="27" t="s">
        <v>4379</v>
      </c>
      <c r="X1201" s="28" t="s">
        <v>4380</v>
      </c>
      <c r="Y1201" s="28"/>
      <c r="Z1201" s="29" t="s">
        <v>3390</v>
      </c>
    </row>
    <row r="1202" spans="1:26" ht="30" customHeight="1" thickBot="1" x14ac:dyDescent="0.25">
      <c r="A1202" s="17">
        <f t="shared" si="37"/>
        <v>1201</v>
      </c>
      <c r="B1202" s="18" t="s">
        <v>25</v>
      </c>
      <c r="C1202" s="19">
        <v>3220218834647</v>
      </c>
      <c r="D1202" s="19"/>
      <c r="E1202" s="20">
        <v>43832</v>
      </c>
      <c r="F1202" s="20">
        <v>47485</v>
      </c>
      <c r="G1202" s="21">
        <v>33638</v>
      </c>
      <c r="H1202" s="22">
        <f t="shared" ca="1" si="36"/>
        <v>34</v>
      </c>
      <c r="I1202" s="19" t="s">
        <v>26</v>
      </c>
      <c r="J1202" s="18" t="s">
        <v>27</v>
      </c>
      <c r="K1202" s="18"/>
      <c r="L1202" s="23" t="s">
        <v>4381</v>
      </c>
      <c r="M1202" s="23" t="s">
        <v>711</v>
      </c>
      <c r="N1202" s="23" t="s">
        <v>1499</v>
      </c>
      <c r="O1202" s="18"/>
      <c r="P1202" s="24"/>
      <c r="Q1202" s="25">
        <v>46081</v>
      </c>
      <c r="R1202" s="13">
        <v>0</v>
      </c>
      <c r="S1202" s="26" t="str">
        <f>VLOOKUP(C1202,'[4]Daily Wages '!$B$6:$G$197,6,0)</f>
        <v>06980010160878340015</v>
      </c>
      <c r="T1202" s="25" t="s">
        <v>32</v>
      </c>
      <c r="U1202" s="25" t="s">
        <v>4368</v>
      </c>
      <c r="V1202" s="25"/>
      <c r="W1202" s="27" t="s">
        <v>4382</v>
      </c>
      <c r="X1202" s="28" t="s">
        <v>4383</v>
      </c>
      <c r="Y1202" s="28"/>
      <c r="Z1202" s="29" t="s">
        <v>3390</v>
      </c>
    </row>
    <row r="1203" spans="1:26" ht="30" customHeight="1" thickBot="1" x14ac:dyDescent="0.25">
      <c r="A1203" s="17">
        <f t="shared" si="37"/>
        <v>1202</v>
      </c>
      <c r="B1203" s="18" t="s">
        <v>25</v>
      </c>
      <c r="C1203" s="19">
        <v>3220388414383</v>
      </c>
      <c r="D1203" s="19"/>
      <c r="E1203" s="20">
        <v>45260</v>
      </c>
      <c r="F1203" s="20">
        <v>48913</v>
      </c>
      <c r="G1203" s="21">
        <v>38623</v>
      </c>
      <c r="H1203" s="22">
        <f t="shared" ca="1" si="36"/>
        <v>20</v>
      </c>
      <c r="I1203" s="19" t="s">
        <v>26</v>
      </c>
      <c r="J1203" s="18" t="s">
        <v>27</v>
      </c>
      <c r="K1203" s="18"/>
      <c r="L1203" s="23" t="s">
        <v>4384</v>
      </c>
      <c r="M1203" s="23" t="s">
        <v>4385</v>
      </c>
      <c r="N1203" s="23" t="s">
        <v>1499</v>
      </c>
      <c r="O1203" s="18"/>
      <c r="P1203" s="24"/>
      <c r="Q1203" s="25">
        <v>46158</v>
      </c>
      <c r="R1203" s="13">
        <v>0</v>
      </c>
      <c r="S1203" s="26" t="str">
        <f>VLOOKUP(C1203,'[4]Daily Wages '!$B$6:$G$197,6,0)</f>
        <v>51400020164347070010</v>
      </c>
      <c r="T1203" s="25" t="s">
        <v>32</v>
      </c>
      <c r="U1203" s="25" t="s">
        <v>4368</v>
      </c>
      <c r="V1203" s="25"/>
      <c r="W1203" s="27" t="s">
        <v>4386</v>
      </c>
      <c r="X1203" s="28" t="s">
        <v>4387</v>
      </c>
      <c r="Y1203" s="28"/>
      <c r="Z1203" s="29" t="s">
        <v>3390</v>
      </c>
    </row>
    <row r="1204" spans="1:26" ht="30" customHeight="1" thickBot="1" x14ac:dyDescent="0.25">
      <c r="A1204" s="17">
        <f t="shared" si="37"/>
        <v>1203</v>
      </c>
      <c r="B1204" s="18" t="s">
        <v>25</v>
      </c>
      <c r="C1204" s="19">
        <v>3220274989889</v>
      </c>
      <c r="D1204" s="19"/>
      <c r="E1204" s="20">
        <v>45020</v>
      </c>
      <c r="F1204" s="20">
        <v>48673</v>
      </c>
      <c r="G1204" s="21">
        <v>35065</v>
      </c>
      <c r="H1204" s="22">
        <f t="shared" ca="1" si="36"/>
        <v>30</v>
      </c>
      <c r="I1204" s="19" t="s">
        <v>26</v>
      </c>
      <c r="J1204" s="18" t="s">
        <v>27</v>
      </c>
      <c r="K1204" s="18"/>
      <c r="L1204" s="23" t="s">
        <v>4388</v>
      </c>
      <c r="M1204" s="23" t="s">
        <v>199</v>
      </c>
      <c r="N1204" s="23" t="s">
        <v>1499</v>
      </c>
      <c r="O1204" s="18"/>
      <c r="P1204" s="24"/>
      <c r="Q1204" s="25">
        <v>46081</v>
      </c>
      <c r="R1204" s="13">
        <v>0</v>
      </c>
      <c r="S1204" s="26" t="str">
        <f>VLOOKUP(C1204,'[4]Daily Wages '!$B$6:$G$197,6,0)</f>
        <v>06980010160814170010</v>
      </c>
      <c r="T1204" s="25" t="s">
        <v>32</v>
      </c>
      <c r="U1204" s="25" t="s">
        <v>4368</v>
      </c>
      <c r="V1204" s="25" t="s">
        <v>884</v>
      </c>
      <c r="W1204" s="27" t="s">
        <v>4389</v>
      </c>
      <c r="X1204" s="28" t="s">
        <v>4390</v>
      </c>
      <c r="Y1204" s="28"/>
      <c r="Z1204" s="29" t="s">
        <v>3390</v>
      </c>
    </row>
    <row r="1205" spans="1:26" ht="30" customHeight="1" thickBot="1" x14ac:dyDescent="0.25">
      <c r="A1205" s="17">
        <f t="shared" si="37"/>
        <v>1204</v>
      </c>
      <c r="B1205" s="18" t="s">
        <v>25</v>
      </c>
      <c r="C1205" s="19">
        <v>3510284600727</v>
      </c>
      <c r="D1205" s="19">
        <v>1943</v>
      </c>
      <c r="E1205" s="20">
        <v>45588</v>
      </c>
      <c r="F1205" s="20">
        <v>49240</v>
      </c>
      <c r="G1205" s="21">
        <v>38083</v>
      </c>
      <c r="H1205" s="22">
        <f t="shared" ca="1" si="36"/>
        <v>22</v>
      </c>
      <c r="I1205" s="19" t="s">
        <v>26</v>
      </c>
      <c r="J1205" s="18" t="s">
        <v>27</v>
      </c>
      <c r="K1205" s="18"/>
      <c r="L1205" s="23" t="s">
        <v>4391</v>
      </c>
      <c r="M1205" s="23" t="s">
        <v>3969</v>
      </c>
      <c r="N1205" s="23" t="s">
        <v>1295</v>
      </c>
      <c r="O1205" s="18"/>
      <c r="P1205" s="24"/>
      <c r="Q1205" s="25">
        <v>45992</v>
      </c>
      <c r="R1205" s="13">
        <v>0</v>
      </c>
      <c r="S1205" s="26" t="str">
        <f>VLOOKUP(C1205,'[1]Bazaar Salary'!$B$6:$J$1193,9,0)</f>
        <v>52060020152140880016</v>
      </c>
      <c r="T1205" s="25" t="s">
        <v>32</v>
      </c>
      <c r="U1205" s="25" t="s">
        <v>225</v>
      </c>
      <c r="V1205" s="25" t="s">
        <v>3609</v>
      </c>
      <c r="W1205" s="27" t="s">
        <v>4392</v>
      </c>
      <c r="X1205" s="28" t="s">
        <v>4393</v>
      </c>
      <c r="Y1205" s="28"/>
      <c r="Z1205" s="29" t="s">
        <v>37</v>
      </c>
    </row>
    <row r="1206" spans="1:26" ht="30" customHeight="1" thickBot="1" x14ac:dyDescent="0.25">
      <c r="A1206" s="17">
        <f t="shared" si="37"/>
        <v>1205</v>
      </c>
      <c r="B1206" s="18" t="s">
        <v>25</v>
      </c>
      <c r="C1206" s="19">
        <v>3510259095027</v>
      </c>
      <c r="D1206" s="19">
        <v>1944</v>
      </c>
      <c r="E1206" s="20">
        <v>45588</v>
      </c>
      <c r="F1206" s="20">
        <v>49240</v>
      </c>
      <c r="G1206" s="21">
        <v>38585</v>
      </c>
      <c r="H1206" s="22">
        <f t="shared" ca="1" si="36"/>
        <v>20</v>
      </c>
      <c r="I1206" s="19" t="s">
        <v>26</v>
      </c>
      <c r="J1206" s="18" t="s">
        <v>27</v>
      </c>
      <c r="K1206" s="18"/>
      <c r="L1206" s="23" t="s">
        <v>4394</v>
      </c>
      <c r="M1206" s="23" t="s">
        <v>3969</v>
      </c>
      <c r="N1206" s="24" t="s">
        <v>1295</v>
      </c>
      <c r="O1206" s="18"/>
      <c r="P1206" s="24"/>
      <c r="Q1206" s="25">
        <v>45992</v>
      </c>
      <c r="R1206" s="13">
        <v>0</v>
      </c>
      <c r="S1206" s="26" t="str">
        <f>VLOOKUP(C1206,'[1]Bazaar Salary'!$B$6:$J$1193,9,0)</f>
        <v>52060020152142880015</v>
      </c>
      <c r="T1206" s="25" t="s">
        <v>32</v>
      </c>
      <c r="U1206" s="25" t="s">
        <v>225</v>
      </c>
      <c r="V1206" s="25" t="s">
        <v>3609</v>
      </c>
      <c r="W1206" s="27" t="s">
        <v>4392</v>
      </c>
      <c r="X1206" s="28" t="s">
        <v>4395</v>
      </c>
      <c r="Y1206" s="28"/>
      <c r="Z1206" s="29" t="s">
        <v>37</v>
      </c>
    </row>
    <row r="1207" spans="1:26" ht="30" customHeight="1" thickBot="1" x14ac:dyDescent="0.25">
      <c r="A1207" s="17">
        <f t="shared" si="37"/>
        <v>1206</v>
      </c>
      <c r="B1207" s="18" t="s">
        <v>25</v>
      </c>
      <c r="C1207" s="19">
        <v>3510288379945</v>
      </c>
      <c r="D1207" s="19"/>
      <c r="E1207" s="20"/>
      <c r="F1207" s="20"/>
      <c r="G1207" s="21">
        <v>37945</v>
      </c>
      <c r="H1207" s="22">
        <f t="shared" ca="1" si="36"/>
        <v>22</v>
      </c>
      <c r="I1207" s="19" t="s">
        <v>26</v>
      </c>
      <c r="J1207" s="18" t="s">
        <v>27</v>
      </c>
      <c r="K1207" s="18"/>
      <c r="L1207" s="23" t="s">
        <v>1917</v>
      </c>
      <c r="M1207" s="23" t="s">
        <v>2583</v>
      </c>
      <c r="N1207" s="23" t="s">
        <v>1295</v>
      </c>
      <c r="O1207" s="18"/>
      <c r="P1207" s="24"/>
      <c r="Q1207" s="25">
        <v>46129</v>
      </c>
      <c r="R1207" s="13">
        <v>0</v>
      </c>
      <c r="S1207" s="26" t="str">
        <f>VLOOKUP(C1207,'[3]May-26'!$B$5:$H$89,7,0)</f>
        <v>02040010163084940012</v>
      </c>
      <c r="T1207" s="25" t="s">
        <v>32</v>
      </c>
      <c r="U1207" s="25" t="s">
        <v>225</v>
      </c>
      <c r="V1207" s="25" t="s">
        <v>3391</v>
      </c>
      <c r="W1207" s="27" t="s">
        <v>4396</v>
      </c>
      <c r="X1207" s="28" t="s">
        <v>4397</v>
      </c>
      <c r="Y1207" s="28"/>
      <c r="Z1207" s="29" t="s">
        <v>3390</v>
      </c>
    </row>
    <row r="1208" spans="1:26" ht="30" customHeight="1" thickBot="1" x14ac:dyDescent="0.25">
      <c r="A1208" s="17">
        <f t="shared" si="37"/>
        <v>1207</v>
      </c>
      <c r="B1208" s="18" t="s">
        <v>25</v>
      </c>
      <c r="C1208" s="19">
        <v>3510275567343</v>
      </c>
      <c r="D1208" s="19"/>
      <c r="E1208" s="20">
        <v>45728</v>
      </c>
      <c r="F1208" s="20">
        <v>49380</v>
      </c>
      <c r="G1208" s="21">
        <v>39083</v>
      </c>
      <c r="H1208" s="22">
        <f t="shared" ca="1" si="36"/>
        <v>19</v>
      </c>
      <c r="I1208" s="19" t="s">
        <v>912</v>
      </c>
      <c r="J1208" s="18" t="s">
        <v>27</v>
      </c>
      <c r="K1208" s="18"/>
      <c r="L1208" s="23" t="s">
        <v>4398</v>
      </c>
      <c r="M1208" s="23" t="s">
        <v>4399</v>
      </c>
      <c r="N1208" s="23" t="s">
        <v>1488</v>
      </c>
      <c r="O1208" s="18"/>
      <c r="P1208" s="24"/>
      <c r="Q1208" s="25">
        <v>46179</v>
      </c>
      <c r="R1208" s="13">
        <v>0</v>
      </c>
      <c r="S1208" s="26"/>
      <c r="T1208" s="25"/>
      <c r="U1208" s="25" t="s">
        <v>225</v>
      </c>
      <c r="V1208" s="25"/>
      <c r="W1208" s="27" t="s">
        <v>4400</v>
      </c>
      <c r="X1208" s="28" t="s">
        <v>4401</v>
      </c>
      <c r="Y1208" s="28"/>
      <c r="Z1208" s="29" t="s">
        <v>3390</v>
      </c>
    </row>
    <row r="1209" spans="1:26" ht="30" customHeight="1" thickBot="1" x14ac:dyDescent="0.25">
      <c r="A1209" s="17">
        <f t="shared" si="37"/>
        <v>1208</v>
      </c>
      <c r="B1209" s="18" t="s">
        <v>25</v>
      </c>
      <c r="C1209" s="19">
        <v>3610394541363</v>
      </c>
      <c r="D1209" s="19"/>
      <c r="E1209" s="20">
        <v>45173</v>
      </c>
      <c r="F1209" s="20" t="s">
        <v>2752</v>
      </c>
      <c r="G1209" s="21">
        <v>36921</v>
      </c>
      <c r="H1209" s="22">
        <f t="shared" ca="1" si="36"/>
        <v>25</v>
      </c>
      <c r="I1209" s="19" t="s">
        <v>26</v>
      </c>
      <c r="J1209" s="18" t="s">
        <v>27</v>
      </c>
      <c r="K1209" s="18" t="s">
        <v>197</v>
      </c>
      <c r="L1209" s="23" t="s">
        <v>4402</v>
      </c>
      <c r="M1209" s="23" t="s">
        <v>145</v>
      </c>
      <c r="N1209" s="23" t="s">
        <v>1295</v>
      </c>
      <c r="O1209" s="18"/>
      <c r="P1209" s="24"/>
      <c r="Q1209" s="25">
        <v>45992</v>
      </c>
      <c r="R1209" s="13">
        <v>0</v>
      </c>
      <c r="S1209" s="26" t="str">
        <f>VLOOKUP(C1209,'[1]Bazaar Salary'!$B$6:$J$1193,9,0)</f>
        <v>01530010147692810015</v>
      </c>
      <c r="T1209" s="25" t="s">
        <v>32</v>
      </c>
      <c r="U1209" s="25" t="s">
        <v>231</v>
      </c>
      <c r="V1209" s="25" t="s">
        <v>884</v>
      </c>
      <c r="W1209" s="27" t="s">
        <v>4403</v>
      </c>
      <c r="X1209" s="28" t="s">
        <v>4404</v>
      </c>
      <c r="Y1209" s="28"/>
      <c r="Z1209" s="29" t="s">
        <v>37</v>
      </c>
    </row>
    <row r="1210" spans="1:26" ht="30" customHeight="1" thickBot="1" x14ac:dyDescent="0.25">
      <c r="A1210" s="17">
        <f t="shared" si="37"/>
        <v>1209</v>
      </c>
      <c r="B1210" s="18" t="s">
        <v>25</v>
      </c>
      <c r="C1210" s="19">
        <v>3610221714275</v>
      </c>
      <c r="D1210" s="19"/>
      <c r="E1210" s="20">
        <v>42902</v>
      </c>
      <c r="F1210" s="20">
        <v>46554</v>
      </c>
      <c r="G1210" s="21">
        <v>35883</v>
      </c>
      <c r="H1210" s="22">
        <f t="shared" ca="1" si="36"/>
        <v>28</v>
      </c>
      <c r="I1210" s="19" t="s">
        <v>26</v>
      </c>
      <c r="J1210" s="18" t="s">
        <v>27</v>
      </c>
      <c r="K1210" s="18"/>
      <c r="L1210" s="23" t="s">
        <v>4405</v>
      </c>
      <c r="M1210" s="23" t="s">
        <v>4406</v>
      </c>
      <c r="N1210" s="23" t="s">
        <v>1295</v>
      </c>
      <c r="O1210" s="18"/>
      <c r="P1210" s="24"/>
      <c r="Q1210" s="25">
        <v>45992</v>
      </c>
      <c r="R1210" s="13">
        <v>0</v>
      </c>
      <c r="S1210" s="26" t="str">
        <f>VLOOKUP(C1210,'[1]Bazaar Salary'!$B$6:$J$1193,9,0)</f>
        <v>52010020154800190010</v>
      </c>
      <c r="T1210" s="25" t="s">
        <v>32</v>
      </c>
      <c r="U1210" s="25" t="s">
        <v>231</v>
      </c>
      <c r="V1210" s="25" t="s">
        <v>3391</v>
      </c>
      <c r="W1210" s="27" t="s">
        <v>4407</v>
      </c>
      <c r="X1210" s="28" t="s">
        <v>4408</v>
      </c>
      <c r="Y1210" s="28"/>
      <c r="Z1210" s="29" t="s">
        <v>37</v>
      </c>
    </row>
    <row r="1211" spans="1:26" ht="30" customHeight="1" thickBot="1" x14ac:dyDescent="0.25">
      <c r="A1211" s="17">
        <f t="shared" si="37"/>
        <v>1210</v>
      </c>
      <c r="B1211" s="18" t="s">
        <v>25</v>
      </c>
      <c r="C1211" s="19">
        <v>3610309653973</v>
      </c>
      <c r="D1211" s="19"/>
      <c r="E1211" s="20">
        <v>45231</v>
      </c>
      <c r="F1211" s="20">
        <v>48884</v>
      </c>
      <c r="G1211" s="21">
        <v>34807</v>
      </c>
      <c r="H1211" s="22">
        <f t="shared" ca="1" si="36"/>
        <v>31</v>
      </c>
      <c r="I1211" s="19" t="s">
        <v>26</v>
      </c>
      <c r="J1211" s="18" t="s">
        <v>27</v>
      </c>
      <c r="K1211" s="18"/>
      <c r="L1211" s="23" t="s">
        <v>4409</v>
      </c>
      <c r="M1211" s="23" t="s">
        <v>4410</v>
      </c>
      <c r="N1211" s="24" t="s">
        <v>457</v>
      </c>
      <c r="O1211" s="18"/>
      <c r="P1211" s="24"/>
      <c r="Q1211" s="25">
        <v>46023</v>
      </c>
      <c r="R1211" s="13">
        <v>0</v>
      </c>
      <c r="S1211" s="26" t="str">
        <f>VLOOKUP(C1211,'[1]Bazaar Salary'!$B$6:$J$1193,9,0)</f>
        <v>09000010104720410015</v>
      </c>
      <c r="T1211" s="25" t="s">
        <v>32</v>
      </c>
      <c r="U1211" s="25" t="s">
        <v>231</v>
      </c>
      <c r="V1211" s="25" t="s">
        <v>392</v>
      </c>
      <c r="W1211" s="27" t="s">
        <v>4411</v>
      </c>
      <c r="X1211" s="28" t="s">
        <v>4412</v>
      </c>
      <c r="Y1211" s="28"/>
      <c r="Z1211" s="29" t="s">
        <v>37</v>
      </c>
    </row>
    <row r="1212" spans="1:26" ht="30" customHeight="1" thickBot="1" x14ac:dyDescent="0.25">
      <c r="A1212" s="17">
        <f t="shared" si="37"/>
        <v>1211</v>
      </c>
      <c r="B1212" s="18" t="s">
        <v>25</v>
      </c>
      <c r="C1212" s="19">
        <v>3610393260537</v>
      </c>
      <c r="D1212" s="19"/>
      <c r="E1212" s="20">
        <v>45874</v>
      </c>
      <c r="F1212" s="20">
        <v>49526</v>
      </c>
      <c r="G1212" s="21">
        <v>37076</v>
      </c>
      <c r="H1212" s="22">
        <f t="shared" ca="1" si="36"/>
        <v>24</v>
      </c>
      <c r="I1212" s="19" t="s">
        <v>26</v>
      </c>
      <c r="J1212" s="18" t="s">
        <v>27</v>
      </c>
      <c r="K1212" s="18"/>
      <c r="L1212" s="23" t="s">
        <v>4413</v>
      </c>
      <c r="M1212" s="23" t="s">
        <v>4414</v>
      </c>
      <c r="N1212" s="23" t="s">
        <v>457</v>
      </c>
      <c r="O1212" s="18"/>
      <c r="P1212" s="24"/>
      <c r="Q1212" s="25">
        <v>46023</v>
      </c>
      <c r="R1212" s="13">
        <v>0</v>
      </c>
      <c r="S1212" s="26" t="str">
        <f>VLOOKUP(C1212,'[1]Bazaar Salary'!$B$6:$J$1193,9,0)</f>
        <v>52010020157511210014</v>
      </c>
      <c r="T1212" s="25" t="s">
        <v>32</v>
      </c>
      <c r="U1212" s="25" t="s">
        <v>231</v>
      </c>
      <c r="V1212" s="25" t="s">
        <v>4415</v>
      </c>
      <c r="W1212" s="27" t="s">
        <v>4416</v>
      </c>
      <c r="X1212" s="28" t="s">
        <v>4417</v>
      </c>
      <c r="Y1212" s="28"/>
      <c r="Z1212" s="29" t="s">
        <v>37</v>
      </c>
    </row>
    <row r="1213" spans="1:26" ht="30" customHeight="1" thickBot="1" x14ac:dyDescent="0.25">
      <c r="A1213" s="17">
        <f t="shared" si="37"/>
        <v>1212</v>
      </c>
      <c r="B1213" s="18" t="s">
        <v>25</v>
      </c>
      <c r="C1213" s="19">
        <v>3610498611027</v>
      </c>
      <c r="D1213" s="19"/>
      <c r="E1213" s="20">
        <v>44791</v>
      </c>
      <c r="F1213" s="20">
        <v>48444</v>
      </c>
      <c r="G1213" s="21">
        <v>33312</v>
      </c>
      <c r="H1213" s="22">
        <f t="shared" ca="1" si="36"/>
        <v>35</v>
      </c>
      <c r="I1213" s="19" t="s">
        <v>26</v>
      </c>
      <c r="J1213" s="18" t="s">
        <v>27</v>
      </c>
      <c r="K1213" s="18"/>
      <c r="L1213" s="23" t="s">
        <v>2210</v>
      </c>
      <c r="M1213" s="23" t="s">
        <v>4418</v>
      </c>
      <c r="N1213" s="23" t="s">
        <v>457</v>
      </c>
      <c r="O1213" s="18"/>
      <c r="P1213" s="24"/>
      <c r="Q1213" s="25">
        <v>46023</v>
      </c>
      <c r="R1213" s="13">
        <v>0</v>
      </c>
      <c r="S1213" s="26" t="str">
        <f>VLOOKUP(C1213,'[1]Bazaar Salary'!$B$6:$J$1193,9,0)</f>
        <v>14290010146475570015</v>
      </c>
      <c r="T1213" s="25" t="s">
        <v>32</v>
      </c>
      <c r="U1213" s="25" t="s">
        <v>231</v>
      </c>
      <c r="V1213" s="25" t="s">
        <v>4419</v>
      </c>
      <c r="W1213" s="27" t="s">
        <v>4420</v>
      </c>
      <c r="X1213" s="28" t="s">
        <v>4421</v>
      </c>
      <c r="Y1213" s="28"/>
      <c r="Z1213" s="29" t="s">
        <v>37</v>
      </c>
    </row>
    <row r="1214" spans="1:26" ht="30" customHeight="1" thickBot="1" x14ac:dyDescent="0.25">
      <c r="A1214" s="17">
        <f t="shared" si="37"/>
        <v>1213</v>
      </c>
      <c r="B1214" s="18" t="s">
        <v>25</v>
      </c>
      <c r="C1214" s="19">
        <v>3610357071955</v>
      </c>
      <c r="D1214" s="19"/>
      <c r="E1214" s="20"/>
      <c r="F1214" s="20"/>
      <c r="G1214" s="21"/>
      <c r="H1214" s="22">
        <f t="shared" ca="1" si="36"/>
        <v>126</v>
      </c>
      <c r="I1214" s="19" t="s">
        <v>26</v>
      </c>
      <c r="J1214" s="18" t="s">
        <v>27</v>
      </c>
      <c r="K1214" s="18"/>
      <c r="L1214" s="23" t="s">
        <v>4422</v>
      </c>
      <c r="M1214" s="23" t="s">
        <v>1598</v>
      </c>
      <c r="N1214" s="23" t="s">
        <v>457</v>
      </c>
      <c r="O1214" s="18"/>
      <c r="P1214" s="24"/>
      <c r="Q1214" s="25">
        <v>46035</v>
      </c>
      <c r="R1214" s="13">
        <v>0</v>
      </c>
      <c r="S1214" s="26" t="str">
        <f>VLOOKUP(C1214,'[1]Bazaar Salary'!$B$6:$J$1193,9,0)</f>
        <v>01980010158312790019</v>
      </c>
      <c r="T1214" s="25" t="s">
        <v>32</v>
      </c>
      <c r="U1214" s="25" t="s">
        <v>231</v>
      </c>
      <c r="V1214" s="25"/>
      <c r="W1214" s="27" t="s">
        <v>231</v>
      </c>
      <c r="X1214" s="28" t="s">
        <v>4423</v>
      </c>
      <c r="Y1214" s="28"/>
      <c r="Z1214" s="29" t="s">
        <v>37</v>
      </c>
    </row>
    <row r="1215" spans="1:26" ht="30" customHeight="1" thickBot="1" x14ac:dyDescent="0.25">
      <c r="A1215" s="17">
        <f t="shared" si="37"/>
        <v>1214</v>
      </c>
      <c r="B1215" s="18" t="s">
        <v>25</v>
      </c>
      <c r="C1215" s="19">
        <v>3630284102153</v>
      </c>
      <c r="D1215" s="19"/>
      <c r="E1215" s="20">
        <v>44855</v>
      </c>
      <c r="F1215" s="20">
        <v>48508</v>
      </c>
      <c r="G1215" s="21">
        <v>31075</v>
      </c>
      <c r="H1215" s="22">
        <f t="shared" ca="1" si="36"/>
        <v>41</v>
      </c>
      <c r="I1215" s="19" t="s">
        <v>912</v>
      </c>
      <c r="J1215" s="18" t="s">
        <v>27</v>
      </c>
      <c r="K1215" s="18"/>
      <c r="L1215" s="23" t="s">
        <v>4424</v>
      </c>
      <c r="M1215" s="23" t="s">
        <v>2903</v>
      </c>
      <c r="N1215" s="23" t="s">
        <v>1488</v>
      </c>
      <c r="O1215" s="18"/>
      <c r="P1215" s="24"/>
      <c r="Q1215" s="25">
        <v>45992</v>
      </c>
      <c r="R1215" s="13">
        <v>0</v>
      </c>
      <c r="S1215" s="26" t="str">
        <f>VLOOKUP(C1215,'[1]Bazaar Salary'!$B$6:$J$1193,9,0)</f>
        <v>09000010156082180013</v>
      </c>
      <c r="T1215" s="25" t="s">
        <v>32</v>
      </c>
      <c r="U1215" s="25" t="s">
        <v>231</v>
      </c>
      <c r="V1215" s="25"/>
      <c r="W1215" s="27" t="s">
        <v>4425</v>
      </c>
      <c r="X1215" s="28" t="s">
        <v>4426</v>
      </c>
      <c r="Y1215" s="28"/>
      <c r="Z1215" s="29" t="s">
        <v>37</v>
      </c>
    </row>
    <row r="1216" spans="1:26" ht="30" customHeight="1" thickBot="1" x14ac:dyDescent="0.25">
      <c r="A1216" s="17">
        <f t="shared" si="37"/>
        <v>1215</v>
      </c>
      <c r="B1216" s="18" t="s">
        <v>25</v>
      </c>
      <c r="C1216" s="19">
        <v>3610315607435</v>
      </c>
      <c r="D1216" s="19"/>
      <c r="E1216" s="20">
        <v>45967</v>
      </c>
      <c r="F1216" s="20">
        <v>49619</v>
      </c>
      <c r="G1216" s="21">
        <v>39234</v>
      </c>
      <c r="H1216" s="22">
        <f t="shared" ca="1" si="36"/>
        <v>19</v>
      </c>
      <c r="I1216" s="19" t="s">
        <v>912</v>
      </c>
      <c r="J1216" s="18" t="s">
        <v>27</v>
      </c>
      <c r="K1216" s="18"/>
      <c r="L1216" s="23" t="s">
        <v>4427</v>
      </c>
      <c r="M1216" s="23" t="s">
        <v>4428</v>
      </c>
      <c r="N1216" s="23" t="s">
        <v>1488</v>
      </c>
      <c r="O1216" s="18"/>
      <c r="P1216" s="24"/>
      <c r="Q1216" s="25">
        <v>45992</v>
      </c>
      <c r="R1216" s="13">
        <v>0</v>
      </c>
      <c r="S1216" s="26" t="str">
        <f>VLOOKUP(C1216,'[1]Bazaar Salary'!$B$6:$J$1193,9,0)</f>
        <v>01980010156107730011</v>
      </c>
      <c r="T1216" s="25" t="s">
        <v>32</v>
      </c>
      <c r="U1216" s="25" t="s">
        <v>231</v>
      </c>
      <c r="V1216" s="25"/>
      <c r="W1216" s="27" t="s">
        <v>4429</v>
      </c>
      <c r="X1216" s="28" t="s">
        <v>4430</v>
      </c>
      <c r="Y1216" s="28"/>
      <c r="Z1216" s="29" t="s">
        <v>37</v>
      </c>
    </row>
    <row r="1217" spans="1:26" ht="30" customHeight="1" thickBot="1" x14ac:dyDescent="0.25">
      <c r="A1217" s="17">
        <f t="shared" si="37"/>
        <v>1216</v>
      </c>
      <c r="B1217" s="18" t="s">
        <v>25</v>
      </c>
      <c r="C1217" s="19">
        <v>3610314752435</v>
      </c>
      <c r="D1217" s="19"/>
      <c r="E1217" s="20">
        <v>45967</v>
      </c>
      <c r="F1217" s="20">
        <v>49619</v>
      </c>
      <c r="G1217" s="21">
        <v>39234</v>
      </c>
      <c r="H1217" s="22">
        <f t="shared" ca="1" si="36"/>
        <v>19</v>
      </c>
      <c r="I1217" s="19" t="s">
        <v>912</v>
      </c>
      <c r="J1217" s="18" t="s">
        <v>27</v>
      </c>
      <c r="K1217" s="18"/>
      <c r="L1217" s="23" t="s">
        <v>4431</v>
      </c>
      <c r="M1217" s="23" t="s">
        <v>4428</v>
      </c>
      <c r="N1217" s="23" t="s">
        <v>1488</v>
      </c>
      <c r="O1217" s="18"/>
      <c r="P1217" s="24"/>
      <c r="Q1217" s="25">
        <v>45992</v>
      </c>
      <c r="R1217" s="13">
        <v>0</v>
      </c>
      <c r="S1217" s="26" t="str">
        <f>VLOOKUP(C1217,'[1]Bazaar Salary'!$B$6:$J$1193,9,0)</f>
        <v>01980010156097450015</v>
      </c>
      <c r="T1217" s="25" t="s">
        <v>32</v>
      </c>
      <c r="U1217" s="25" t="s">
        <v>231</v>
      </c>
      <c r="V1217" s="25"/>
      <c r="W1217" s="27" t="s">
        <v>4429</v>
      </c>
      <c r="X1217" s="28" t="s">
        <v>4432</v>
      </c>
      <c r="Y1217" s="28"/>
      <c r="Z1217" s="29" t="s">
        <v>37</v>
      </c>
    </row>
    <row r="1218" spans="1:26" ht="30" customHeight="1" thickBot="1" x14ac:dyDescent="0.25">
      <c r="A1218" s="17">
        <f t="shared" si="37"/>
        <v>1217</v>
      </c>
      <c r="B1218" s="18" t="s">
        <v>25</v>
      </c>
      <c r="C1218" s="19">
        <v>3610359694617</v>
      </c>
      <c r="D1218" s="19"/>
      <c r="E1218" s="20">
        <v>45820</v>
      </c>
      <c r="F1218" s="20">
        <v>49472</v>
      </c>
      <c r="G1218" s="21">
        <v>38814</v>
      </c>
      <c r="H1218" s="22">
        <f t="shared" ref="H1218:H1281" ca="1" si="38">INT((TODAY()-G1218)/365)</f>
        <v>20</v>
      </c>
      <c r="I1218" s="19" t="s">
        <v>912</v>
      </c>
      <c r="J1218" s="18" t="s">
        <v>27</v>
      </c>
      <c r="K1218" s="18"/>
      <c r="L1218" s="23" t="s">
        <v>4433</v>
      </c>
      <c r="M1218" s="23" t="s">
        <v>4424</v>
      </c>
      <c r="N1218" s="23" t="s">
        <v>1488</v>
      </c>
      <c r="O1218" s="18"/>
      <c r="P1218" s="24"/>
      <c r="Q1218" s="25">
        <v>45992</v>
      </c>
      <c r="R1218" s="13">
        <v>0</v>
      </c>
      <c r="S1218" s="26" t="str">
        <f>VLOOKUP(C1218,'[1]Bazaar Salary'!$B$6:$J$1193,9,0)</f>
        <v>01980010156108760013</v>
      </c>
      <c r="T1218" s="25" t="s">
        <v>32</v>
      </c>
      <c r="U1218" s="25" t="s">
        <v>231</v>
      </c>
      <c r="V1218" s="25"/>
      <c r="W1218" s="27" t="s">
        <v>4434</v>
      </c>
      <c r="X1218" s="28" t="s">
        <v>4432</v>
      </c>
      <c r="Y1218" s="28"/>
      <c r="Z1218" s="29" t="s">
        <v>37</v>
      </c>
    </row>
    <row r="1219" spans="1:26" ht="30" customHeight="1" thickBot="1" x14ac:dyDescent="0.25">
      <c r="A1219" s="17">
        <f t="shared" si="37"/>
        <v>1218</v>
      </c>
      <c r="B1219" s="18" t="s">
        <v>25</v>
      </c>
      <c r="C1219" s="19">
        <v>3540465521577</v>
      </c>
      <c r="D1219" s="19"/>
      <c r="E1219" s="20">
        <v>45567</v>
      </c>
      <c r="F1219" s="20">
        <v>49219</v>
      </c>
      <c r="G1219" s="21">
        <v>38969</v>
      </c>
      <c r="H1219" s="22">
        <f t="shared" ca="1" si="38"/>
        <v>19</v>
      </c>
      <c r="I1219" s="19" t="s">
        <v>26</v>
      </c>
      <c r="J1219" s="18" t="s">
        <v>27</v>
      </c>
      <c r="K1219" s="18"/>
      <c r="L1219" s="23" t="s">
        <v>732</v>
      </c>
      <c r="M1219" s="23" t="s">
        <v>4435</v>
      </c>
      <c r="N1219" s="23" t="s">
        <v>1499</v>
      </c>
      <c r="O1219" s="18"/>
      <c r="P1219" s="24"/>
      <c r="Q1219" s="25">
        <v>45992</v>
      </c>
      <c r="R1219" s="13">
        <v>0</v>
      </c>
      <c r="S1219" s="26" t="str">
        <f>VLOOKUP(C1219,'[1]Bazaar Salary'!$B$6:$J$1193,9,0)</f>
        <v>09000010152400020017</v>
      </c>
      <c r="T1219" s="25" t="s">
        <v>32</v>
      </c>
      <c r="U1219" s="25" t="s">
        <v>231</v>
      </c>
      <c r="V1219" s="25" t="s">
        <v>884</v>
      </c>
      <c r="W1219" s="27" t="s">
        <v>3714</v>
      </c>
      <c r="X1219" s="28" t="s">
        <v>4436</v>
      </c>
      <c r="Y1219" s="28"/>
      <c r="Z1219" s="29" t="s">
        <v>37</v>
      </c>
    </row>
    <row r="1220" spans="1:26" ht="30" customHeight="1" thickBot="1" x14ac:dyDescent="0.25">
      <c r="A1220" s="17">
        <f t="shared" ref="A1220:A1283" si="39">A1219+1</f>
        <v>1219</v>
      </c>
      <c r="B1220" s="18" t="s">
        <v>25</v>
      </c>
      <c r="C1220" s="19">
        <v>3610193549537</v>
      </c>
      <c r="D1220" s="19"/>
      <c r="E1220" s="20">
        <v>44277</v>
      </c>
      <c r="F1220" s="20">
        <v>47929</v>
      </c>
      <c r="G1220" s="21">
        <v>29740</v>
      </c>
      <c r="H1220" s="22">
        <f t="shared" ca="1" si="38"/>
        <v>45</v>
      </c>
      <c r="I1220" s="19" t="s">
        <v>26</v>
      </c>
      <c r="J1220" s="18" t="s">
        <v>27</v>
      </c>
      <c r="K1220" s="18"/>
      <c r="L1220" s="23" t="s">
        <v>4437</v>
      </c>
      <c r="M1220" s="23" t="s">
        <v>1290</v>
      </c>
      <c r="N1220" s="23" t="s">
        <v>1499</v>
      </c>
      <c r="O1220" s="18"/>
      <c r="P1220" s="24"/>
      <c r="Q1220" s="25">
        <v>45992</v>
      </c>
      <c r="R1220" s="13">
        <v>0</v>
      </c>
      <c r="S1220" s="26" t="str">
        <f>VLOOKUP(C1220,'[1]Bazaar Salary'!$B$6:$J$1193,9,0)</f>
        <v>01980010154877510018</v>
      </c>
      <c r="T1220" s="25" t="s">
        <v>32</v>
      </c>
      <c r="U1220" s="25" t="s">
        <v>231</v>
      </c>
      <c r="V1220" s="25"/>
      <c r="W1220" s="27" t="s">
        <v>4438</v>
      </c>
      <c r="X1220" s="28" t="s">
        <v>4439</v>
      </c>
      <c r="Y1220" s="28"/>
      <c r="Z1220" s="29" t="s">
        <v>37</v>
      </c>
    </row>
    <row r="1221" spans="1:26" ht="30" customHeight="1" thickBot="1" x14ac:dyDescent="0.25">
      <c r="A1221" s="17">
        <f t="shared" si="39"/>
        <v>1220</v>
      </c>
      <c r="B1221" s="18" t="s">
        <v>25</v>
      </c>
      <c r="C1221" s="19">
        <v>3610314013819</v>
      </c>
      <c r="D1221" s="19"/>
      <c r="E1221" s="20">
        <v>44609</v>
      </c>
      <c r="F1221" s="20">
        <v>48261</v>
      </c>
      <c r="G1221" s="21">
        <v>37853</v>
      </c>
      <c r="H1221" s="22">
        <f t="shared" ca="1" si="38"/>
        <v>22</v>
      </c>
      <c r="I1221" s="19" t="s">
        <v>26</v>
      </c>
      <c r="J1221" s="18" t="s">
        <v>27</v>
      </c>
      <c r="K1221" s="18"/>
      <c r="L1221" s="23" t="s">
        <v>4440</v>
      </c>
      <c r="M1221" s="23" t="s">
        <v>706</v>
      </c>
      <c r="N1221" s="23" t="s">
        <v>1499</v>
      </c>
      <c r="O1221" s="18"/>
      <c r="P1221" s="24"/>
      <c r="Q1221" s="25">
        <v>46002</v>
      </c>
      <c r="R1221" s="13">
        <v>0</v>
      </c>
      <c r="S1221" s="26" t="str">
        <f>VLOOKUP(C1221,'[1]Bazaar Salary'!$B$6:$J$1193,9,0)</f>
        <v>09040010156660230015</v>
      </c>
      <c r="T1221" s="25" t="s">
        <v>32</v>
      </c>
      <c r="U1221" s="25" t="s">
        <v>231</v>
      </c>
      <c r="V1221" s="25" t="s">
        <v>884</v>
      </c>
      <c r="W1221" s="27" t="s">
        <v>4441</v>
      </c>
      <c r="X1221" s="28" t="s">
        <v>4442</v>
      </c>
      <c r="Y1221" s="28"/>
      <c r="Z1221" s="29" t="s">
        <v>37</v>
      </c>
    </row>
    <row r="1222" spans="1:26" ht="30" customHeight="1" thickBot="1" x14ac:dyDescent="0.25">
      <c r="A1222" s="17">
        <f t="shared" si="39"/>
        <v>1221</v>
      </c>
      <c r="B1222" s="18" t="s">
        <v>25</v>
      </c>
      <c r="C1222" s="19">
        <v>3610340552531</v>
      </c>
      <c r="D1222" s="19"/>
      <c r="E1222" s="20">
        <v>45967</v>
      </c>
      <c r="F1222" s="20">
        <v>49619</v>
      </c>
      <c r="G1222" s="21">
        <v>34468</v>
      </c>
      <c r="H1222" s="22">
        <f t="shared" ca="1" si="38"/>
        <v>32</v>
      </c>
      <c r="I1222" s="19" t="s">
        <v>26</v>
      </c>
      <c r="J1222" s="18" t="s">
        <v>27</v>
      </c>
      <c r="K1222" s="18"/>
      <c r="L1222" s="23" t="s">
        <v>3885</v>
      </c>
      <c r="M1222" s="23" t="s">
        <v>402</v>
      </c>
      <c r="N1222" s="23" t="s">
        <v>1499</v>
      </c>
      <c r="O1222" s="18"/>
      <c r="P1222" s="24"/>
      <c r="Q1222" s="25">
        <v>46002</v>
      </c>
      <c r="R1222" s="13">
        <v>0</v>
      </c>
      <c r="S1222" s="26" t="str">
        <f>VLOOKUP(C1222,'[1]Bazaar Salary'!$B$6:$J$1193,9,0)</f>
        <v>09040010149292080020</v>
      </c>
      <c r="T1222" s="25" t="s">
        <v>32</v>
      </c>
      <c r="U1222" s="25" t="s">
        <v>231</v>
      </c>
      <c r="V1222" s="25" t="s">
        <v>884</v>
      </c>
      <c r="W1222" s="27" t="s">
        <v>4441</v>
      </c>
      <c r="X1222" s="28" t="s">
        <v>4443</v>
      </c>
      <c r="Y1222" s="28"/>
      <c r="Z1222" s="29" t="s">
        <v>37</v>
      </c>
    </row>
    <row r="1223" spans="1:26" ht="30" customHeight="1" thickBot="1" x14ac:dyDescent="0.25">
      <c r="A1223" s="17">
        <f t="shared" si="39"/>
        <v>1222</v>
      </c>
      <c r="B1223" s="18" t="s">
        <v>25</v>
      </c>
      <c r="C1223" s="19">
        <v>3620240739141</v>
      </c>
      <c r="D1223" s="19"/>
      <c r="E1223" s="20">
        <v>44378</v>
      </c>
      <c r="F1223" s="20">
        <v>48030</v>
      </c>
      <c r="G1223" s="21">
        <v>37714</v>
      </c>
      <c r="H1223" s="22">
        <f t="shared" ca="1" si="38"/>
        <v>23</v>
      </c>
      <c r="I1223" s="19" t="s">
        <v>26</v>
      </c>
      <c r="J1223" s="18" t="s">
        <v>27</v>
      </c>
      <c r="K1223" s="18"/>
      <c r="L1223" s="23" t="s">
        <v>4444</v>
      </c>
      <c r="M1223" s="23" t="s">
        <v>1158</v>
      </c>
      <c r="N1223" s="23" t="s">
        <v>1499</v>
      </c>
      <c r="O1223" s="18"/>
      <c r="P1223" s="24"/>
      <c r="Q1223" s="25">
        <v>45992</v>
      </c>
      <c r="R1223" s="13">
        <v>0</v>
      </c>
      <c r="S1223" s="26" t="str">
        <f>VLOOKUP(C1223,'[1]Bazaar Salary'!$B$6:$J$1193,9,0)</f>
        <v>08190010096057840019</v>
      </c>
      <c r="T1223" s="25" t="s">
        <v>32</v>
      </c>
      <c r="U1223" s="25" t="s">
        <v>231</v>
      </c>
      <c r="V1223" s="25"/>
      <c r="W1223" s="27" t="s">
        <v>4445</v>
      </c>
      <c r="X1223" s="28" t="s">
        <v>4446</v>
      </c>
      <c r="Y1223" s="28"/>
      <c r="Z1223" s="29" t="s">
        <v>37</v>
      </c>
    </row>
    <row r="1224" spans="1:26" ht="30" customHeight="1" thickBot="1" x14ac:dyDescent="0.25">
      <c r="A1224" s="17">
        <f t="shared" si="39"/>
        <v>1223</v>
      </c>
      <c r="B1224" s="18" t="s">
        <v>25</v>
      </c>
      <c r="C1224" s="19">
        <v>3650104875017</v>
      </c>
      <c r="D1224" s="19"/>
      <c r="E1224" s="20">
        <v>45657</v>
      </c>
      <c r="F1224" s="20">
        <v>49309</v>
      </c>
      <c r="G1224" s="21">
        <v>39015</v>
      </c>
      <c r="H1224" s="22">
        <f t="shared" ca="1" si="38"/>
        <v>19</v>
      </c>
      <c r="I1224" s="19" t="s">
        <v>26</v>
      </c>
      <c r="J1224" s="18" t="s">
        <v>27</v>
      </c>
      <c r="K1224" s="18"/>
      <c r="L1224" s="23" t="s">
        <v>4447</v>
      </c>
      <c r="M1224" s="23" t="s">
        <v>4448</v>
      </c>
      <c r="N1224" s="23" t="s">
        <v>1499</v>
      </c>
      <c r="O1224" s="18"/>
      <c r="P1224" s="24"/>
      <c r="Q1224" s="25">
        <v>45992</v>
      </c>
      <c r="R1224" s="13">
        <v>0</v>
      </c>
      <c r="S1224" s="26" t="str">
        <f>VLOOKUP(C1224,'[1]Bazaar Salary'!$B$6:$J$1193,9,0)</f>
        <v>09000010152567440017</v>
      </c>
      <c r="T1224" s="25" t="s">
        <v>32</v>
      </c>
      <c r="U1224" s="25" t="s">
        <v>231</v>
      </c>
      <c r="V1224" s="25"/>
      <c r="W1224" s="27" t="s">
        <v>4449</v>
      </c>
      <c r="X1224" s="28" t="s">
        <v>4450</v>
      </c>
      <c r="Y1224" s="28"/>
      <c r="Z1224" s="29" t="s">
        <v>37</v>
      </c>
    </row>
    <row r="1225" spans="1:26" ht="30" customHeight="1" thickBot="1" x14ac:dyDescent="0.25">
      <c r="A1225" s="17">
        <f t="shared" si="39"/>
        <v>1224</v>
      </c>
      <c r="B1225" s="18" t="s">
        <v>25</v>
      </c>
      <c r="C1225" s="19">
        <v>3610343366219</v>
      </c>
      <c r="D1225" s="19"/>
      <c r="E1225" s="20">
        <v>44110</v>
      </c>
      <c r="F1225" s="20">
        <v>47762</v>
      </c>
      <c r="G1225" s="21">
        <v>30649</v>
      </c>
      <c r="H1225" s="22">
        <f t="shared" ca="1" si="38"/>
        <v>42</v>
      </c>
      <c r="I1225" s="19" t="s">
        <v>26</v>
      </c>
      <c r="J1225" s="18" t="s">
        <v>27</v>
      </c>
      <c r="K1225" s="18"/>
      <c r="L1225" s="23" t="s">
        <v>4451</v>
      </c>
      <c r="M1225" s="23" t="s">
        <v>4452</v>
      </c>
      <c r="N1225" s="23" t="s">
        <v>1499</v>
      </c>
      <c r="O1225" s="18"/>
      <c r="P1225" s="24"/>
      <c r="Q1225" s="25">
        <v>45992</v>
      </c>
      <c r="R1225" s="13">
        <v>0</v>
      </c>
      <c r="S1225" s="26" t="str">
        <f>VLOOKUP(C1225,'[1]Bazaar Salary'!$B$6:$J$1193,9,0)</f>
        <v>01980010152399170010</v>
      </c>
      <c r="T1225" s="25" t="s">
        <v>32</v>
      </c>
      <c r="U1225" s="25" t="s">
        <v>231</v>
      </c>
      <c r="V1225" s="25"/>
      <c r="W1225" s="27" t="s">
        <v>4453</v>
      </c>
      <c r="X1225" s="28" t="s">
        <v>4454</v>
      </c>
      <c r="Y1225" s="28"/>
      <c r="Z1225" s="29" t="s">
        <v>37</v>
      </c>
    </row>
    <row r="1226" spans="1:26" ht="30" customHeight="1" thickBot="1" x14ac:dyDescent="0.25">
      <c r="A1226" s="17">
        <f t="shared" si="39"/>
        <v>1225</v>
      </c>
      <c r="B1226" s="18" t="s">
        <v>25</v>
      </c>
      <c r="C1226" s="19">
        <v>3610368670007</v>
      </c>
      <c r="D1226" s="19"/>
      <c r="E1226" s="20">
        <v>45244</v>
      </c>
      <c r="F1226" s="20">
        <v>48897</v>
      </c>
      <c r="G1226" s="21">
        <v>38649</v>
      </c>
      <c r="H1226" s="22">
        <f t="shared" ca="1" si="38"/>
        <v>20</v>
      </c>
      <c r="I1226" s="19" t="s">
        <v>26</v>
      </c>
      <c r="J1226" s="18" t="s">
        <v>27</v>
      </c>
      <c r="K1226" s="18"/>
      <c r="L1226" s="23" t="s">
        <v>4455</v>
      </c>
      <c r="M1226" s="23" t="s">
        <v>4456</v>
      </c>
      <c r="N1226" s="23" t="s">
        <v>1499</v>
      </c>
      <c r="O1226" s="18"/>
      <c r="P1226" s="24"/>
      <c r="Q1226" s="25">
        <v>45992</v>
      </c>
      <c r="R1226" s="13">
        <v>0</v>
      </c>
      <c r="S1226" s="26" t="str">
        <f>VLOOKUP(C1226,'[1]Bazaar Salary'!$B$6:$J$1193,9,0)</f>
        <v>01980010152401000013</v>
      </c>
      <c r="T1226" s="25" t="s">
        <v>32</v>
      </c>
      <c r="U1226" s="25" t="s">
        <v>231</v>
      </c>
      <c r="V1226" s="25"/>
      <c r="W1226" s="27" t="s">
        <v>4453</v>
      </c>
      <c r="X1226" s="28" t="s">
        <v>4457</v>
      </c>
      <c r="Y1226" s="28"/>
      <c r="Z1226" s="29" t="s">
        <v>37</v>
      </c>
    </row>
    <row r="1227" spans="1:26" ht="30" customHeight="1" thickBot="1" x14ac:dyDescent="0.25">
      <c r="A1227" s="17">
        <f t="shared" si="39"/>
        <v>1226</v>
      </c>
      <c r="B1227" s="18" t="s">
        <v>25</v>
      </c>
      <c r="C1227" s="19">
        <v>3630397876343</v>
      </c>
      <c r="D1227" s="19"/>
      <c r="E1227" s="20">
        <v>45106</v>
      </c>
      <c r="F1227" s="20">
        <v>48759</v>
      </c>
      <c r="G1227" s="21">
        <v>32184</v>
      </c>
      <c r="H1227" s="22">
        <f t="shared" ca="1" si="38"/>
        <v>38</v>
      </c>
      <c r="I1227" s="19" t="s">
        <v>26</v>
      </c>
      <c r="J1227" s="18" t="s">
        <v>27</v>
      </c>
      <c r="K1227" s="18"/>
      <c r="L1227" s="23" t="s">
        <v>510</v>
      </c>
      <c r="M1227" s="23" t="s">
        <v>4458</v>
      </c>
      <c r="N1227" s="23" t="s">
        <v>1488</v>
      </c>
      <c r="O1227" s="18"/>
      <c r="P1227" s="24"/>
      <c r="Q1227" s="25">
        <v>46065</v>
      </c>
      <c r="R1227" s="13">
        <v>0</v>
      </c>
      <c r="S1227" s="26" t="str">
        <f>VLOOKUP(C1227,'[4]Daily Wages '!$B$6:$G$197,6,0)</f>
        <v>10650010088387470011</v>
      </c>
      <c r="T1227" s="25" t="s">
        <v>32</v>
      </c>
      <c r="U1227" s="25" t="s">
        <v>231</v>
      </c>
      <c r="V1227" s="25"/>
      <c r="W1227" s="27" t="s">
        <v>4459</v>
      </c>
      <c r="X1227" s="28" t="s">
        <v>4460</v>
      </c>
      <c r="Y1227" s="28"/>
      <c r="Z1227" s="29" t="s">
        <v>3390</v>
      </c>
    </row>
    <row r="1228" spans="1:26" ht="30" customHeight="1" thickBot="1" x14ac:dyDescent="0.25">
      <c r="A1228" s="17">
        <f t="shared" si="39"/>
        <v>1227</v>
      </c>
      <c r="B1228" s="18" t="s">
        <v>25</v>
      </c>
      <c r="C1228" s="19">
        <v>3630461614357</v>
      </c>
      <c r="D1228" s="19"/>
      <c r="E1228" s="20">
        <v>45700</v>
      </c>
      <c r="F1228" s="20">
        <v>49352</v>
      </c>
      <c r="G1228" s="21">
        <v>39076</v>
      </c>
      <c r="H1228" s="22">
        <f t="shared" ca="1" si="38"/>
        <v>19</v>
      </c>
      <c r="I1228" s="19" t="s">
        <v>26</v>
      </c>
      <c r="J1228" s="18" t="s">
        <v>27</v>
      </c>
      <c r="K1228" s="18"/>
      <c r="L1228" s="23" t="s">
        <v>4461</v>
      </c>
      <c r="M1228" s="23" t="s">
        <v>711</v>
      </c>
      <c r="N1228" s="23" t="s">
        <v>1488</v>
      </c>
      <c r="O1228" s="18"/>
      <c r="P1228" s="24"/>
      <c r="Q1228" s="25">
        <v>46065</v>
      </c>
      <c r="R1228" s="13">
        <v>0</v>
      </c>
      <c r="S1228" s="26" t="str">
        <f>VLOOKUP(C1228,'[4]Daily Wages '!$B$6:$G$197,6,0)</f>
        <v>52010020160743330019</v>
      </c>
      <c r="T1228" s="25" t="s">
        <v>32</v>
      </c>
      <c r="U1228" s="25" t="s">
        <v>231</v>
      </c>
      <c r="V1228" s="25"/>
      <c r="W1228" s="27" t="s">
        <v>4462</v>
      </c>
      <c r="X1228" s="28" t="s">
        <v>4463</v>
      </c>
      <c r="Y1228" s="28"/>
      <c r="Z1228" s="29" t="s">
        <v>3390</v>
      </c>
    </row>
    <row r="1229" spans="1:26" ht="30" customHeight="1" thickBot="1" x14ac:dyDescent="0.25">
      <c r="A1229" s="17">
        <f t="shared" si="39"/>
        <v>1228</v>
      </c>
      <c r="B1229" s="18" t="s">
        <v>25</v>
      </c>
      <c r="C1229" s="19">
        <v>3610385488963</v>
      </c>
      <c r="D1229" s="19"/>
      <c r="E1229" s="20"/>
      <c r="F1229" s="20"/>
      <c r="G1229" s="21">
        <v>36524</v>
      </c>
      <c r="H1229" s="22">
        <f t="shared" ca="1" si="38"/>
        <v>26</v>
      </c>
      <c r="I1229" s="19" t="s">
        <v>26</v>
      </c>
      <c r="J1229" s="18" t="s">
        <v>27</v>
      </c>
      <c r="K1229" s="18"/>
      <c r="L1229" s="23" t="s">
        <v>4464</v>
      </c>
      <c r="M1229" s="23"/>
      <c r="N1229" s="23" t="s">
        <v>1499</v>
      </c>
      <c r="O1229" s="18"/>
      <c r="P1229" s="24"/>
      <c r="Q1229" s="25">
        <v>45985</v>
      </c>
      <c r="R1229" s="13">
        <v>0</v>
      </c>
      <c r="S1229" s="26" t="str">
        <f>VLOOKUP(C1229,'[4]Daily Wages '!$B$6:$G$197,6,0)</f>
        <v>09410010160204500019</v>
      </c>
      <c r="T1229" s="25" t="s">
        <v>32</v>
      </c>
      <c r="U1229" s="25" t="s">
        <v>231</v>
      </c>
      <c r="V1229" s="25" t="s">
        <v>4465</v>
      </c>
      <c r="W1229" s="27" t="s">
        <v>4466</v>
      </c>
      <c r="X1229" s="28" t="s">
        <v>4467</v>
      </c>
      <c r="Y1229" s="28"/>
      <c r="Z1229" s="29" t="s">
        <v>3390</v>
      </c>
    </row>
    <row r="1230" spans="1:26" ht="30" customHeight="1" thickBot="1" x14ac:dyDescent="0.25">
      <c r="A1230" s="17">
        <f t="shared" si="39"/>
        <v>1229</v>
      </c>
      <c r="B1230" s="18" t="s">
        <v>25</v>
      </c>
      <c r="C1230" s="19">
        <v>3520258411749</v>
      </c>
      <c r="D1230" s="19"/>
      <c r="E1230" s="20">
        <v>43816</v>
      </c>
      <c r="F1230" s="20">
        <v>47469</v>
      </c>
      <c r="G1230" s="21">
        <v>32225</v>
      </c>
      <c r="H1230" s="22">
        <f t="shared" ca="1" si="38"/>
        <v>38</v>
      </c>
      <c r="I1230" s="19" t="s">
        <v>26</v>
      </c>
      <c r="J1230" s="18" t="s">
        <v>27</v>
      </c>
      <c r="K1230" s="18"/>
      <c r="L1230" s="23" t="s">
        <v>4468</v>
      </c>
      <c r="M1230" s="23" t="s">
        <v>438</v>
      </c>
      <c r="N1230" s="24" t="s">
        <v>1295</v>
      </c>
      <c r="O1230" s="18"/>
      <c r="P1230" s="24"/>
      <c r="Q1230" s="25">
        <v>46039</v>
      </c>
      <c r="R1230" s="13">
        <v>0</v>
      </c>
      <c r="S1230" s="26" t="str">
        <f>VLOOKUP(C1230,'[1]Bazaar Salary'!$B$6:$J$1193,9,0)</f>
        <v>03910010160275290014</v>
      </c>
      <c r="T1230" s="25" t="s">
        <v>32</v>
      </c>
      <c r="U1230" s="25" t="s">
        <v>1134</v>
      </c>
      <c r="V1230" s="25"/>
      <c r="W1230" s="27" t="s">
        <v>4469</v>
      </c>
      <c r="X1230" s="28" t="s">
        <v>4470</v>
      </c>
      <c r="Y1230" s="28"/>
      <c r="Z1230" s="29" t="s">
        <v>37</v>
      </c>
    </row>
    <row r="1231" spans="1:26" ht="30" customHeight="1" thickBot="1" x14ac:dyDescent="0.25">
      <c r="A1231" s="17">
        <f t="shared" si="39"/>
        <v>1230</v>
      </c>
      <c r="B1231" s="18" t="s">
        <v>25</v>
      </c>
      <c r="C1231" s="19">
        <v>3520201339323</v>
      </c>
      <c r="D1231" s="19"/>
      <c r="E1231" s="20">
        <v>45177</v>
      </c>
      <c r="F1231" s="20">
        <v>48830</v>
      </c>
      <c r="G1231" s="21">
        <v>38592</v>
      </c>
      <c r="H1231" s="22">
        <f t="shared" ca="1" si="38"/>
        <v>20</v>
      </c>
      <c r="I1231" s="19" t="s">
        <v>26</v>
      </c>
      <c r="J1231" s="18" t="s">
        <v>27</v>
      </c>
      <c r="K1231" s="18"/>
      <c r="L1231" s="23" t="s">
        <v>4471</v>
      </c>
      <c r="M1231" s="23" t="s">
        <v>4472</v>
      </c>
      <c r="N1231" s="23" t="s">
        <v>1295</v>
      </c>
      <c r="O1231" s="18"/>
      <c r="P1231" s="24"/>
      <c r="Q1231" s="25">
        <v>46015</v>
      </c>
      <c r="R1231" s="13">
        <v>0</v>
      </c>
      <c r="S1231" s="26" t="str">
        <f>VLOOKUP(C1231,'[1]Bazaar Salary'!$B$6:$J$1193,9,0)</f>
        <v>06880010136187920012</v>
      </c>
      <c r="T1231" s="25" t="s">
        <v>32</v>
      </c>
      <c r="U1231" s="25" t="s">
        <v>1134</v>
      </c>
      <c r="V1231" s="25" t="s">
        <v>884</v>
      </c>
      <c r="W1231" s="27" t="s">
        <v>4473</v>
      </c>
      <c r="X1231" s="28" t="s">
        <v>4474</v>
      </c>
      <c r="Y1231" s="28"/>
      <c r="Z1231" s="29" t="s">
        <v>37</v>
      </c>
    </row>
    <row r="1232" spans="1:26" ht="30" customHeight="1" thickBot="1" x14ac:dyDescent="0.25">
      <c r="A1232" s="17">
        <f t="shared" si="39"/>
        <v>1231</v>
      </c>
      <c r="B1232" s="18" t="s">
        <v>25</v>
      </c>
      <c r="C1232" s="19">
        <v>3520299463385</v>
      </c>
      <c r="D1232" s="19"/>
      <c r="E1232" s="20">
        <v>43395</v>
      </c>
      <c r="F1232" s="20">
        <v>47048</v>
      </c>
      <c r="G1232" s="21">
        <v>35796</v>
      </c>
      <c r="H1232" s="22">
        <f t="shared" ca="1" si="38"/>
        <v>28</v>
      </c>
      <c r="I1232" s="19" t="s">
        <v>26</v>
      </c>
      <c r="J1232" s="18" t="s">
        <v>27</v>
      </c>
      <c r="K1232" s="18"/>
      <c r="L1232" s="23" t="s">
        <v>4475</v>
      </c>
      <c r="M1232" s="23" t="s">
        <v>2214</v>
      </c>
      <c r="N1232" s="23" t="s">
        <v>1295</v>
      </c>
      <c r="O1232" s="18"/>
      <c r="P1232" s="24"/>
      <c r="Q1232" s="25">
        <v>46039</v>
      </c>
      <c r="R1232" s="13">
        <v>0</v>
      </c>
      <c r="S1232" s="26" t="str">
        <f>VLOOKUP(C1232,'[1]Bazaar Salary'!$B$6:$J$1193,9,0)</f>
        <v>07660010159238060010</v>
      </c>
      <c r="T1232" s="25" t="s">
        <v>32</v>
      </c>
      <c r="U1232" s="25" t="s">
        <v>1134</v>
      </c>
      <c r="V1232" s="25"/>
      <c r="W1232" s="27" t="s">
        <v>4476</v>
      </c>
      <c r="X1232" s="28" t="s">
        <v>4477</v>
      </c>
      <c r="Y1232" s="28"/>
      <c r="Z1232" s="29" t="s">
        <v>37</v>
      </c>
    </row>
    <row r="1233" spans="1:26" ht="30" customHeight="1" thickBot="1" x14ac:dyDescent="0.25">
      <c r="A1233" s="17">
        <f t="shared" si="39"/>
        <v>1232</v>
      </c>
      <c r="B1233" s="18" t="s">
        <v>25</v>
      </c>
      <c r="C1233" s="19">
        <v>3520290643403</v>
      </c>
      <c r="D1233" s="19"/>
      <c r="E1233" s="20">
        <v>42894</v>
      </c>
      <c r="F1233" s="20">
        <v>46546</v>
      </c>
      <c r="G1233" s="21">
        <v>32581</v>
      </c>
      <c r="H1233" s="22">
        <f t="shared" ca="1" si="38"/>
        <v>37</v>
      </c>
      <c r="I1233" s="19" t="s">
        <v>26</v>
      </c>
      <c r="J1233" s="18" t="s">
        <v>27</v>
      </c>
      <c r="K1233" s="18"/>
      <c r="L1233" s="23" t="s">
        <v>4478</v>
      </c>
      <c r="M1233" s="23" t="s">
        <v>1222</v>
      </c>
      <c r="N1233" s="24" t="s">
        <v>3988</v>
      </c>
      <c r="O1233" s="18"/>
      <c r="P1233" s="24"/>
      <c r="Q1233" s="25">
        <v>45992</v>
      </c>
      <c r="R1233" s="13">
        <v>0</v>
      </c>
      <c r="S1233" s="26" t="str">
        <f>VLOOKUP(C1233,'[1]Bazaar Salary'!$B$6:$J$1193,9,0)</f>
        <v>02880010151642060011</v>
      </c>
      <c r="T1233" s="25" t="s">
        <v>32</v>
      </c>
      <c r="U1233" s="25" t="s">
        <v>1134</v>
      </c>
      <c r="V1233" s="25" t="s">
        <v>3391</v>
      </c>
      <c r="W1233" s="27" t="s">
        <v>4479</v>
      </c>
      <c r="X1233" s="28" t="s">
        <v>4480</v>
      </c>
      <c r="Y1233" s="28"/>
      <c r="Z1233" s="29" t="s">
        <v>37</v>
      </c>
    </row>
    <row r="1234" spans="1:26" ht="30" customHeight="1" thickBot="1" x14ac:dyDescent="0.25">
      <c r="A1234" s="17">
        <f t="shared" si="39"/>
        <v>1233</v>
      </c>
      <c r="B1234" s="18" t="s">
        <v>25</v>
      </c>
      <c r="C1234" s="19">
        <v>3520213613871</v>
      </c>
      <c r="D1234" s="19"/>
      <c r="E1234" s="20">
        <v>45008</v>
      </c>
      <c r="F1234" s="20">
        <v>48661</v>
      </c>
      <c r="G1234" s="21">
        <v>38311</v>
      </c>
      <c r="H1234" s="22">
        <f t="shared" ca="1" si="38"/>
        <v>21</v>
      </c>
      <c r="I1234" s="19" t="s">
        <v>912</v>
      </c>
      <c r="J1234" s="18" t="s">
        <v>27</v>
      </c>
      <c r="K1234" s="18"/>
      <c r="L1234" s="23" t="s">
        <v>1798</v>
      </c>
      <c r="M1234" s="23" t="s">
        <v>4481</v>
      </c>
      <c r="N1234" s="23" t="s">
        <v>1488</v>
      </c>
      <c r="O1234" s="18"/>
      <c r="P1234" s="24"/>
      <c r="Q1234" s="25">
        <v>45994</v>
      </c>
      <c r="R1234" s="13">
        <v>0</v>
      </c>
      <c r="S1234" s="26"/>
      <c r="T1234" s="25"/>
      <c r="U1234" s="25" t="s">
        <v>1134</v>
      </c>
      <c r="V1234" s="25"/>
      <c r="W1234" s="27" t="s">
        <v>4482</v>
      </c>
      <c r="X1234" s="28" t="s">
        <v>4483</v>
      </c>
      <c r="Y1234" s="28"/>
      <c r="Z1234" s="29" t="s">
        <v>37</v>
      </c>
    </row>
    <row r="1235" spans="1:26" ht="30" customHeight="1" thickBot="1" x14ac:dyDescent="0.25">
      <c r="A1235" s="17">
        <f t="shared" si="39"/>
        <v>1234</v>
      </c>
      <c r="B1235" s="18" t="s">
        <v>25</v>
      </c>
      <c r="C1235" s="19">
        <v>3520403615643</v>
      </c>
      <c r="D1235" s="19"/>
      <c r="E1235" s="20">
        <v>44508</v>
      </c>
      <c r="F1235" s="20">
        <v>48160</v>
      </c>
      <c r="G1235" s="21">
        <v>36838</v>
      </c>
      <c r="H1235" s="22">
        <f t="shared" ca="1" si="38"/>
        <v>25</v>
      </c>
      <c r="I1235" s="19" t="s">
        <v>912</v>
      </c>
      <c r="J1235" s="18" t="s">
        <v>27</v>
      </c>
      <c r="K1235" s="18"/>
      <c r="L1235" s="23" t="s">
        <v>2342</v>
      </c>
      <c r="M1235" s="23" t="s">
        <v>4484</v>
      </c>
      <c r="N1235" s="23" t="s">
        <v>1488</v>
      </c>
      <c r="O1235" s="18"/>
      <c r="P1235" s="24"/>
      <c r="Q1235" s="25">
        <v>46030</v>
      </c>
      <c r="R1235" s="13">
        <v>0</v>
      </c>
      <c r="S1235" s="26" t="str">
        <f>VLOOKUP(C1235,'[1]Bazaar Salary'!$B$6:$J$1193,9,0)</f>
        <v>10520010125869340018</v>
      </c>
      <c r="T1235" s="25" t="s">
        <v>32</v>
      </c>
      <c r="U1235" s="25" t="s">
        <v>1134</v>
      </c>
      <c r="V1235" s="25"/>
      <c r="W1235" s="27" t="s">
        <v>4485</v>
      </c>
      <c r="X1235" s="28" t="s">
        <v>4486</v>
      </c>
      <c r="Y1235" s="28"/>
      <c r="Z1235" s="29" t="s">
        <v>37</v>
      </c>
    </row>
    <row r="1236" spans="1:26" ht="30" customHeight="1" thickBot="1" x14ac:dyDescent="0.25">
      <c r="A1236" s="17">
        <f t="shared" si="39"/>
        <v>1235</v>
      </c>
      <c r="B1236" s="18" t="s">
        <v>25</v>
      </c>
      <c r="C1236" s="19">
        <v>3520280098527</v>
      </c>
      <c r="D1236" s="19"/>
      <c r="E1236" s="20">
        <v>43510</v>
      </c>
      <c r="F1236" s="20">
        <v>47163</v>
      </c>
      <c r="G1236" s="21">
        <v>36161</v>
      </c>
      <c r="H1236" s="22">
        <f t="shared" ca="1" si="38"/>
        <v>27</v>
      </c>
      <c r="I1236" s="19" t="s">
        <v>912</v>
      </c>
      <c r="J1236" s="18" t="s">
        <v>27</v>
      </c>
      <c r="K1236" s="18"/>
      <c r="L1236" s="23" t="s">
        <v>4487</v>
      </c>
      <c r="M1236" s="23" t="s">
        <v>2747</v>
      </c>
      <c r="N1236" s="23" t="s">
        <v>1488</v>
      </c>
      <c r="O1236" s="18"/>
      <c r="P1236" s="24"/>
      <c r="Q1236" s="25">
        <v>45992</v>
      </c>
      <c r="R1236" s="13">
        <v>0</v>
      </c>
      <c r="S1236" s="26" t="str">
        <f>VLOOKUP(C1236,'[1]Bazaar Salary'!$B$6:$J$1193,9,0)</f>
        <v>05380010156230350011</v>
      </c>
      <c r="T1236" s="25" t="s">
        <v>32</v>
      </c>
      <c r="U1236" s="25" t="s">
        <v>1134</v>
      </c>
      <c r="V1236" s="25"/>
      <c r="W1236" s="27" t="s">
        <v>4488</v>
      </c>
      <c r="X1236" s="28" t="s">
        <v>4489</v>
      </c>
      <c r="Y1236" s="28"/>
      <c r="Z1236" s="29" t="s">
        <v>37</v>
      </c>
    </row>
    <row r="1237" spans="1:26" ht="30" customHeight="1" thickBot="1" x14ac:dyDescent="0.25">
      <c r="A1237" s="17">
        <f t="shared" si="39"/>
        <v>1236</v>
      </c>
      <c r="B1237" s="18" t="s">
        <v>25</v>
      </c>
      <c r="C1237" s="19">
        <v>3640252010287</v>
      </c>
      <c r="D1237" s="19"/>
      <c r="E1237" s="20">
        <v>43258</v>
      </c>
      <c r="F1237" s="20">
        <v>46911</v>
      </c>
      <c r="G1237" s="21">
        <v>32874</v>
      </c>
      <c r="H1237" s="22">
        <f t="shared" ca="1" si="38"/>
        <v>36</v>
      </c>
      <c r="I1237" s="19" t="s">
        <v>26</v>
      </c>
      <c r="J1237" s="18" t="s">
        <v>27</v>
      </c>
      <c r="K1237" s="18"/>
      <c r="L1237" s="23" t="s">
        <v>2309</v>
      </c>
      <c r="M1237" s="23" t="s">
        <v>4490</v>
      </c>
      <c r="N1237" s="23" t="s">
        <v>1488</v>
      </c>
      <c r="O1237" s="18"/>
      <c r="P1237" s="24"/>
      <c r="Q1237" s="25">
        <v>45996</v>
      </c>
      <c r="R1237" s="13">
        <v>0</v>
      </c>
      <c r="S1237" s="26" t="str">
        <f>VLOOKUP(C1237,'[1]Bazaar Salary'!$B$6:$J$1193,9,0)</f>
        <v>05380010156423520015</v>
      </c>
      <c r="T1237" s="25" t="s">
        <v>32</v>
      </c>
      <c r="U1237" s="25" t="s">
        <v>1134</v>
      </c>
      <c r="V1237" s="25"/>
      <c r="W1237" s="27" t="s">
        <v>4491</v>
      </c>
      <c r="X1237" s="28" t="s">
        <v>4492</v>
      </c>
      <c r="Y1237" s="28"/>
      <c r="Z1237" s="29" t="s">
        <v>37</v>
      </c>
    </row>
    <row r="1238" spans="1:26" ht="30" customHeight="1" thickBot="1" x14ac:dyDescent="0.25">
      <c r="A1238" s="17">
        <f t="shared" si="39"/>
        <v>1237</v>
      </c>
      <c r="B1238" s="18" t="s">
        <v>25</v>
      </c>
      <c r="C1238" s="19">
        <v>3510274006037</v>
      </c>
      <c r="D1238" s="19"/>
      <c r="E1238" s="20">
        <v>44179</v>
      </c>
      <c r="F1238" s="20">
        <v>47831</v>
      </c>
      <c r="G1238" s="21">
        <v>36360</v>
      </c>
      <c r="H1238" s="22">
        <f t="shared" ca="1" si="38"/>
        <v>26</v>
      </c>
      <c r="I1238" s="19" t="s">
        <v>26</v>
      </c>
      <c r="J1238" s="18" t="s">
        <v>27</v>
      </c>
      <c r="K1238" s="18"/>
      <c r="L1238" s="23" t="s">
        <v>4493</v>
      </c>
      <c r="M1238" s="23" t="s">
        <v>491</v>
      </c>
      <c r="N1238" s="23" t="s">
        <v>1499</v>
      </c>
      <c r="O1238" s="18"/>
      <c r="P1238" s="24"/>
      <c r="Q1238" s="25">
        <v>46015</v>
      </c>
      <c r="R1238" s="13">
        <v>0</v>
      </c>
      <c r="S1238" s="26" t="str">
        <f>VLOOKUP(C1238,'[1]Bazaar Salary'!$B$6:$J$1193,9,0)</f>
        <v>05380010157276160019</v>
      </c>
      <c r="T1238" s="25" t="s">
        <v>32</v>
      </c>
      <c r="U1238" s="25" t="s">
        <v>1134</v>
      </c>
      <c r="V1238" s="25"/>
      <c r="W1238" s="27" t="s">
        <v>4494</v>
      </c>
      <c r="X1238" s="28" t="s">
        <v>4495</v>
      </c>
      <c r="Y1238" s="28"/>
      <c r="Z1238" s="29" t="s">
        <v>37</v>
      </c>
    </row>
    <row r="1239" spans="1:26" ht="30" customHeight="1" thickBot="1" x14ac:dyDescent="0.25">
      <c r="A1239" s="17">
        <f t="shared" si="39"/>
        <v>1238</v>
      </c>
      <c r="B1239" s="18" t="s">
        <v>25</v>
      </c>
      <c r="C1239" s="19">
        <v>3530219452845</v>
      </c>
      <c r="D1239" s="19"/>
      <c r="E1239" s="20">
        <v>45757</v>
      </c>
      <c r="F1239" s="20">
        <v>49409</v>
      </c>
      <c r="G1239" s="21">
        <v>26002</v>
      </c>
      <c r="H1239" s="22">
        <f t="shared" ca="1" si="38"/>
        <v>55</v>
      </c>
      <c r="I1239" s="19" t="s">
        <v>26</v>
      </c>
      <c r="J1239" s="18" t="s">
        <v>27</v>
      </c>
      <c r="K1239" s="18"/>
      <c r="L1239" s="23" t="s">
        <v>1470</v>
      </c>
      <c r="M1239" s="23" t="s">
        <v>894</v>
      </c>
      <c r="N1239" s="23" t="s">
        <v>1499</v>
      </c>
      <c r="O1239" s="18"/>
      <c r="P1239" s="24"/>
      <c r="Q1239" s="25">
        <v>46011</v>
      </c>
      <c r="R1239" s="13">
        <v>0</v>
      </c>
      <c r="S1239" s="26" t="str">
        <f>VLOOKUP(C1239,'[1]Bazaar Salary'!$B$6:$J$1193,9,0)</f>
        <v>05300010157084580017</v>
      </c>
      <c r="T1239" s="25" t="s">
        <v>32</v>
      </c>
      <c r="U1239" s="25" t="s">
        <v>1134</v>
      </c>
      <c r="V1239" s="25"/>
      <c r="W1239" s="27" t="s">
        <v>4496</v>
      </c>
      <c r="X1239" s="28" t="s">
        <v>4497</v>
      </c>
      <c r="Y1239" s="28"/>
      <c r="Z1239" s="29" t="s">
        <v>37</v>
      </c>
    </row>
    <row r="1240" spans="1:26" ht="30" customHeight="1" thickBot="1" x14ac:dyDescent="0.25">
      <c r="A1240" s="17">
        <f t="shared" si="39"/>
        <v>1239</v>
      </c>
      <c r="B1240" s="18" t="s">
        <v>25</v>
      </c>
      <c r="C1240" s="19">
        <v>3520269401805</v>
      </c>
      <c r="D1240" s="19"/>
      <c r="E1240" s="20">
        <v>42760</v>
      </c>
      <c r="F1240" s="20">
        <v>46412</v>
      </c>
      <c r="G1240" s="21">
        <v>29587</v>
      </c>
      <c r="H1240" s="22">
        <f t="shared" ca="1" si="38"/>
        <v>45</v>
      </c>
      <c r="I1240" s="19" t="s">
        <v>26</v>
      </c>
      <c r="J1240" s="18" t="s">
        <v>27</v>
      </c>
      <c r="K1240" s="18"/>
      <c r="L1240" s="23" t="s">
        <v>4498</v>
      </c>
      <c r="M1240" s="23" t="s">
        <v>711</v>
      </c>
      <c r="N1240" s="23" t="s">
        <v>1499</v>
      </c>
      <c r="O1240" s="18"/>
      <c r="P1240" s="24"/>
      <c r="Q1240" s="25">
        <v>46037</v>
      </c>
      <c r="R1240" s="13">
        <v>0</v>
      </c>
      <c r="S1240" s="26" t="str">
        <f>VLOOKUP(C1240,'[1]Bazaar Salary'!$B$6:$J$1193,9,0)</f>
        <v>07890010158237760010</v>
      </c>
      <c r="T1240" s="25" t="s">
        <v>32</v>
      </c>
      <c r="U1240" s="25" t="s">
        <v>1134</v>
      </c>
      <c r="V1240" s="25"/>
      <c r="W1240" s="27" t="s">
        <v>4499</v>
      </c>
      <c r="X1240" s="28" t="s">
        <v>4500</v>
      </c>
      <c r="Y1240" s="28"/>
      <c r="Z1240" s="29" t="s">
        <v>37</v>
      </c>
    </row>
    <row r="1241" spans="1:26" ht="30" customHeight="1" thickBot="1" x14ac:dyDescent="0.25">
      <c r="A1241" s="17">
        <f t="shared" si="39"/>
        <v>1240</v>
      </c>
      <c r="B1241" s="18" t="s">
        <v>25</v>
      </c>
      <c r="C1241" s="19">
        <v>3520403578569</v>
      </c>
      <c r="D1241" s="19"/>
      <c r="E1241" s="20">
        <v>45102</v>
      </c>
      <c r="F1241" s="20">
        <v>48755</v>
      </c>
      <c r="G1241" s="21">
        <v>37835</v>
      </c>
      <c r="H1241" s="22">
        <f t="shared" ca="1" si="38"/>
        <v>22</v>
      </c>
      <c r="I1241" s="19" t="s">
        <v>26</v>
      </c>
      <c r="J1241" s="18" t="s">
        <v>27</v>
      </c>
      <c r="K1241" s="18"/>
      <c r="L1241" s="23" t="s">
        <v>4501</v>
      </c>
      <c r="M1241" s="23" t="s">
        <v>4502</v>
      </c>
      <c r="N1241" s="23" t="s">
        <v>1295</v>
      </c>
      <c r="O1241" s="18"/>
      <c r="P1241" s="24"/>
      <c r="Q1241" s="25">
        <v>46080</v>
      </c>
      <c r="R1241" s="13">
        <v>0</v>
      </c>
      <c r="S1241" s="26" t="str">
        <f>VLOOKUP(C1241,'[3]May-26'!$B$5:$H$89,7,0)</f>
        <v>05380010160705200015</v>
      </c>
      <c r="T1241" s="25" t="s">
        <v>32</v>
      </c>
      <c r="U1241" s="25" t="s">
        <v>1134</v>
      </c>
      <c r="V1241" s="25" t="s">
        <v>884</v>
      </c>
      <c r="W1241" s="27" t="s">
        <v>4503</v>
      </c>
      <c r="X1241" s="28" t="s">
        <v>4504</v>
      </c>
      <c r="Y1241" s="28"/>
      <c r="Z1241" s="29" t="s">
        <v>3390</v>
      </c>
    </row>
    <row r="1242" spans="1:26" ht="30" customHeight="1" thickBot="1" x14ac:dyDescent="0.25">
      <c r="A1242" s="17">
        <f t="shared" si="39"/>
        <v>1241</v>
      </c>
      <c r="B1242" s="18" t="s">
        <v>25</v>
      </c>
      <c r="C1242" s="19">
        <v>3520076663721</v>
      </c>
      <c r="D1242" s="19"/>
      <c r="E1242" s="20">
        <v>44924</v>
      </c>
      <c r="F1242" s="20">
        <v>48577</v>
      </c>
      <c r="G1242" s="21">
        <v>38349</v>
      </c>
      <c r="H1242" s="22">
        <f t="shared" ca="1" si="38"/>
        <v>21</v>
      </c>
      <c r="I1242" s="19" t="s">
        <v>26</v>
      </c>
      <c r="J1242" s="18" t="s">
        <v>27</v>
      </c>
      <c r="K1242" s="18"/>
      <c r="L1242" s="23" t="s">
        <v>4505</v>
      </c>
      <c r="M1242" s="23" t="s">
        <v>4506</v>
      </c>
      <c r="N1242" s="23" t="s">
        <v>457</v>
      </c>
      <c r="O1242" s="18"/>
      <c r="P1242" s="24"/>
      <c r="Q1242" s="25">
        <v>46080</v>
      </c>
      <c r="R1242" s="13">
        <v>0</v>
      </c>
      <c r="S1242" s="26" t="str">
        <f>VLOOKUP(C1242,'[3]May-26'!$B$5:$H$89,7,0)</f>
        <v>06890010143578890014</v>
      </c>
      <c r="T1242" s="25" t="s">
        <v>32</v>
      </c>
      <c r="U1242" s="25" t="s">
        <v>1134</v>
      </c>
      <c r="V1242" s="25" t="s">
        <v>3391</v>
      </c>
      <c r="W1242" s="27" t="s">
        <v>4507</v>
      </c>
      <c r="X1242" s="28" t="s">
        <v>4508</v>
      </c>
      <c r="Y1242" s="28"/>
      <c r="Z1242" s="29" t="s">
        <v>3390</v>
      </c>
    </row>
    <row r="1243" spans="1:26" ht="30" customHeight="1" thickBot="1" x14ac:dyDescent="0.25">
      <c r="A1243" s="17">
        <f t="shared" si="39"/>
        <v>1242</v>
      </c>
      <c r="B1243" s="18" t="s">
        <v>25</v>
      </c>
      <c r="C1243" s="19">
        <v>3520279215099</v>
      </c>
      <c r="D1243" s="19"/>
      <c r="E1243" s="20">
        <v>44089</v>
      </c>
      <c r="F1243" s="20">
        <v>47741</v>
      </c>
      <c r="G1243" s="21">
        <v>34912</v>
      </c>
      <c r="H1243" s="22">
        <f t="shared" ca="1" si="38"/>
        <v>30</v>
      </c>
      <c r="I1243" s="19" t="s">
        <v>912</v>
      </c>
      <c r="J1243" s="18" t="s">
        <v>27</v>
      </c>
      <c r="K1243" s="18"/>
      <c r="L1243" s="23" t="s">
        <v>4509</v>
      </c>
      <c r="M1243" s="23" t="s">
        <v>4510</v>
      </c>
      <c r="N1243" s="23" t="s">
        <v>1488</v>
      </c>
      <c r="O1243" s="18"/>
      <c r="P1243" s="24"/>
      <c r="Q1243" s="25">
        <v>46058</v>
      </c>
      <c r="R1243" s="13">
        <v>0</v>
      </c>
      <c r="S1243" s="26" t="str">
        <f>VLOOKUP(C1243,'[4]Daily Wages '!$B$6:$G$197,6,0)</f>
        <v>05380010160109660025</v>
      </c>
      <c r="T1243" s="25" t="s">
        <v>32</v>
      </c>
      <c r="U1243" s="25" t="s">
        <v>1134</v>
      </c>
      <c r="V1243" s="25"/>
      <c r="W1243" s="27" t="s">
        <v>4511</v>
      </c>
      <c r="X1243" s="28" t="s">
        <v>4512</v>
      </c>
      <c r="Y1243" s="28"/>
      <c r="Z1243" s="29" t="s">
        <v>3390</v>
      </c>
    </row>
    <row r="1244" spans="1:26" ht="30" customHeight="1" thickBot="1" x14ac:dyDescent="0.25">
      <c r="A1244" s="17">
        <f t="shared" si="39"/>
        <v>1243</v>
      </c>
      <c r="B1244" s="18" t="s">
        <v>25</v>
      </c>
      <c r="C1244" s="19">
        <v>3510318130429</v>
      </c>
      <c r="D1244" s="19"/>
      <c r="E1244" s="20">
        <v>45674</v>
      </c>
      <c r="F1244" s="20">
        <v>49326</v>
      </c>
      <c r="G1244" s="21">
        <v>35796</v>
      </c>
      <c r="H1244" s="22">
        <f t="shared" ca="1" si="38"/>
        <v>28</v>
      </c>
      <c r="I1244" s="19" t="s">
        <v>912</v>
      </c>
      <c r="J1244" s="18" t="s">
        <v>27</v>
      </c>
      <c r="K1244" s="18"/>
      <c r="L1244" s="23" t="s">
        <v>2297</v>
      </c>
      <c r="M1244" s="23" t="s">
        <v>2856</v>
      </c>
      <c r="N1244" s="23" t="s">
        <v>1488</v>
      </c>
      <c r="O1244" s="18"/>
      <c r="P1244" s="24"/>
      <c r="Q1244" s="25">
        <v>46163</v>
      </c>
      <c r="R1244" s="13">
        <v>0</v>
      </c>
      <c r="S1244" s="26"/>
      <c r="T1244" s="25"/>
      <c r="U1244" s="25" t="s">
        <v>1134</v>
      </c>
      <c r="V1244" s="25"/>
      <c r="W1244" s="27" t="s">
        <v>4513</v>
      </c>
      <c r="X1244" s="28" t="s">
        <v>4514</v>
      </c>
      <c r="Y1244" s="28"/>
      <c r="Z1244" s="29" t="s">
        <v>3390</v>
      </c>
    </row>
    <row r="1245" spans="1:26" ht="30" customHeight="1" thickBot="1" x14ac:dyDescent="0.25">
      <c r="A1245" s="17">
        <f t="shared" si="39"/>
        <v>1244</v>
      </c>
      <c r="B1245" s="18" t="s">
        <v>25</v>
      </c>
      <c r="C1245" s="19">
        <v>3520296524089</v>
      </c>
      <c r="D1245" s="19"/>
      <c r="E1245" s="20">
        <v>44322</v>
      </c>
      <c r="F1245" s="20">
        <v>47974</v>
      </c>
      <c r="G1245" s="21">
        <v>34670</v>
      </c>
      <c r="H1245" s="22">
        <f t="shared" ca="1" si="38"/>
        <v>31</v>
      </c>
      <c r="I1245" s="19" t="s">
        <v>912</v>
      </c>
      <c r="J1245" s="18" t="s">
        <v>27</v>
      </c>
      <c r="K1245" s="18"/>
      <c r="L1245" s="23" t="s">
        <v>4515</v>
      </c>
      <c r="M1245" s="23" t="s">
        <v>1945</v>
      </c>
      <c r="N1245" s="23" t="s">
        <v>1488</v>
      </c>
      <c r="O1245" s="18"/>
      <c r="P1245" s="24"/>
      <c r="Q1245" s="25">
        <v>46028</v>
      </c>
      <c r="R1245" s="13">
        <v>0</v>
      </c>
      <c r="S1245" s="26" t="str">
        <f>VLOOKUP(C1245,'[4]Daily Wages '!$B$6:$G$197,6,0)</f>
        <v>01530010158260660010</v>
      </c>
      <c r="T1245" s="25" t="s">
        <v>32</v>
      </c>
      <c r="U1245" s="25" t="s">
        <v>1134</v>
      </c>
      <c r="V1245" s="25"/>
      <c r="W1245" s="27" t="s">
        <v>4516</v>
      </c>
      <c r="X1245" s="28" t="s">
        <v>4517</v>
      </c>
      <c r="Y1245" s="28"/>
      <c r="Z1245" s="29" t="s">
        <v>3390</v>
      </c>
    </row>
    <row r="1246" spans="1:26" ht="30" customHeight="1" thickBot="1" x14ac:dyDescent="0.25">
      <c r="A1246" s="17">
        <f t="shared" si="39"/>
        <v>1245</v>
      </c>
      <c r="B1246" s="18" t="s">
        <v>25</v>
      </c>
      <c r="C1246" s="19">
        <v>3520217098903</v>
      </c>
      <c r="D1246" s="19"/>
      <c r="E1246" s="20">
        <v>45439</v>
      </c>
      <c r="F1246" s="20">
        <v>49091</v>
      </c>
      <c r="G1246" s="21">
        <v>37275</v>
      </c>
      <c r="H1246" s="22">
        <f t="shared" ca="1" si="38"/>
        <v>24</v>
      </c>
      <c r="I1246" s="19" t="s">
        <v>26</v>
      </c>
      <c r="J1246" s="18" t="s">
        <v>27</v>
      </c>
      <c r="K1246" s="18"/>
      <c r="L1246" s="23" t="s">
        <v>4518</v>
      </c>
      <c r="M1246" s="23" t="s">
        <v>1412</v>
      </c>
      <c r="N1246" s="23" t="s">
        <v>1499</v>
      </c>
      <c r="O1246" s="18"/>
      <c r="P1246" s="24"/>
      <c r="Q1246" s="25">
        <v>46080</v>
      </c>
      <c r="R1246" s="13">
        <v>0</v>
      </c>
      <c r="S1246" s="26" t="str">
        <f>VLOOKUP(C1246,'[4]Daily Wages '!$B$6:$G$197,6,0)</f>
        <v>05320010160829860010</v>
      </c>
      <c r="T1246" s="25" t="s">
        <v>32</v>
      </c>
      <c r="U1246" s="25" t="s">
        <v>1134</v>
      </c>
      <c r="V1246" s="25"/>
      <c r="W1246" s="27" t="s">
        <v>4519</v>
      </c>
      <c r="X1246" s="28" t="s">
        <v>4520</v>
      </c>
      <c r="Y1246" s="28"/>
      <c r="Z1246" s="29" t="s">
        <v>3390</v>
      </c>
    </row>
    <row r="1247" spans="1:26" ht="30" customHeight="1" thickBot="1" x14ac:dyDescent="0.25">
      <c r="A1247" s="17">
        <f t="shared" si="39"/>
        <v>1246</v>
      </c>
      <c r="B1247" s="18" t="s">
        <v>25</v>
      </c>
      <c r="C1247" s="19">
        <v>3220334629623</v>
      </c>
      <c r="D1247" s="19"/>
      <c r="E1247" s="20">
        <v>46084</v>
      </c>
      <c r="F1247" s="20">
        <v>49737</v>
      </c>
      <c r="G1247" s="21">
        <v>34862</v>
      </c>
      <c r="H1247" s="22">
        <f t="shared" ca="1" si="38"/>
        <v>31</v>
      </c>
      <c r="I1247" s="19" t="s">
        <v>26</v>
      </c>
      <c r="J1247" s="18" t="s">
        <v>27</v>
      </c>
      <c r="K1247" s="18"/>
      <c r="L1247" s="23" t="s">
        <v>4521</v>
      </c>
      <c r="M1247" s="23" t="s">
        <v>1125</v>
      </c>
      <c r="N1247" s="23" t="s">
        <v>1295</v>
      </c>
      <c r="O1247" s="18"/>
      <c r="P1247" s="24"/>
      <c r="Q1247" s="25">
        <v>46158</v>
      </c>
      <c r="R1247" s="13">
        <v>0</v>
      </c>
      <c r="S1247" s="26" t="str">
        <f>VLOOKUP(C1247,'[3]May-26'!$B$5:$H$89,7,0)</f>
        <v>51400020164576290013</v>
      </c>
      <c r="T1247" s="25" t="s">
        <v>32</v>
      </c>
      <c r="U1247" s="25" t="s">
        <v>4522</v>
      </c>
      <c r="V1247" s="25"/>
      <c r="W1247" s="27" t="s">
        <v>4523</v>
      </c>
      <c r="X1247" s="28" t="s">
        <v>4524</v>
      </c>
      <c r="Y1247" s="28"/>
      <c r="Z1247" s="29" t="s">
        <v>3390</v>
      </c>
    </row>
    <row r="1248" spans="1:26" ht="30" customHeight="1" thickBot="1" x14ac:dyDescent="0.25">
      <c r="A1248" s="17">
        <f t="shared" si="39"/>
        <v>1247</v>
      </c>
      <c r="B1248" s="18" t="s">
        <v>25</v>
      </c>
      <c r="C1248" s="19">
        <v>3220335026241</v>
      </c>
      <c r="D1248" s="19"/>
      <c r="E1248" s="20">
        <v>45550</v>
      </c>
      <c r="F1248" s="20">
        <v>49202</v>
      </c>
      <c r="G1248" s="21">
        <v>38575</v>
      </c>
      <c r="H1248" s="22">
        <f t="shared" ca="1" si="38"/>
        <v>20</v>
      </c>
      <c r="I1248" s="19" t="s">
        <v>912</v>
      </c>
      <c r="J1248" s="18" t="s">
        <v>27</v>
      </c>
      <c r="K1248" s="18"/>
      <c r="L1248" s="23" t="s">
        <v>4525</v>
      </c>
      <c r="M1248" s="23" t="s">
        <v>1486</v>
      </c>
      <c r="N1248" s="23" t="s">
        <v>1488</v>
      </c>
      <c r="O1248" s="18"/>
      <c r="P1248" s="24"/>
      <c r="Q1248" s="25">
        <v>46158</v>
      </c>
      <c r="R1248" s="13">
        <v>0</v>
      </c>
      <c r="S1248" s="26" t="str">
        <f>VLOOKUP(C1248,'[4]Daily Wages '!$B$6:$G$197,6,0)</f>
        <v>51400020164578010014</v>
      </c>
      <c r="T1248" s="25" t="s">
        <v>32</v>
      </c>
      <c r="U1248" s="25" t="s">
        <v>4522</v>
      </c>
      <c r="V1248" s="25"/>
      <c r="W1248" s="27" t="s">
        <v>4526</v>
      </c>
      <c r="X1248" s="28" t="s">
        <v>4527</v>
      </c>
      <c r="Y1248" s="28"/>
      <c r="Z1248" s="29" t="s">
        <v>3390</v>
      </c>
    </row>
    <row r="1249" spans="1:26" ht="30" customHeight="1" thickBot="1" x14ac:dyDescent="0.25">
      <c r="A1249" s="17">
        <f t="shared" si="39"/>
        <v>1248</v>
      </c>
      <c r="B1249" s="18" t="s">
        <v>25</v>
      </c>
      <c r="C1249" s="19">
        <v>3220349622049</v>
      </c>
      <c r="D1249" s="19"/>
      <c r="E1249" s="20">
        <v>44139</v>
      </c>
      <c r="F1249" s="20">
        <v>47791</v>
      </c>
      <c r="G1249" s="21">
        <v>34335</v>
      </c>
      <c r="H1249" s="22">
        <f t="shared" ca="1" si="38"/>
        <v>32</v>
      </c>
      <c r="I1249" s="19" t="s">
        <v>26</v>
      </c>
      <c r="J1249" s="18" t="s">
        <v>27</v>
      </c>
      <c r="K1249" s="18"/>
      <c r="L1249" s="23" t="s">
        <v>1837</v>
      </c>
      <c r="M1249" s="23" t="s">
        <v>842</v>
      </c>
      <c r="N1249" s="23" t="s">
        <v>1488</v>
      </c>
      <c r="O1249" s="18"/>
      <c r="P1249" s="24"/>
      <c r="Q1249" s="25">
        <v>46158</v>
      </c>
      <c r="R1249" s="13">
        <v>0</v>
      </c>
      <c r="S1249" s="26" t="str">
        <f>VLOOKUP(C1249,'[4]Daily Wages '!$B$6:$G$197,6,0)</f>
        <v>51400020164577600017</v>
      </c>
      <c r="T1249" s="25" t="s">
        <v>32</v>
      </c>
      <c r="U1249" s="25" t="s">
        <v>4522</v>
      </c>
      <c r="V1249" s="25"/>
      <c r="W1249" s="27" t="s">
        <v>4528</v>
      </c>
      <c r="X1249" s="28" t="s">
        <v>4529</v>
      </c>
      <c r="Y1249" s="28"/>
      <c r="Z1249" s="29" t="s">
        <v>3390</v>
      </c>
    </row>
    <row r="1250" spans="1:26" ht="30" customHeight="1" thickBot="1" x14ac:dyDescent="0.25">
      <c r="A1250" s="17">
        <f t="shared" si="39"/>
        <v>1249</v>
      </c>
      <c r="B1250" s="18" t="s">
        <v>25</v>
      </c>
      <c r="C1250" s="19">
        <v>3220320639369</v>
      </c>
      <c r="D1250" s="19"/>
      <c r="E1250" s="20">
        <v>43013</v>
      </c>
      <c r="F1250" s="20">
        <v>46665</v>
      </c>
      <c r="G1250" s="21">
        <v>35043</v>
      </c>
      <c r="H1250" s="22">
        <f t="shared" ca="1" si="38"/>
        <v>30</v>
      </c>
      <c r="I1250" s="19" t="s">
        <v>26</v>
      </c>
      <c r="J1250" s="18" t="s">
        <v>27</v>
      </c>
      <c r="K1250" s="18"/>
      <c r="L1250" s="23" t="s">
        <v>4530</v>
      </c>
      <c r="M1250" s="23" t="s">
        <v>4531</v>
      </c>
      <c r="N1250" s="23" t="s">
        <v>1499</v>
      </c>
      <c r="O1250" s="18"/>
      <c r="P1250" s="24"/>
      <c r="Q1250" s="25">
        <v>46158</v>
      </c>
      <c r="R1250" s="13">
        <v>0</v>
      </c>
      <c r="S1250" s="26" t="str">
        <f>VLOOKUP(C1250,'[4]Daily Wages '!$B$6:$G$197,6,0)</f>
        <v>51400020164577100013</v>
      </c>
      <c r="T1250" s="25" t="s">
        <v>32</v>
      </c>
      <c r="U1250" s="25" t="s">
        <v>4522</v>
      </c>
      <c r="V1250" s="25"/>
      <c r="W1250" s="27" t="s">
        <v>4532</v>
      </c>
      <c r="X1250" s="28" t="s">
        <v>4533</v>
      </c>
      <c r="Y1250" s="28"/>
      <c r="Z1250" s="29" t="s">
        <v>3390</v>
      </c>
    </row>
    <row r="1251" spans="1:26" ht="30" customHeight="1" thickBot="1" x14ac:dyDescent="0.25">
      <c r="A1251" s="17">
        <f t="shared" si="39"/>
        <v>1250</v>
      </c>
      <c r="B1251" s="18" t="s">
        <v>25</v>
      </c>
      <c r="C1251" s="19">
        <v>3220303484467</v>
      </c>
      <c r="D1251" s="19"/>
      <c r="E1251" s="20">
        <v>43837</v>
      </c>
      <c r="F1251" s="20">
        <v>47490</v>
      </c>
      <c r="G1251" s="21">
        <v>32499</v>
      </c>
      <c r="H1251" s="22">
        <f t="shared" ca="1" si="38"/>
        <v>37</v>
      </c>
      <c r="I1251" s="19" t="s">
        <v>26</v>
      </c>
      <c r="J1251" s="18" t="s">
        <v>27</v>
      </c>
      <c r="K1251" s="18"/>
      <c r="L1251" s="23" t="s">
        <v>4194</v>
      </c>
      <c r="M1251" s="23" t="s">
        <v>1100</v>
      </c>
      <c r="N1251" s="23" t="s">
        <v>1499</v>
      </c>
      <c r="O1251" s="18"/>
      <c r="P1251" s="24"/>
      <c r="Q1251" s="25">
        <v>46158</v>
      </c>
      <c r="R1251" s="13">
        <v>0</v>
      </c>
      <c r="S1251" s="26" t="str">
        <f>VLOOKUP(C1251,'[4]Daily Wages '!$B$6:$G$197,6,0)</f>
        <v>51400020164576770019</v>
      </c>
      <c r="T1251" s="25" t="s">
        <v>32</v>
      </c>
      <c r="U1251" s="25" t="s">
        <v>4522</v>
      </c>
      <c r="V1251" s="25"/>
      <c r="W1251" s="27" t="s">
        <v>4534</v>
      </c>
      <c r="X1251" s="28" t="s">
        <v>4535</v>
      </c>
      <c r="Y1251" s="28"/>
      <c r="Z1251" s="29" t="s">
        <v>3390</v>
      </c>
    </row>
    <row r="1252" spans="1:26" ht="30" customHeight="1" thickBot="1" x14ac:dyDescent="0.25">
      <c r="A1252" s="17">
        <f t="shared" si="39"/>
        <v>1251</v>
      </c>
      <c r="B1252" s="18" t="s">
        <v>25</v>
      </c>
      <c r="C1252" s="19">
        <v>3840461215251</v>
      </c>
      <c r="D1252" s="19">
        <v>1910</v>
      </c>
      <c r="E1252" s="20">
        <v>44606</v>
      </c>
      <c r="F1252" s="20">
        <v>48258</v>
      </c>
      <c r="G1252" s="21">
        <v>37748</v>
      </c>
      <c r="H1252" s="22">
        <f t="shared" ca="1" si="38"/>
        <v>23</v>
      </c>
      <c r="I1252" s="19" t="s">
        <v>26</v>
      </c>
      <c r="J1252" s="18" t="s">
        <v>27</v>
      </c>
      <c r="K1252" s="18"/>
      <c r="L1252" s="23" t="s">
        <v>4536</v>
      </c>
      <c r="M1252" s="23" t="s">
        <v>4537</v>
      </c>
      <c r="N1252" s="24" t="s">
        <v>1295</v>
      </c>
      <c r="O1252" s="18"/>
      <c r="P1252" s="24"/>
      <c r="Q1252" s="25">
        <v>45992</v>
      </c>
      <c r="R1252" s="13">
        <v>0</v>
      </c>
      <c r="S1252" s="26" t="str">
        <f>VLOOKUP(C1252,'[1]Bazaar Salary'!$B$6:$J$1193,9,0)</f>
        <v>08470010149389200010</v>
      </c>
      <c r="T1252" s="25" t="s">
        <v>32</v>
      </c>
      <c r="U1252" s="25" t="s">
        <v>386</v>
      </c>
      <c r="V1252" s="25" t="s">
        <v>4538</v>
      </c>
      <c r="W1252" s="27" t="s">
        <v>4539</v>
      </c>
      <c r="X1252" s="28" t="s">
        <v>4540</v>
      </c>
      <c r="Y1252" s="28"/>
      <c r="Z1252" s="29" t="s">
        <v>37</v>
      </c>
    </row>
    <row r="1253" spans="1:26" ht="30" customHeight="1" thickBot="1" x14ac:dyDescent="0.25">
      <c r="A1253" s="17">
        <f t="shared" si="39"/>
        <v>1252</v>
      </c>
      <c r="B1253" s="18" t="s">
        <v>25</v>
      </c>
      <c r="C1253" s="19">
        <v>3840489307909</v>
      </c>
      <c r="D1253" s="19">
        <v>1911</v>
      </c>
      <c r="E1253" s="20">
        <v>45719</v>
      </c>
      <c r="F1253" s="20">
        <v>49371</v>
      </c>
      <c r="G1253" s="21">
        <v>27860</v>
      </c>
      <c r="H1253" s="22">
        <f t="shared" ca="1" si="38"/>
        <v>50</v>
      </c>
      <c r="I1253" s="19" t="s">
        <v>26</v>
      </c>
      <c r="J1253" s="18" t="s">
        <v>27</v>
      </c>
      <c r="K1253" s="18"/>
      <c r="L1253" s="23" t="s">
        <v>4541</v>
      </c>
      <c r="M1253" s="23" t="s">
        <v>4542</v>
      </c>
      <c r="N1253" s="23" t="s">
        <v>1499</v>
      </c>
      <c r="O1253" s="18"/>
      <c r="P1253" s="24"/>
      <c r="Q1253" s="25">
        <v>45992</v>
      </c>
      <c r="R1253" s="13">
        <v>0</v>
      </c>
      <c r="S1253" s="26" t="str">
        <f>VLOOKUP(C1253,'[1]Bazaar Salary'!$B$6:$J$1193,9,0)</f>
        <v>08470010149387540016</v>
      </c>
      <c r="T1253" s="25" t="s">
        <v>32</v>
      </c>
      <c r="U1253" s="25" t="s">
        <v>386</v>
      </c>
      <c r="V1253" s="25" t="s">
        <v>320</v>
      </c>
      <c r="W1253" s="27" t="s">
        <v>4543</v>
      </c>
      <c r="X1253" s="28" t="s">
        <v>4544</v>
      </c>
      <c r="Y1253" s="28"/>
      <c r="Z1253" s="29" t="s">
        <v>37</v>
      </c>
    </row>
    <row r="1254" spans="1:26" ht="30" customHeight="1" thickBot="1" x14ac:dyDescent="0.25">
      <c r="A1254" s="17">
        <f t="shared" si="39"/>
        <v>1253</v>
      </c>
      <c r="B1254" s="18" t="s">
        <v>25</v>
      </c>
      <c r="C1254" s="19">
        <v>3820190178689</v>
      </c>
      <c r="D1254" s="19"/>
      <c r="E1254" s="20">
        <v>45252</v>
      </c>
      <c r="F1254" s="20">
        <v>48905</v>
      </c>
      <c r="G1254" s="21">
        <v>34471</v>
      </c>
      <c r="H1254" s="22">
        <f t="shared" ca="1" si="38"/>
        <v>32</v>
      </c>
      <c r="I1254" s="19" t="s">
        <v>26</v>
      </c>
      <c r="J1254" s="18" t="s">
        <v>27</v>
      </c>
      <c r="K1254" s="18"/>
      <c r="L1254" s="23" t="s">
        <v>4545</v>
      </c>
      <c r="M1254" s="23" t="s">
        <v>4546</v>
      </c>
      <c r="N1254" s="23" t="s">
        <v>457</v>
      </c>
      <c r="O1254" s="18"/>
      <c r="P1254" s="24"/>
      <c r="Q1254" s="25">
        <v>46112</v>
      </c>
      <c r="R1254" s="13">
        <v>0</v>
      </c>
      <c r="S1254" s="26" t="str">
        <f>VLOOKUP(C1254,'[3]May-26'!$B$5:$H$89,7,0)</f>
        <v>52320020163138030016</v>
      </c>
      <c r="T1254" s="25" t="s">
        <v>32</v>
      </c>
      <c r="U1254" s="25" t="s">
        <v>386</v>
      </c>
      <c r="V1254" s="25" t="s">
        <v>4547</v>
      </c>
      <c r="W1254" s="27" t="s">
        <v>4548</v>
      </c>
      <c r="X1254" s="28" t="s">
        <v>4549</v>
      </c>
      <c r="Y1254" s="28"/>
      <c r="Z1254" s="29" t="s">
        <v>3390</v>
      </c>
    </row>
    <row r="1255" spans="1:26" ht="30" customHeight="1" thickBot="1" x14ac:dyDescent="0.25">
      <c r="A1255" s="17">
        <f t="shared" si="39"/>
        <v>1254</v>
      </c>
      <c r="B1255" s="18" t="s">
        <v>25</v>
      </c>
      <c r="C1255" s="19">
        <v>3820112039145</v>
      </c>
      <c r="D1255" s="19"/>
      <c r="E1255" s="20">
        <v>42678</v>
      </c>
      <c r="F1255" s="20">
        <v>46330</v>
      </c>
      <c r="G1255" s="21">
        <v>30419</v>
      </c>
      <c r="H1255" s="22">
        <f t="shared" ca="1" si="38"/>
        <v>43</v>
      </c>
      <c r="I1255" s="19" t="s">
        <v>26</v>
      </c>
      <c r="J1255" s="18" t="s">
        <v>27</v>
      </c>
      <c r="K1255" s="18"/>
      <c r="L1255" s="23" t="s">
        <v>402</v>
      </c>
      <c r="M1255" s="23" t="s">
        <v>894</v>
      </c>
      <c r="N1255" s="23" t="s">
        <v>1488</v>
      </c>
      <c r="O1255" s="18"/>
      <c r="P1255" s="24"/>
      <c r="Q1255" s="25">
        <v>46070</v>
      </c>
      <c r="R1255" s="13">
        <v>0</v>
      </c>
      <c r="S1255" s="26" t="str">
        <f>VLOOKUP(C1255,'[4]Daily Wages '!$B$6:$G$197,6,0)</f>
        <v>01220020160808520015</v>
      </c>
      <c r="T1255" s="25" t="s">
        <v>32</v>
      </c>
      <c r="U1255" s="25" t="s">
        <v>386</v>
      </c>
      <c r="V1255" s="25"/>
      <c r="W1255" s="27" t="s">
        <v>4550</v>
      </c>
      <c r="X1255" s="28" t="s">
        <v>4551</v>
      </c>
      <c r="Y1255" s="28"/>
      <c r="Z1255" s="29" t="s">
        <v>3390</v>
      </c>
    </row>
    <row r="1256" spans="1:26" ht="30" customHeight="1" thickBot="1" x14ac:dyDescent="0.25">
      <c r="A1256" s="17">
        <f t="shared" si="39"/>
        <v>1255</v>
      </c>
      <c r="B1256" s="18" t="s">
        <v>25</v>
      </c>
      <c r="C1256" s="19">
        <v>3820156815941</v>
      </c>
      <c r="D1256" s="19"/>
      <c r="E1256" s="20">
        <v>45895</v>
      </c>
      <c r="F1256" s="20">
        <v>49547</v>
      </c>
      <c r="G1256" s="21">
        <v>39090</v>
      </c>
      <c r="H1256" s="22">
        <f t="shared" ca="1" si="38"/>
        <v>19</v>
      </c>
      <c r="I1256" s="19" t="s">
        <v>26</v>
      </c>
      <c r="J1256" s="18" t="s">
        <v>27</v>
      </c>
      <c r="K1256" s="18"/>
      <c r="L1256" s="23" t="s">
        <v>4552</v>
      </c>
      <c r="M1256" s="23" t="s">
        <v>339</v>
      </c>
      <c r="N1256" s="23" t="s">
        <v>1499</v>
      </c>
      <c r="O1256" s="18"/>
      <c r="P1256" s="24"/>
      <c r="Q1256" s="25">
        <v>46106</v>
      </c>
      <c r="R1256" s="13">
        <v>0</v>
      </c>
      <c r="S1256" s="26" t="str">
        <f>VLOOKUP(C1256,'[4]Daily Wages '!$B$6:$G$197,6,0)</f>
        <v>02030010162998180010</v>
      </c>
      <c r="T1256" s="25" t="s">
        <v>32</v>
      </c>
      <c r="U1256" s="25" t="s">
        <v>386</v>
      </c>
      <c r="V1256" s="25"/>
      <c r="W1256" s="27" t="s">
        <v>4553</v>
      </c>
      <c r="X1256" s="28" t="s">
        <v>4554</v>
      </c>
      <c r="Y1256" s="28"/>
      <c r="Z1256" s="29" t="s">
        <v>3390</v>
      </c>
    </row>
    <row r="1257" spans="1:26" ht="30" customHeight="1" thickBot="1" x14ac:dyDescent="0.25">
      <c r="A1257" s="17">
        <f t="shared" si="39"/>
        <v>1256</v>
      </c>
      <c r="B1257" s="18" t="s">
        <v>25</v>
      </c>
      <c r="C1257" s="19">
        <v>3220374516367</v>
      </c>
      <c r="D1257" s="19"/>
      <c r="E1257" s="20">
        <v>44240</v>
      </c>
      <c r="F1257" s="20">
        <v>47892</v>
      </c>
      <c r="G1257" s="21">
        <v>36195</v>
      </c>
      <c r="H1257" s="22">
        <f t="shared" ca="1" si="38"/>
        <v>27</v>
      </c>
      <c r="I1257" s="19" t="s">
        <v>26</v>
      </c>
      <c r="J1257" s="18" t="s">
        <v>27</v>
      </c>
      <c r="K1257" s="18"/>
      <c r="L1257" s="23" t="s">
        <v>4555</v>
      </c>
      <c r="M1257" s="23" t="s">
        <v>4556</v>
      </c>
      <c r="N1257" s="23" t="s">
        <v>1295</v>
      </c>
      <c r="O1257" s="18"/>
      <c r="P1257" s="24"/>
      <c r="Q1257" s="25">
        <v>46083</v>
      </c>
      <c r="R1257" s="13">
        <v>0</v>
      </c>
      <c r="S1257" s="26" t="str">
        <f>VLOOKUP(C1257,'[3]May-26'!$B$5:$H$89,7,0)</f>
        <v>02360010062597260012</v>
      </c>
      <c r="T1257" s="25" t="s">
        <v>32</v>
      </c>
      <c r="U1257" s="25" t="s">
        <v>4557</v>
      </c>
      <c r="V1257" s="25" t="s">
        <v>884</v>
      </c>
      <c r="W1257" s="27" t="s">
        <v>4558</v>
      </c>
      <c r="X1257" s="28" t="s">
        <v>4559</v>
      </c>
      <c r="Y1257" s="28"/>
      <c r="Z1257" s="29" t="s">
        <v>3390</v>
      </c>
    </row>
    <row r="1258" spans="1:26" ht="30" customHeight="1" thickBot="1" x14ac:dyDescent="0.25">
      <c r="A1258" s="17">
        <f t="shared" si="39"/>
        <v>1257</v>
      </c>
      <c r="B1258" s="18" t="s">
        <v>25</v>
      </c>
      <c r="C1258" s="19">
        <v>3230480844889</v>
      </c>
      <c r="D1258" s="19"/>
      <c r="E1258" s="20">
        <v>44746</v>
      </c>
      <c r="F1258" s="20">
        <v>48399</v>
      </c>
      <c r="G1258" s="21">
        <v>34416</v>
      </c>
      <c r="H1258" s="22">
        <f t="shared" ca="1" si="38"/>
        <v>32</v>
      </c>
      <c r="I1258" s="19" t="s">
        <v>26</v>
      </c>
      <c r="J1258" s="18" t="s">
        <v>27</v>
      </c>
      <c r="K1258" s="18"/>
      <c r="L1258" s="23" t="s">
        <v>4560</v>
      </c>
      <c r="M1258" s="23" t="s">
        <v>4561</v>
      </c>
      <c r="N1258" s="23" t="s">
        <v>1295</v>
      </c>
      <c r="O1258" s="18"/>
      <c r="P1258" s="24"/>
      <c r="Q1258" s="25">
        <v>46063</v>
      </c>
      <c r="R1258" s="13">
        <v>0</v>
      </c>
      <c r="S1258" s="26" t="str">
        <f>VLOOKUP(C1258,'[3]May-26'!$B$5:$H$89,7,0)</f>
        <v>02810020160855080013</v>
      </c>
      <c r="T1258" s="25" t="s">
        <v>32</v>
      </c>
      <c r="U1258" s="25" t="s">
        <v>4557</v>
      </c>
      <c r="V1258" s="25" t="s">
        <v>4562</v>
      </c>
      <c r="W1258" s="27" t="s">
        <v>4563</v>
      </c>
      <c r="X1258" s="28" t="s">
        <v>4564</v>
      </c>
      <c r="Y1258" s="28"/>
      <c r="Z1258" s="29" t="s">
        <v>3390</v>
      </c>
    </row>
    <row r="1259" spans="1:26" ht="30" customHeight="1" thickBot="1" x14ac:dyDescent="0.25">
      <c r="A1259" s="17">
        <f t="shared" si="39"/>
        <v>1258</v>
      </c>
      <c r="B1259" s="18" t="s">
        <v>25</v>
      </c>
      <c r="C1259" s="19">
        <v>3220305552159</v>
      </c>
      <c r="D1259" s="19"/>
      <c r="E1259" s="20">
        <v>43360</v>
      </c>
      <c r="F1259" s="20">
        <v>47013</v>
      </c>
      <c r="G1259" s="21">
        <v>36722</v>
      </c>
      <c r="H1259" s="22">
        <f t="shared" ca="1" si="38"/>
        <v>25</v>
      </c>
      <c r="I1259" s="19" t="s">
        <v>26</v>
      </c>
      <c r="J1259" s="18" t="s">
        <v>27</v>
      </c>
      <c r="K1259" s="18"/>
      <c r="L1259" s="23" t="s">
        <v>4565</v>
      </c>
      <c r="M1259" s="23" t="s">
        <v>4566</v>
      </c>
      <c r="N1259" s="23" t="s">
        <v>4567</v>
      </c>
      <c r="O1259" s="18"/>
      <c r="P1259" s="24"/>
      <c r="Q1259" s="25">
        <v>46112</v>
      </c>
      <c r="R1259" s="13">
        <v>0</v>
      </c>
      <c r="S1259" s="26" t="str">
        <f>VLOOKUP(C1259,'[4]Daily Wages '!$B$6:$G$197,6,0)</f>
        <v>13060010162667930017</v>
      </c>
      <c r="T1259" s="25" t="s">
        <v>32</v>
      </c>
      <c r="U1259" s="25" t="s">
        <v>4557</v>
      </c>
      <c r="V1259" s="25"/>
      <c r="W1259" s="27" t="s">
        <v>4568</v>
      </c>
      <c r="X1259" s="28" t="s">
        <v>4569</v>
      </c>
      <c r="Y1259" s="28"/>
      <c r="Z1259" s="29" t="s">
        <v>3390</v>
      </c>
    </row>
    <row r="1260" spans="1:26" ht="30" customHeight="1" thickBot="1" x14ac:dyDescent="0.25">
      <c r="A1260" s="17">
        <f t="shared" si="39"/>
        <v>1259</v>
      </c>
      <c r="B1260" s="18" t="s">
        <v>25</v>
      </c>
      <c r="C1260" s="19">
        <v>3220365380837</v>
      </c>
      <c r="D1260" s="19"/>
      <c r="E1260" s="20">
        <v>44141</v>
      </c>
      <c r="F1260" s="20">
        <v>47793</v>
      </c>
      <c r="G1260" s="21">
        <v>37408</v>
      </c>
      <c r="H1260" s="22">
        <f t="shared" ca="1" si="38"/>
        <v>24</v>
      </c>
      <c r="I1260" s="19" t="s">
        <v>26</v>
      </c>
      <c r="J1260" s="18" t="s">
        <v>27</v>
      </c>
      <c r="K1260" s="18"/>
      <c r="L1260" s="23" t="s">
        <v>3394</v>
      </c>
      <c r="M1260" s="23" t="s">
        <v>4570</v>
      </c>
      <c r="N1260" s="23" t="s">
        <v>457</v>
      </c>
      <c r="O1260" s="18"/>
      <c r="P1260" s="24"/>
      <c r="Q1260" s="25">
        <v>46069</v>
      </c>
      <c r="R1260" s="13">
        <v>0</v>
      </c>
      <c r="S1260" s="26" t="str">
        <f>VLOOKUP(C1260,'[3]May-26'!$B$5:$H$89,7,0)</f>
        <v>13060010160935180010</v>
      </c>
      <c r="T1260" s="25" t="s">
        <v>32</v>
      </c>
      <c r="U1260" s="25" t="s">
        <v>4557</v>
      </c>
      <c r="V1260" s="25" t="s">
        <v>4571</v>
      </c>
      <c r="W1260" s="27" t="s">
        <v>4572</v>
      </c>
      <c r="X1260" s="28" t="s">
        <v>4573</v>
      </c>
      <c r="Y1260" s="28"/>
      <c r="Z1260" s="29" t="s">
        <v>3390</v>
      </c>
    </row>
    <row r="1261" spans="1:26" ht="30" customHeight="1" thickBot="1" x14ac:dyDescent="0.25">
      <c r="A1261" s="17">
        <f t="shared" si="39"/>
        <v>1260</v>
      </c>
      <c r="B1261" s="18" t="s">
        <v>25</v>
      </c>
      <c r="C1261" s="19">
        <v>322034333393</v>
      </c>
      <c r="D1261" s="19"/>
      <c r="E1261" s="20">
        <v>45071</v>
      </c>
      <c r="F1261" s="20">
        <v>48724</v>
      </c>
      <c r="G1261" s="21">
        <v>34427</v>
      </c>
      <c r="H1261" s="22">
        <f t="shared" ca="1" si="38"/>
        <v>32</v>
      </c>
      <c r="I1261" s="19" t="s">
        <v>26</v>
      </c>
      <c r="J1261" s="18" t="s">
        <v>27</v>
      </c>
      <c r="K1261" s="18"/>
      <c r="L1261" s="23" t="s">
        <v>4574</v>
      </c>
      <c r="M1261" s="23" t="s">
        <v>965</v>
      </c>
      <c r="N1261" s="24" t="s">
        <v>468</v>
      </c>
      <c r="O1261" s="18"/>
      <c r="P1261" s="24"/>
      <c r="Q1261" s="25">
        <v>46083</v>
      </c>
      <c r="R1261" s="13">
        <v>0</v>
      </c>
      <c r="S1261" s="26"/>
      <c r="T1261" s="25"/>
      <c r="U1261" s="25" t="s">
        <v>4557</v>
      </c>
      <c r="V1261" s="25"/>
      <c r="W1261" s="27" t="s">
        <v>4575</v>
      </c>
      <c r="X1261" s="28" t="s">
        <v>4576</v>
      </c>
      <c r="Y1261" s="28"/>
      <c r="Z1261" s="29" t="s">
        <v>3390</v>
      </c>
    </row>
    <row r="1262" spans="1:26" ht="30" customHeight="1" thickBot="1" x14ac:dyDescent="0.25">
      <c r="A1262" s="17">
        <f t="shared" si="39"/>
        <v>1261</v>
      </c>
      <c r="B1262" s="18" t="s">
        <v>25</v>
      </c>
      <c r="C1262" s="19">
        <v>3220305234969</v>
      </c>
      <c r="D1262" s="19"/>
      <c r="E1262" s="20">
        <v>45006</v>
      </c>
      <c r="F1262" s="20">
        <v>48659</v>
      </c>
      <c r="G1262" s="21">
        <v>33620</v>
      </c>
      <c r="H1262" s="22">
        <f t="shared" ca="1" si="38"/>
        <v>34</v>
      </c>
      <c r="I1262" s="19" t="s">
        <v>26</v>
      </c>
      <c r="J1262" s="18" t="s">
        <v>27</v>
      </c>
      <c r="K1262" s="18"/>
      <c r="L1262" s="23" t="s">
        <v>2520</v>
      </c>
      <c r="M1262" s="23" t="s">
        <v>4577</v>
      </c>
      <c r="N1262" s="23" t="s">
        <v>1488</v>
      </c>
      <c r="O1262" s="18"/>
      <c r="P1262" s="24"/>
      <c r="Q1262" s="25">
        <v>46083</v>
      </c>
      <c r="R1262" s="13">
        <v>0</v>
      </c>
      <c r="S1262" s="26" t="str">
        <f>VLOOKUP(C1262,'[4]Daily Wages '!$B$6:$G$197,6,0)</f>
        <v>13060010161022330011</v>
      </c>
      <c r="T1262" s="25" t="s">
        <v>32</v>
      </c>
      <c r="U1262" s="25" t="s">
        <v>4557</v>
      </c>
      <c r="V1262" s="25"/>
      <c r="W1262" s="27" t="s">
        <v>4578</v>
      </c>
      <c r="X1262" s="28" t="s">
        <v>4579</v>
      </c>
      <c r="Y1262" s="28"/>
      <c r="Z1262" s="29" t="s">
        <v>3390</v>
      </c>
    </row>
    <row r="1263" spans="1:26" ht="30" customHeight="1" thickBot="1" x14ac:dyDescent="0.25">
      <c r="A1263" s="17">
        <f t="shared" si="39"/>
        <v>1262</v>
      </c>
      <c r="B1263" s="18" t="s">
        <v>25</v>
      </c>
      <c r="C1263" s="19">
        <v>3220271386177</v>
      </c>
      <c r="D1263" s="19"/>
      <c r="E1263" s="20">
        <v>44292</v>
      </c>
      <c r="F1263" s="20">
        <v>47944</v>
      </c>
      <c r="G1263" s="21">
        <v>29587</v>
      </c>
      <c r="H1263" s="22">
        <f t="shared" ca="1" si="38"/>
        <v>45</v>
      </c>
      <c r="I1263" s="19" t="s">
        <v>26</v>
      </c>
      <c r="J1263" s="18" t="s">
        <v>27</v>
      </c>
      <c r="K1263" s="18"/>
      <c r="L1263" s="23" t="s">
        <v>4580</v>
      </c>
      <c r="M1263" s="23" t="s">
        <v>4581</v>
      </c>
      <c r="N1263" s="23" t="s">
        <v>1499</v>
      </c>
      <c r="O1263" s="18"/>
      <c r="P1263" s="24"/>
      <c r="Q1263" s="25">
        <v>46091</v>
      </c>
      <c r="R1263" s="13">
        <v>0</v>
      </c>
      <c r="S1263" s="26" t="str">
        <f>VLOOKUP(C1263,'[4]Daily Wages '!$B$6:$G$197,6,0)</f>
        <v>13060010160955020019</v>
      </c>
      <c r="T1263" s="25" t="s">
        <v>32</v>
      </c>
      <c r="U1263" s="25" t="s">
        <v>4557</v>
      </c>
      <c r="V1263" s="25"/>
      <c r="W1263" s="27" t="s">
        <v>4582</v>
      </c>
      <c r="X1263" s="28" t="s">
        <v>4583</v>
      </c>
      <c r="Y1263" s="28"/>
      <c r="Z1263" s="29" t="s">
        <v>3390</v>
      </c>
    </row>
    <row r="1264" spans="1:26" ht="30" customHeight="1" thickBot="1" x14ac:dyDescent="0.25">
      <c r="A1264" s="17">
        <f t="shared" si="39"/>
        <v>1263</v>
      </c>
      <c r="B1264" s="18" t="s">
        <v>25</v>
      </c>
      <c r="C1264" s="19">
        <v>3220308602907</v>
      </c>
      <c r="D1264" s="19"/>
      <c r="E1264" s="20">
        <v>45916</v>
      </c>
      <c r="F1264" s="20">
        <v>49568</v>
      </c>
      <c r="G1264" s="21">
        <v>34377</v>
      </c>
      <c r="H1264" s="22">
        <f t="shared" ca="1" si="38"/>
        <v>32</v>
      </c>
      <c r="I1264" s="19" t="s">
        <v>26</v>
      </c>
      <c r="J1264" s="18" t="s">
        <v>27</v>
      </c>
      <c r="K1264" s="18"/>
      <c r="L1264" s="23" t="s">
        <v>2520</v>
      </c>
      <c r="M1264" s="23" t="s">
        <v>4584</v>
      </c>
      <c r="N1264" s="23" t="s">
        <v>1499</v>
      </c>
      <c r="O1264" s="18"/>
      <c r="P1264" s="24"/>
      <c r="Q1264" s="25">
        <v>46088</v>
      </c>
      <c r="R1264" s="13">
        <v>0</v>
      </c>
      <c r="S1264" s="26" t="str">
        <f>VLOOKUP(C1264,'[4]Daily Wages '!$B$6:$G$197,6,0)</f>
        <v>13060010160957940010</v>
      </c>
      <c r="T1264" s="25" t="s">
        <v>32</v>
      </c>
      <c r="U1264" s="25" t="s">
        <v>4557</v>
      </c>
      <c r="V1264" s="25"/>
      <c r="W1264" s="27" t="s">
        <v>4585</v>
      </c>
      <c r="X1264" s="28" t="s">
        <v>4586</v>
      </c>
      <c r="Y1264" s="28"/>
      <c r="Z1264" s="29" t="s">
        <v>3390</v>
      </c>
    </row>
    <row r="1265" spans="1:26" ht="30" customHeight="1" thickBot="1" x14ac:dyDescent="0.25">
      <c r="A1265" s="17">
        <f t="shared" si="39"/>
        <v>1264</v>
      </c>
      <c r="B1265" s="18" t="s">
        <v>25</v>
      </c>
      <c r="C1265" s="19">
        <v>3220314780923</v>
      </c>
      <c r="D1265" s="19"/>
      <c r="E1265" s="20">
        <v>45006</v>
      </c>
      <c r="F1265" s="20">
        <v>48659</v>
      </c>
      <c r="G1265" s="21">
        <v>34351</v>
      </c>
      <c r="H1265" s="22">
        <f t="shared" ca="1" si="38"/>
        <v>32</v>
      </c>
      <c r="I1265" s="19" t="s">
        <v>26</v>
      </c>
      <c r="J1265" s="18" t="s">
        <v>27</v>
      </c>
      <c r="K1265" s="18"/>
      <c r="L1265" s="23" t="s">
        <v>525</v>
      </c>
      <c r="M1265" s="23" t="s">
        <v>4577</v>
      </c>
      <c r="N1265" s="23" t="s">
        <v>1499</v>
      </c>
      <c r="O1265" s="18"/>
      <c r="P1265" s="24"/>
      <c r="Q1265" s="25">
        <v>46083</v>
      </c>
      <c r="R1265" s="13">
        <v>0</v>
      </c>
      <c r="S1265" s="26" t="str">
        <f>VLOOKUP(C1265,'[4]Daily Wages '!$B$6:$G$197,6,0)</f>
        <v>13060010160989540013</v>
      </c>
      <c r="T1265" s="25" t="s">
        <v>32</v>
      </c>
      <c r="U1265" s="25" t="s">
        <v>4557</v>
      </c>
      <c r="V1265" s="25"/>
      <c r="W1265" s="27" t="s">
        <v>4578</v>
      </c>
      <c r="X1265" s="28" t="s">
        <v>4587</v>
      </c>
      <c r="Y1265" s="28"/>
      <c r="Z1265" s="29" t="s">
        <v>3390</v>
      </c>
    </row>
    <row r="1266" spans="1:26" ht="30" customHeight="1" thickBot="1" x14ac:dyDescent="0.25">
      <c r="A1266" s="17">
        <f t="shared" si="39"/>
        <v>1265</v>
      </c>
      <c r="B1266" s="18" t="s">
        <v>25</v>
      </c>
      <c r="C1266" s="19">
        <v>3510323174117</v>
      </c>
      <c r="D1266" s="19"/>
      <c r="E1266" s="20">
        <v>45743</v>
      </c>
      <c r="F1266" s="20">
        <v>49395</v>
      </c>
      <c r="G1266" s="21">
        <v>38178</v>
      </c>
      <c r="H1266" s="22">
        <f t="shared" ca="1" si="38"/>
        <v>21</v>
      </c>
      <c r="I1266" s="19" t="s">
        <v>912</v>
      </c>
      <c r="J1266" s="18" t="s">
        <v>27</v>
      </c>
      <c r="K1266" s="18"/>
      <c r="L1266" s="23" t="s">
        <v>4588</v>
      </c>
      <c r="M1266" s="23" t="s">
        <v>4589</v>
      </c>
      <c r="N1266" s="23" t="s">
        <v>1488</v>
      </c>
      <c r="O1266" s="18"/>
      <c r="P1266" s="24"/>
      <c r="Q1266" s="25">
        <v>46000</v>
      </c>
      <c r="R1266" s="13">
        <v>0</v>
      </c>
      <c r="S1266" s="26" t="str">
        <f>VLOOKUP(C1266,'[1]Bazaar Salary'!$B$6:$J$1193,9,0)</f>
        <v>06340010156520910013</v>
      </c>
      <c r="T1266" s="25" t="s">
        <v>32</v>
      </c>
      <c r="U1266" s="25" t="s">
        <v>786</v>
      </c>
      <c r="V1266" s="25"/>
      <c r="W1266" s="27" t="s">
        <v>4590</v>
      </c>
      <c r="X1266" s="28" t="s">
        <v>4591</v>
      </c>
      <c r="Y1266" s="28"/>
      <c r="Z1266" s="29" t="s">
        <v>37</v>
      </c>
    </row>
    <row r="1267" spans="1:26" ht="30" customHeight="1" thickBot="1" x14ac:dyDescent="0.25">
      <c r="A1267" s="17">
        <f t="shared" si="39"/>
        <v>1266</v>
      </c>
      <c r="B1267" s="18" t="s">
        <v>25</v>
      </c>
      <c r="C1267" s="19">
        <v>3520219860083</v>
      </c>
      <c r="D1267" s="19"/>
      <c r="E1267" s="20">
        <v>45636</v>
      </c>
      <c r="F1267" s="20">
        <v>49288</v>
      </c>
      <c r="G1267" s="21">
        <v>37646</v>
      </c>
      <c r="H1267" s="22">
        <f t="shared" ca="1" si="38"/>
        <v>23</v>
      </c>
      <c r="I1267" s="19" t="s">
        <v>912</v>
      </c>
      <c r="J1267" s="18" t="s">
        <v>27</v>
      </c>
      <c r="K1267" s="18"/>
      <c r="L1267" s="23" t="s">
        <v>4592</v>
      </c>
      <c r="M1267" s="23" t="s">
        <v>1903</v>
      </c>
      <c r="N1267" s="23" t="s">
        <v>1488</v>
      </c>
      <c r="O1267" s="18"/>
      <c r="P1267" s="24"/>
      <c r="Q1267" s="25">
        <v>46000</v>
      </c>
      <c r="R1267" s="13">
        <v>0</v>
      </c>
      <c r="S1267" s="26" t="str">
        <f>VLOOKUP(C1267,'[1]Bazaar Salary'!$B$6:$J$1193,9,0)</f>
        <v>12630010156658820010</v>
      </c>
      <c r="T1267" s="25" t="s">
        <v>32</v>
      </c>
      <c r="U1267" s="25" t="s">
        <v>786</v>
      </c>
      <c r="V1267" s="25"/>
      <c r="W1267" s="27" t="s">
        <v>4593</v>
      </c>
      <c r="X1267" s="28" t="s">
        <v>4594</v>
      </c>
      <c r="Y1267" s="28"/>
      <c r="Z1267" s="29" t="s">
        <v>37</v>
      </c>
    </row>
    <row r="1268" spans="1:26" ht="30" customHeight="1" thickBot="1" x14ac:dyDescent="0.25">
      <c r="A1268" s="17">
        <f t="shared" si="39"/>
        <v>1267</v>
      </c>
      <c r="B1268" s="18" t="s">
        <v>25</v>
      </c>
      <c r="C1268" s="19">
        <v>3810119123307</v>
      </c>
      <c r="D1268" s="19"/>
      <c r="E1268" s="20">
        <v>45826</v>
      </c>
      <c r="F1268" s="20">
        <v>49113</v>
      </c>
      <c r="G1268" s="21">
        <v>37666</v>
      </c>
      <c r="H1268" s="22">
        <f t="shared" ca="1" si="38"/>
        <v>23</v>
      </c>
      <c r="I1268" s="19" t="s">
        <v>26</v>
      </c>
      <c r="J1268" s="18" t="s">
        <v>27</v>
      </c>
      <c r="K1268" s="18"/>
      <c r="L1268" s="23" t="s">
        <v>4595</v>
      </c>
      <c r="M1268" s="23" t="s">
        <v>4530</v>
      </c>
      <c r="N1268" s="23" t="s">
        <v>1499</v>
      </c>
      <c r="O1268" s="18"/>
      <c r="P1268" s="24"/>
      <c r="Q1268" s="25">
        <v>46010</v>
      </c>
      <c r="R1268" s="13">
        <v>0</v>
      </c>
      <c r="S1268" s="26" t="str">
        <f>VLOOKUP(C1268,'[1]Bazaar Salary'!$B$6:$J$1193,9,0)</f>
        <v>07170010157162600011</v>
      </c>
      <c r="T1268" s="25" t="s">
        <v>32</v>
      </c>
      <c r="U1268" s="25" t="s">
        <v>786</v>
      </c>
      <c r="V1268" s="25"/>
      <c r="W1268" s="27" t="s">
        <v>4596</v>
      </c>
      <c r="X1268" s="28" t="s">
        <v>4597</v>
      </c>
      <c r="Y1268" s="28"/>
      <c r="Z1268" s="29" t="s">
        <v>37</v>
      </c>
    </row>
    <row r="1269" spans="1:26" ht="30" customHeight="1" thickBot="1" x14ac:dyDescent="0.25">
      <c r="A1269" s="17">
        <f t="shared" si="39"/>
        <v>1268</v>
      </c>
      <c r="B1269" s="18" t="s">
        <v>25</v>
      </c>
      <c r="C1269" s="19">
        <v>3520245348993</v>
      </c>
      <c r="D1269" s="19"/>
      <c r="E1269" s="20">
        <v>45999</v>
      </c>
      <c r="F1269" s="20">
        <v>49651</v>
      </c>
      <c r="G1269" s="21">
        <v>39174</v>
      </c>
      <c r="H1269" s="22">
        <f t="shared" ca="1" si="38"/>
        <v>19</v>
      </c>
      <c r="I1269" s="19" t="s">
        <v>26</v>
      </c>
      <c r="J1269" s="18" t="s">
        <v>27</v>
      </c>
      <c r="K1269" s="18"/>
      <c r="L1269" s="23" t="s">
        <v>1161</v>
      </c>
      <c r="M1269" s="23" t="s">
        <v>2273</v>
      </c>
      <c r="N1269" s="23" t="s">
        <v>1499</v>
      </c>
      <c r="O1269" s="18"/>
      <c r="P1269" s="24"/>
      <c r="Q1269" s="25">
        <v>46009</v>
      </c>
      <c r="R1269" s="13">
        <v>0</v>
      </c>
      <c r="S1269" s="26" t="str">
        <f>VLOOKUP(C1269,'[1]Bazaar Salary'!$B$6:$J$1193,9,0)</f>
        <v>07170010157012110016</v>
      </c>
      <c r="T1269" s="25" t="s">
        <v>32</v>
      </c>
      <c r="U1269" s="25" t="s">
        <v>786</v>
      </c>
      <c r="V1269" s="25"/>
      <c r="W1269" s="27" t="s">
        <v>4598</v>
      </c>
      <c r="X1269" s="28" t="s">
        <v>4599</v>
      </c>
      <c r="Y1269" s="28"/>
      <c r="Z1269" s="29" t="s">
        <v>37</v>
      </c>
    </row>
    <row r="1270" spans="1:26" ht="30" customHeight="1" thickBot="1" x14ac:dyDescent="0.25">
      <c r="A1270" s="17">
        <f t="shared" si="39"/>
        <v>1269</v>
      </c>
      <c r="B1270" s="18" t="s">
        <v>25</v>
      </c>
      <c r="C1270" s="19">
        <v>3520237941477</v>
      </c>
      <c r="D1270" s="19"/>
      <c r="E1270" s="20">
        <v>44548</v>
      </c>
      <c r="F1270" s="20">
        <v>48200</v>
      </c>
      <c r="G1270" s="21">
        <v>37530</v>
      </c>
      <c r="H1270" s="22">
        <f t="shared" ca="1" si="38"/>
        <v>23</v>
      </c>
      <c r="I1270" s="19" t="s">
        <v>26</v>
      </c>
      <c r="J1270" s="18" t="s">
        <v>27</v>
      </c>
      <c r="K1270" s="18"/>
      <c r="L1270" s="23" t="s">
        <v>4600</v>
      </c>
      <c r="M1270" s="23" t="s">
        <v>1254</v>
      </c>
      <c r="N1270" s="23" t="s">
        <v>1295</v>
      </c>
      <c r="O1270" s="18"/>
      <c r="P1270" s="24"/>
      <c r="Q1270" s="25">
        <v>46080</v>
      </c>
      <c r="R1270" s="13">
        <v>0</v>
      </c>
      <c r="S1270" s="26" t="str">
        <f>VLOOKUP(C1270,'[3]May-26'!$B$5:$H$89,7,0)</f>
        <v>07170010160790200016</v>
      </c>
      <c r="T1270" s="25" t="s">
        <v>32</v>
      </c>
      <c r="U1270" s="25" t="s">
        <v>786</v>
      </c>
      <c r="V1270" s="25" t="s">
        <v>884</v>
      </c>
      <c r="W1270" s="27" t="s">
        <v>4601</v>
      </c>
      <c r="X1270" s="28" t="s">
        <v>4602</v>
      </c>
      <c r="Y1270" s="28"/>
      <c r="Z1270" s="29" t="s">
        <v>3390</v>
      </c>
    </row>
    <row r="1271" spans="1:26" ht="30" customHeight="1" thickBot="1" x14ac:dyDescent="0.25">
      <c r="A1271" s="17">
        <f t="shared" si="39"/>
        <v>1270</v>
      </c>
      <c r="B1271" s="18" t="s">
        <v>25</v>
      </c>
      <c r="C1271" s="19">
        <v>3520403892505</v>
      </c>
      <c r="D1271" s="19"/>
      <c r="E1271" s="20">
        <v>44684</v>
      </c>
      <c r="F1271" s="20">
        <v>48337</v>
      </c>
      <c r="G1271" s="21">
        <v>37439</v>
      </c>
      <c r="H1271" s="22">
        <f t="shared" ca="1" si="38"/>
        <v>23</v>
      </c>
      <c r="I1271" s="19" t="s">
        <v>26</v>
      </c>
      <c r="J1271" s="18" t="s">
        <v>27</v>
      </c>
      <c r="K1271" s="18"/>
      <c r="L1271" s="23" t="s">
        <v>4603</v>
      </c>
      <c r="M1271" s="23" t="s">
        <v>2583</v>
      </c>
      <c r="N1271" s="23" t="s">
        <v>1295</v>
      </c>
      <c r="O1271" s="18"/>
      <c r="P1271" s="24"/>
      <c r="Q1271" s="25">
        <v>46080</v>
      </c>
      <c r="R1271" s="13">
        <v>0</v>
      </c>
      <c r="S1271" s="26" t="str">
        <f>VLOOKUP(C1271,'[3]May-26'!$B$5:$H$89,7,0)</f>
        <v>07170010160790230013</v>
      </c>
      <c r="T1271" s="25" t="s">
        <v>32</v>
      </c>
      <c r="U1271" s="25" t="s">
        <v>786</v>
      </c>
      <c r="V1271" s="25" t="s">
        <v>884</v>
      </c>
      <c r="W1271" s="27" t="s">
        <v>4604</v>
      </c>
      <c r="X1271" s="28" t="s">
        <v>4605</v>
      </c>
      <c r="Y1271" s="28"/>
      <c r="Z1271" s="29" t="s">
        <v>3390</v>
      </c>
    </row>
    <row r="1272" spans="1:26" ht="30" customHeight="1" thickBot="1" x14ac:dyDescent="0.25">
      <c r="A1272" s="17">
        <f t="shared" si="39"/>
        <v>1271</v>
      </c>
      <c r="B1272" s="18" t="s">
        <v>25</v>
      </c>
      <c r="C1272" s="19">
        <v>3120185310833</v>
      </c>
      <c r="D1272" s="19"/>
      <c r="E1272" s="20">
        <v>42798</v>
      </c>
      <c r="F1272" s="20">
        <v>46450</v>
      </c>
      <c r="G1272" s="21">
        <v>35806</v>
      </c>
      <c r="H1272" s="22">
        <f t="shared" ca="1" si="38"/>
        <v>28</v>
      </c>
      <c r="I1272" s="19" t="s">
        <v>26</v>
      </c>
      <c r="J1272" s="18" t="s">
        <v>27</v>
      </c>
      <c r="K1272" s="18"/>
      <c r="L1272" s="23" t="s">
        <v>4606</v>
      </c>
      <c r="M1272" s="23" t="s">
        <v>402</v>
      </c>
      <c r="N1272" s="23" t="s">
        <v>1499</v>
      </c>
      <c r="O1272" s="18"/>
      <c r="P1272" s="24"/>
      <c r="Q1272" s="25">
        <v>46070</v>
      </c>
      <c r="R1272" s="13">
        <v>0</v>
      </c>
      <c r="S1272" s="26" t="str">
        <f>VLOOKUP(C1272,'[4]Daily Wages '!$B$6:$G$197,6,0)</f>
        <v>16050010160609740013</v>
      </c>
      <c r="T1272" s="25" t="s">
        <v>32</v>
      </c>
      <c r="U1272" s="25" t="s">
        <v>786</v>
      </c>
      <c r="V1272" s="25"/>
      <c r="W1272" s="27" t="s">
        <v>4607</v>
      </c>
      <c r="X1272" s="28" t="s">
        <v>4608</v>
      </c>
      <c r="Y1272" s="28"/>
      <c r="Z1272" s="29" t="s">
        <v>3390</v>
      </c>
    </row>
    <row r="1273" spans="1:26" ht="30" customHeight="1" thickBot="1" x14ac:dyDescent="0.25">
      <c r="A1273" s="17">
        <f t="shared" si="39"/>
        <v>1272</v>
      </c>
      <c r="B1273" s="18" t="s">
        <v>25</v>
      </c>
      <c r="C1273" s="19">
        <v>3220347571891</v>
      </c>
      <c r="D1273" s="19">
        <v>1900</v>
      </c>
      <c r="E1273" s="20">
        <v>45258</v>
      </c>
      <c r="F1273" s="20">
        <v>48911</v>
      </c>
      <c r="G1273" s="21">
        <v>34925</v>
      </c>
      <c r="H1273" s="22">
        <f t="shared" ca="1" si="38"/>
        <v>30</v>
      </c>
      <c r="I1273" s="19" t="s">
        <v>26</v>
      </c>
      <c r="J1273" s="18" t="s">
        <v>27</v>
      </c>
      <c r="K1273" s="18"/>
      <c r="L1273" s="23" t="s">
        <v>4609</v>
      </c>
      <c r="M1273" s="23" t="s">
        <v>4610</v>
      </c>
      <c r="N1273" s="24" t="s">
        <v>457</v>
      </c>
      <c r="O1273" s="18"/>
      <c r="P1273" s="24"/>
      <c r="Q1273" s="25">
        <v>46023</v>
      </c>
      <c r="R1273" s="13">
        <v>0</v>
      </c>
      <c r="S1273" s="26" t="str">
        <f>VLOOKUP(C1273,'[1]Bazaar Salary'!$B$6:$J$1193,9,0)</f>
        <v>51400020099737960014</v>
      </c>
      <c r="T1273" s="25" t="s">
        <v>32</v>
      </c>
      <c r="U1273" s="25" t="s">
        <v>391</v>
      </c>
      <c r="V1273" s="25" t="s">
        <v>4611</v>
      </c>
      <c r="W1273" s="27" t="s">
        <v>4612</v>
      </c>
      <c r="X1273" s="28" t="s">
        <v>4613</v>
      </c>
      <c r="Y1273" s="28"/>
      <c r="Z1273" s="29" t="s">
        <v>37</v>
      </c>
    </row>
    <row r="1274" spans="1:26" ht="30" customHeight="1" thickBot="1" x14ac:dyDescent="0.25">
      <c r="A1274" s="17">
        <f t="shared" si="39"/>
        <v>1273</v>
      </c>
      <c r="B1274" s="18" t="s">
        <v>25</v>
      </c>
      <c r="C1274" s="19">
        <v>3220210569723</v>
      </c>
      <c r="D1274" s="19"/>
      <c r="E1274" s="20">
        <v>45666</v>
      </c>
      <c r="F1274" s="20">
        <v>49318</v>
      </c>
      <c r="G1274" s="21">
        <v>30256</v>
      </c>
      <c r="H1274" s="22">
        <f t="shared" ca="1" si="38"/>
        <v>43</v>
      </c>
      <c r="I1274" s="19" t="s">
        <v>26</v>
      </c>
      <c r="J1274" s="18" t="s">
        <v>27</v>
      </c>
      <c r="K1274" s="18"/>
      <c r="L1274" s="23" t="s">
        <v>544</v>
      </c>
      <c r="M1274" s="23" t="s">
        <v>127</v>
      </c>
      <c r="N1274" s="23" t="s">
        <v>1499</v>
      </c>
      <c r="O1274" s="18"/>
      <c r="P1274" s="24"/>
      <c r="Q1274" s="25">
        <v>45992</v>
      </c>
      <c r="R1274" s="13">
        <v>0</v>
      </c>
      <c r="S1274" s="26" t="str">
        <f>VLOOKUP(C1274,'[1]Bazaar Salary'!$B$6:$J$1193,9,0)</f>
        <v>09000010146335830014</v>
      </c>
      <c r="T1274" s="25" t="s">
        <v>32</v>
      </c>
      <c r="U1274" s="25" t="s">
        <v>391</v>
      </c>
      <c r="V1274" s="25"/>
      <c r="W1274" s="27" t="s">
        <v>4614</v>
      </c>
      <c r="X1274" s="28" t="s">
        <v>4615</v>
      </c>
      <c r="Y1274" s="28"/>
      <c r="Z1274" s="29" t="s">
        <v>37</v>
      </c>
    </row>
    <row r="1275" spans="1:26" ht="30" customHeight="1" thickBot="1" x14ac:dyDescent="0.25">
      <c r="A1275" s="17">
        <f t="shared" si="39"/>
        <v>1274</v>
      </c>
      <c r="B1275" s="18" t="s">
        <v>25</v>
      </c>
      <c r="C1275" s="19">
        <v>9040302291991</v>
      </c>
      <c r="D1275" s="19"/>
      <c r="E1275" s="20">
        <v>43319</v>
      </c>
      <c r="F1275" s="20">
        <v>46972</v>
      </c>
      <c r="G1275" s="21">
        <v>36303</v>
      </c>
      <c r="H1275" s="22">
        <f t="shared" ca="1" si="38"/>
        <v>27</v>
      </c>
      <c r="I1275" s="19" t="s">
        <v>26</v>
      </c>
      <c r="J1275" s="18" t="s">
        <v>27</v>
      </c>
      <c r="K1275" s="18"/>
      <c r="L1275" s="23" t="s">
        <v>1379</v>
      </c>
      <c r="M1275" s="23" t="s">
        <v>4616</v>
      </c>
      <c r="N1275" s="23" t="s">
        <v>3490</v>
      </c>
      <c r="O1275" s="18"/>
      <c r="P1275" s="24"/>
      <c r="Q1275" s="25">
        <v>46082</v>
      </c>
      <c r="R1275" s="13">
        <v>0</v>
      </c>
      <c r="S1275" s="26" t="str">
        <f>VLOOKUP(C1275,'[1]Bazaar Salary'!$B$6:$J$1193,9,0)</f>
        <v>04850010161190100017</v>
      </c>
      <c r="T1275" s="25" t="s">
        <v>32</v>
      </c>
      <c r="U1275" s="25" t="s">
        <v>391</v>
      </c>
      <c r="V1275" s="25"/>
      <c r="W1275" s="27" t="s">
        <v>4617</v>
      </c>
      <c r="X1275" s="28" t="s">
        <v>4618</v>
      </c>
      <c r="Y1275" s="28"/>
      <c r="Z1275" s="29" t="s">
        <v>37</v>
      </c>
    </row>
    <row r="1276" spans="1:26" ht="30" customHeight="1" thickBot="1" x14ac:dyDescent="0.25">
      <c r="A1276" s="17">
        <f t="shared" si="39"/>
        <v>1275</v>
      </c>
      <c r="B1276" s="18" t="s">
        <v>25</v>
      </c>
      <c r="C1276" s="19">
        <v>3630259924847</v>
      </c>
      <c r="D1276" s="19">
        <v>1901</v>
      </c>
      <c r="E1276" s="20">
        <v>43519</v>
      </c>
      <c r="F1276" s="20">
        <v>47172</v>
      </c>
      <c r="G1276" s="21">
        <v>36845</v>
      </c>
      <c r="H1276" s="22">
        <f t="shared" ca="1" si="38"/>
        <v>25</v>
      </c>
      <c r="I1276" s="19" t="s">
        <v>26</v>
      </c>
      <c r="J1276" s="18" t="s">
        <v>27</v>
      </c>
      <c r="K1276" s="18"/>
      <c r="L1276" s="23" t="s">
        <v>2560</v>
      </c>
      <c r="M1276" s="23" t="s">
        <v>974</v>
      </c>
      <c r="N1276" s="24" t="s">
        <v>1295</v>
      </c>
      <c r="O1276" s="18"/>
      <c r="P1276" s="24"/>
      <c r="Q1276" s="25">
        <v>45992</v>
      </c>
      <c r="R1276" s="13">
        <v>0</v>
      </c>
      <c r="S1276" s="26" t="str">
        <f>VLOOKUP(C1276,'[1]Bazaar Salary'!$B$6:$J$1193,9,0)</f>
        <v>08390010146491740011</v>
      </c>
      <c r="T1276" s="25" t="s">
        <v>32</v>
      </c>
      <c r="U1276" s="25" t="s">
        <v>237</v>
      </c>
      <c r="V1276" s="25"/>
      <c r="W1276" s="27" t="s">
        <v>4619</v>
      </c>
      <c r="X1276" s="28" t="s">
        <v>4620</v>
      </c>
      <c r="Y1276" s="28"/>
      <c r="Z1276" s="29" t="s">
        <v>37</v>
      </c>
    </row>
    <row r="1277" spans="1:26" ht="30" customHeight="1" thickBot="1" x14ac:dyDescent="0.25">
      <c r="A1277" s="17">
        <f t="shared" si="39"/>
        <v>1276</v>
      </c>
      <c r="B1277" s="18" t="s">
        <v>25</v>
      </c>
      <c r="C1277" s="19">
        <v>3620348424619</v>
      </c>
      <c r="D1277" s="19"/>
      <c r="E1277" s="20">
        <v>43622</v>
      </c>
      <c r="F1277" s="20">
        <v>47275</v>
      </c>
      <c r="G1277" s="21">
        <v>36758</v>
      </c>
      <c r="H1277" s="22">
        <f t="shared" ca="1" si="38"/>
        <v>25</v>
      </c>
      <c r="I1277" s="19" t="s">
        <v>26</v>
      </c>
      <c r="J1277" s="18" t="s">
        <v>27</v>
      </c>
      <c r="K1277" s="18"/>
      <c r="L1277" s="23" t="s">
        <v>4621</v>
      </c>
      <c r="M1277" s="23" t="s">
        <v>4622</v>
      </c>
      <c r="N1277" s="23" t="s">
        <v>1488</v>
      </c>
      <c r="O1277" s="18"/>
      <c r="P1277" s="24"/>
      <c r="Q1277" s="25">
        <v>46070</v>
      </c>
      <c r="R1277" s="13">
        <v>0</v>
      </c>
      <c r="S1277" s="26" t="str">
        <f>VLOOKUP(C1277,'[4]Daily Wages '!$B$6:$G$197,6,0)</f>
        <v>08390010160203640013</v>
      </c>
      <c r="T1277" s="25" t="s">
        <v>32</v>
      </c>
      <c r="U1277" s="25" t="s">
        <v>237</v>
      </c>
      <c r="V1277" s="25"/>
      <c r="W1277" s="27" t="s">
        <v>4623</v>
      </c>
      <c r="X1277" s="28" t="s">
        <v>4624</v>
      </c>
      <c r="Y1277" s="28"/>
      <c r="Z1277" s="29" t="s">
        <v>3390</v>
      </c>
    </row>
    <row r="1278" spans="1:26" ht="30" customHeight="1" thickBot="1" x14ac:dyDescent="0.25">
      <c r="A1278" s="17">
        <f t="shared" si="39"/>
        <v>1277</v>
      </c>
      <c r="B1278" s="18" t="s">
        <v>25</v>
      </c>
      <c r="C1278" s="19">
        <v>3540160577245</v>
      </c>
      <c r="D1278" s="19"/>
      <c r="E1278" s="20">
        <v>45662</v>
      </c>
      <c r="F1278" s="20">
        <v>49314</v>
      </c>
      <c r="G1278" s="21">
        <v>39066</v>
      </c>
      <c r="H1278" s="22">
        <f t="shared" ca="1" si="38"/>
        <v>19</v>
      </c>
      <c r="I1278" s="19" t="s">
        <v>26</v>
      </c>
      <c r="J1278" s="18" t="s">
        <v>27</v>
      </c>
      <c r="K1278" s="18"/>
      <c r="L1278" s="24" t="s">
        <v>4625</v>
      </c>
      <c r="M1278" s="23" t="s">
        <v>3969</v>
      </c>
      <c r="N1278" s="24" t="s">
        <v>1295</v>
      </c>
      <c r="O1278" s="18"/>
      <c r="P1278" s="24"/>
      <c r="Q1278" s="25">
        <v>45992</v>
      </c>
      <c r="R1278" s="13">
        <v>0</v>
      </c>
      <c r="S1278" s="26" t="str">
        <f>VLOOKUP(C1278,'[1]Bazaar Salary'!$B$6:$J$1193,9,0)</f>
        <v>02880010152524010012</v>
      </c>
      <c r="T1278" s="25" t="s">
        <v>32</v>
      </c>
      <c r="U1278" s="25" t="s">
        <v>800</v>
      </c>
      <c r="V1278" s="25" t="s">
        <v>320</v>
      </c>
      <c r="W1278" s="27" t="s">
        <v>4626</v>
      </c>
      <c r="X1278" s="28" t="s">
        <v>4627</v>
      </c>
      <c r="Y1278" s="28"/>
      <c r="Z1278" s="29" t="s">
        <v>37</v>
      </c>
    </row>
    <row r="1279" spans="1:26" ht="30" customHeight="1" thickBot="1" x14ac:dyDescent="0.25">
      <c r="A1279" s="17">
        <f t="shared" si="39"/>
        <v>1278</v>
      </c>
      <c r="B1279" s="18" t="s">
        <v>25</v>
      </c>
      <c r="C1279" s="19">
        <v>3520240714209</v>
      </c>
      <c r="D1279" s="19"/>
      <c r="E1279" s="20">
        <v>45208</v>
      </c>
      <c r="F1279" s="20">
        <v>48861</v>
      </c>
      <c r="G1279" s="21">
        <v>38786</v>
      </c>
      <c r="H1279" s="22">
        <f t="shared" ca="1" si="38"/>
        <v>20</v>
      </c>
      <c r="I1279" s="19" t="s">
        <v>26</v>
      </c>
      <c r="J1279" s="18" t="s">
        <v>27</v>
      </c>
      <c r="K1279" s="18"/>
      <c r="L1279" s="23" t="s">
        <v>4628</v>
      </c>
      <c r="M1279" s="23" t="s">
        <v>894</v>
      </c>
      <c r="N1279" s="23" t="s">
        <v>1488</v>
      </c>
      <c r="O1279" s="18"/>
      <c r="P1279" s="24"/>
      <c r="Q1279" s="25">
        <v>46003</v>
      </c>
      <c r="R1279" s="13">
        <v>0</v>
      </c>
      <c r="S1279" s="26" t="str">
        <f>VLOOKUP(C1279,'[1]Bazaar Salary'!$B$6:$J$1193,9,0)</f>
        <v>01530010156441240012</v>
      </c>
      <c r="T1279" s="25" t="s">
        <v>32</v>
      </c>
      <c r="U1279" s="25" t="s">
        <v>800</v>
      </c>
      <c r="V1279" s="25"/>
      <c r="W1279" s="27" t="s">
        <v>4629</v>
      </c>
      <c r="X1279" s="28" t="s">
        <v>4630</v>
      </c>
      <c r="Y1279" s="28"/>
      <c r="Z1279" s="29" t="s">
        <v>37</v>
      </c>
    </row>
    <row r="1280" spans="1:26" ht="30" customHeight="1" thickBot="1" x14ac:dyDescent="0.25">
      <c r="A1280" s="17">
        <f t="shared" si="39"/>
        <v>1279</v>
      </c>
      <c r="B1280" s="18" t="s">
        <v>25</v>
      </c>
      <c r="C1280" s="19">
        <v>3520219308665</v>
      </c>
      <c r="D1280" s="19"/>
      <c r="E1280" s="20">
        <v>45782</v>
      </c>
      <c r="F1280" s="20">
        <v>49434</v>
      </c>
      <c r="G1280" s="21">
        <v>35014</v>
      </c>
      <c r="H1280" s="22">
        <f t="shared" ca="1" si="38"/>
        <v>30</v>
      </c>
      <c r="I1280" s="19" t="s">
        <v>26</v>
      </c>
      <c r="J1280" s="18" t="s">
        <v>27</v>
      </c>
      <c r="K1280" s="18"/>
      <c r="L1280" s="23" t="s">
        <v>894</v>
      </c>
      <c r="M1280" s="23" t="s">
        <v>1133</v>
      </c>
      <c r="N1280" s="23" t="s">
        <v>1488</v>
      </c>
      <c r="O1280" s="18"/>
      <c r="P1280" s="24"/>
      <c r="Q1280" s="25">
        <v>46003</v>
      </c>
      <c r="R1280" s="13">
        <v>0</v>
      </c>
      <c r="S1280" s="26" t="str">
        <f>VLOOKUP(C1280,'[1]Bazaar Salary'!$B$6:$J$1193,9,0)</f>
        <v>01530010156442980012</v>
      </c>
      <c r="T1280" s="25" t="s">
        <v>32</v>
      </c>
      <c r="U1280" s="25" t="s">
        <v>800</v>
      </c>
      <c r="V1280" s="25"/>
      <c r="W1280" s="27" t="s">
        <v>4631</v>
      </c>
      <c r="X1280" s="28" t="s">
        <v>4632</v>
      </c>
      <c r="Y1280" s="28"/>
      <c r="Z1280" s="29" t="s">
        <v>37</v>
      </c>
    </row>
    <row r="1281" spans="1:26" ht="30" customHeight="1" thickBot="1" x14ac:dyDescent="0.25">
      <c r="A1281" s="17">
        <f t="shared" si="39"/>
        <v>1280</v>
      </c>
      <c r="B1281" s="18" t="s">
        <v>25</v>
      </c>
      <c r="C1281" s="19">
        <v>3460233853303</v>
      </c>
      <c r="D1281" s="19"/>
      <c r="E1281" s="20">
        <v>44193</v>
      </c>
      <c r="F1281" s="20">
        <v>47845</v>
      </c>
      <c r="G1281" s="21">
        <v>37500</v>
      </c>
      <c r="H1281" s="22">
        <f t="shared" ca="1" si="38"/>
        <v>23</v>
      </c>
      <c r="I1281" s="19" t="s">
        <v>26</v>
      </c>
      <c r="J1281" s="18" t="s">
        <v>27</v>
      </c>
      <c r="K1281" s="18"/>
      <c r="L1281" s="23" t="s">
        <v>4633</v>
      </c>
      <c r="M1281" s="23" t="s">
        <v>1808</v>
      </c>
      <c r="N1281" s="23" t="s">
        <v>1499</v>
      </c>
      <c r="O1281" s="18"/>
      <c r="P1281" s="24"/>
      <c r="Q1281" s="25">
        <v>46025</v>
      </c>
      <c r="R1281" s="13">
        <v>0</v>
      </c>
      <c r="S1281" s="26" t="str">
        <f>VLOOKUP(C1281,'[1]Bazaar Salary'!$B$6:$J$1193,9,0)</f>
        <v>52050020158291160016</v>
      </c>
      <c r="T1281" s="25" t="s">
        <v>32</v>
      </c>
      <c r="U1281" s="25" t="s">
        <v>800</v>
      </c>
      <c r="V1281" s="25"/>
      <c r="W1281" s="27" t="s">
        <v>4634</v>
      </c>
      <c r="X1281" s="28" t="s">
        <v>4635</v>
      </c>
      <c r="Y1281" s="28"/>
      <c r="Z1281" s="29" t="s">
        <v>37</v>
      </c>
    </row>
    <row r="1282" spans="1:26" ht="30" customHeight="1" thickBot="1" x14ac:dyDescent="0.25">
      <c r="A1282" s="17">
        <f t="shared" si="39"/>
        <v>1281</v>
      </c>
      <c r="B1282" s="18" t="s">
        <v>25</v>
      </c>
      <c r="C1282" s="19">
        <v>3540259119341</v>
      </c>
      <c r="D1282" s="19"/>
      <c r="E1282" s="20">
        <v>45313</v>
      </c>
      <c r="F1282" s="20">
        <v>48966</v>
      </c>
      <c r="G1282" s="21">
        <v>36600</v>
      </c>
      <c r="H1282" s="22">
        <f t="shared" ref="H1282:H1345" ca="1" si="40">INT((TODAY()-G1282)/365)</f>
        <v>26</v>
      </c>
      <c r="I1282" s="19" t="s">
        <v>26</v>
      </c>
      <c r="J1282" s="18" t="s">
        <v>27</v>
      </c>
      <c r="K1282" s="18"/>
      <c r="L1282" s="23" t="s">
        <v>1549</v>
      </c>
      <c r="M1282" s="23" t="s">
        <v>4636</v>
      </c>
      <c r="N1282" s="23" t="s">
        <v>1499</v>
      </c>
      <c r="O1282" s="18"/>
      <c r="P1282" s="24"/>
      <c r="Q1282" s="25">
        <v>46010</v>
      </c>
      <c r="R1282" s="13">
        <v>0</v>
      </c>
      <c r="S1282" s="26" t="str">
        <f>VLOOKUP(C1282,'[1]Bazaar Salary'!$B$6:$J$1193,9,0)</f>
        <v>07030010157451770015</v>
      </c>
      <c r="T1282" s="25" t="s">
        <v>32</v>
      </c>
      <c r="U1282" s="25" t="s">
        <v>800</v>
      </c>
      <c r="V1282" s="25"/>
      <c r="W1282" s="27" t="s">
        <v>4637</v>
      </c>
      <c r="X1282" s="28" t="s">
        <v>4638</v>
      </c>
      <c r="Y1282" s="28"/>
      <c r="Z1282" s="29" t="s">
        <v>37</v>
      </c>
    </row>
    <row r="1283" spans="1:26" ht="30" customHeight="1" thickBot="1" x14ac:dyDescent="0.25">
      <c r="A1283" s="17">
        <f t="shared" si="39"/>
        <v>1282</v>
      </c>
      <c r="B1283" s="18" t="s">
        <v>25</v>
      </c>
      <c r="C1283" s="19">
        <v>3640243235053</v>
      </c>
      <c r="D1283" s="19"/>
      <c r="E1283" s="20">
        <v>43571</v>
      </c>
      <c r="F1283" s="20">
        <v>47224</v>
      </c>
      <c r="G1283" s="21">
        <v>36936</v>
      </c>
      <c r="H1283" s="22">
        <f t="shared" ca="1" si="40"/>
        <v>25</v>
      </c>
      <c r="I1283" s="19" t="s">
        <v>26</v>
      </c>
      <c r="J1283" s="18" t="s">
        <v>27</v>
      </c>
      <c r="K1283" s="18"/>
      <c r="L1283" s="23" t="s">
        <v>4639</v>
      </c>
      <c r="M1283" s="23" t="s">
        <v>974</v>
      </c>
      <c r="N1283" s="23" t="s">
        <v>1499</v>
      </c>
      <c r="O1283" s="18"/>
      <c r="P1283" s="24"/>
      <c r="Q1283" s="25">
        <v>46038</v>
      </c>
      <c r="R1283" s="13">
        <v>0</v>
      </c>
      <c r="S1283" s="26" t="str">
        <f>VLOOKUP(C1283,'[1]Bazaar Salary'!$B$6:$J$1193,9,0)</f>
        <v>07030010158436900017</v>
      </c>
      <c r="T1283" s="25" t="s">
        <v>32</v>
      </c>
      <c r="U1283" s="25" t="s">
        <v>800</v>
      </c>
      <c r="V1283" s="25"/>
      <c r="W1283" s="27" t="s">
        <v>4640</v>
      </c>
      <c r="X1283" s="28" t="s">
        <v>4641</v>
      </c>
      <c r="Y1283" s="28"/>
      <c r="Z1283" s="29" t="s">
        <v>37</v>
      </c>
    </row>
    <row r="1284" spans="1:26" ht="30" customHeight="1" thickBot="1" x14ac:dyDescent="0.25">
      <c r="A1284" s="17">
        <f t="shared" ref="A1284:A1347" si="41">A1283+1</f>
        <v>1283</v>
      </c>
      <c r="B1284" s="18" t="s">
        <v>25</v>
      </c>
      <c r="C1284" s="19">
        <v>3520283594243</v>
      </c>
      <c r="D1284" s="19"/>
      <c r="E1284" s="20">
        <v>45960</v>
      </c>
      <c r="F1284" s="20">
        <v>49612</v>
      </c>
      <c r="G1284" s="21">
        <v>38884</v>
      </c>
      <c r="H1284" s="22">
        <f t="shared" ca="1" si="40"/>
        <v>20</v>
      </c>
      <c r="I1284" s="19" t="s">
        <v>26</v>
      </c>
      <c r="J1284" s="18" t="s">
        <v>27</v>
      </c>
      <c r="K1284" s="18"/>
      <c r="L1284" s="23" t="s">
        <v>3218</v>
      </c>
      <c r="M1284" s="23" t="s">
        <v>3136</v>
      </c>
      <c r="N1284" s="23" t="s">
        <v>457</v>
      </c>
      <c r="O1284" s="18"/>
      <c r="P1284" s="24"/>
      <c r="Q1284" s="25">
        <v>46080</v>
      </c>
      <c r="R1284" s="13">
        <v>0</v>
      </c>
      <c r="S1284" s="26" t="str">
        <f>VLOOKUP(C1284,'[3]May-26'!$B$5:$H$89,7,0)</f>
        <v>07660010160795000013</v>
      </c>
      <c r="T1284" s="25" t="s">
        <v>32</v>
      </c>
      <c r="U1284" s="25" t="s">
        <v>800</v>
      </c>
      <c r="V1284" s="25" t="s">
        <v>3391</v>
      </c>
      <c r="W1284" s="27" t="s">
        <v>4642</v>
      </c>
      <c r="X1284" s="28" t="s">
        <v>4643</v>
      </c>
      <c r="Y1284" s="28"/>
      <c r="Z1284" s="29" t="s">
        <v>3390</v>
      </c>
    </row>
    <row r="1285" spans="1:26" ht="30" customHeight="1" thickBot="1" x14ac:dyDescent="0.25">
      <c r="A1285" s="17">
        <f t="shared" si="41"/>
        <v>1284</v>
      </c>
      <c r="B1285" s="18" t="s">
        <v>25</v>
      </c>
      <c r="C1285" s="19">
        <v>3520215235111</v>
      </c>
      <c r="D1285" s="19"/>
      <c r="E1285" s="20">
        <v>45502</v>
      </c>
      <c r="F1285" s="20">
        <v>49154</v>
      </c>
      <c r="G1285" s="21">
        <v>25934</v>
      </c>
      <c r="H1285" s="22">
        <f t="shared" ca="1" si="40"/>
        <v>55</v>
      </c>
      <c r="I1285" s="19" t="s">
        <v>912</v>
      </c>
      <c r="J1285" s="18" t="s">
        <v>27</v>
      </c>
      <c r="K1285" s="18"/>
      <c r="L1285" s="23" t="s">
        <v>2166</v>
      </c>
      <c r="M1285" s="23" t="s">
        <v>4644</v>
      </c>
      <c r="N1285" s="23" t="s">
        <v>1488</v>
      </c>
      <c r="O1285" s="18"/>
      <c r="P1285" s="24"/>
      <c r="Q1285" s="25">
        <v>46069</v>
      </c>
      <c r="R1285" s="13">
        <v>0</v>
      </c>
      <c r="S1285" s="26" t="str">
        <f>VLOOKUP(C1285,'[4]Daily Wages '!$B$6:$G$197,6,0)</f>
        <v>02880010159735970010</v>
      </c>
      <c r="T1285" s="25" t="s">
        <v>32</v>
      </c>
      <c r="U1285" s="25" t="s">
        <v>800</v>
      </c>
      <c r="V1285" s="25"/>
      <c r="W1285" s="27" t="s">
        <v>4645</v>
      </c>
      <c r="X1285" s="28" t="s">
        <v>4646</v>
      </c>
      <c r="Y1285" s="28"/>
      <c r="Z1285" s="29" t="s">
        <v>3390</v>
      </c>
    </row>
    <row r="1286" spans="1:26" ht="30" customHeight="1" thickBot="1" x14ac:dyDescent="0.25">
      <c r="A1286" s="17">
        <f t="shared" si="41"/>
        <v>1285</v>
      </c>
      <c r="B1286" s="18" t="s">
        <v>25</v>
      </c>
      <c r="C1286" s="19">
        <v>3520232345015</v>
      </c>
      <c r="D1286" s="19"/>
      <c r="E1286" s="20">
        <v>43726</v>
      </c>
      <c r="F1286" s="20">
        <v>47379</v>
      </c>
      <c r="G1286" s="21">
        <v>36890</v>
      </c>
      <c r="H1286" s="22">
        <f t="shared" ca="1" si="40"/>
        <v>25</v>
      </c>
      <c r="I1286" s="19" t="s">
        <v>26</v>
      </c>
      <c r="J1286" s="18" t="s">
        <v>27</v>
      </c>
      <c r="K1286" s="18"/>
      <c r="L1286" s="24" t="s">
        <v>4647</v>
      </c>
      <c r="M1286" s="23" t="s">
        <v>4648</v>
      </c>
      <c r="N1286" s="24" t="s">
        <v>1295</v>
      </c>
      <c r="O1286" s="18"/>
      <c r="P1286" s="24"/>
      <c r="Q1286" s="25">
        <v>46039</v>
      </c>
      <c r="R1286" s="13">
        <v>0</v>
      </c>
      <c r="S1286" s="26" t="str">
        <f>VLOOKUP(C1286,'[1]Bazaar Salary'!$B$6:$J$1193,9,0)</f>
        <v>14180010159222680019</v>
      </c>
      <c r="T1286" s="25" t="s">
        <v>32</v>
      </c>
      <c r="U1286" s="25" t="s">
        <v>4649</v>
      </c>
      <c r="V1286" s="25"/>
      <c r="W1286" s="27" t="s">
        <v>4650</v>
      </c>
      <c r="X1286" s="28" t="s">
        <v>4651</v>
      </c>
      <c r="Y1286" s="28"/>
      <c r="Z1286" s="29" t="s">
        <v>37</v>
      </c>
    </row>
    <row r="1287" spans="1:26" ht="30" customHeight="1" thickBot="1" x14ac:dyDescent="0.25">
      <c r="A1287" s="17">
        <f t="shared" si="41"/>
        <v>1286</v>
      </c>
      <c r="B1287" s="18" t="s">
        <v>25</v>
      </c>
      <c r="C1287" s="19">
        <v>3520261512941</v>
      </c>
      <c r="D1287" s="19">
        <v>1905</v>
      </c>
      <c r="E1287" s="20">
        <v>43867</v>
      </c>
      <c r="F1287" s="20">
        <v>47520</v>
      </c>
      <c r="G1287" s="21">
        <v>36046</v>
      </c>
      <c r="H1287" s="22">
        <f t="shared" ca="1" si="40"/>
        <v>27</v>
      </c>
      <c r="I1287" s="19" t="s">
        <v>26</v>
      </c>
      <c r="J1287" s="18" t="s">
        <v>27</v>
      </c>
      <c r="K1287" s="18"/>
      <c r="L1287" s="24" t="s">
        <v>4652</v>
      </c>
      <c r="M1287" s="23" t="s">
        <v>491</v>
      </c>
      <c r="N1287" s="24" t="s">
        <v>3988</v>
      </c>
      <c r="O1287" s="18"/>
      <c r="P1287" s="24"/>
      <c r="Q1287" s="25">
        <v>45992</v>
      </c>
      <c r="R1287" s="13">
        <v>0</v>
      </c>
      <c r="S1287" s="26" t="str">
        <f>VLOOKUP(C1287,'[1]Bazaar Salary'!$B$6:$J$1193,9,0)</f>
        <v>02240010058775570027</v>
      </c>
      <c r="T1287" s="25" t="s">
        <v>32</v>
      </c>
      <c r="U1287" s="25" t="s">
        <v>4649</v>
      </c>
      <c r="V1287" s="25" t="s">
        <v>3391</v>
      </c>
      <c r="W1287" s="27" t="s">
        <v>4653</v>
      </c>
      <c r="X1287" s="28" t="s">
        <v>4654</v>
      </c>
      <c r="Y1287" s="28"/>
      <c r="Z1287" s="29" t="s">
        <v>37</v>
      </c>
    </row>
    <row r="1288" spans="1:26" ht="30" customHeight="1" thickBot="1" x14ac:dyDescent="0.25">
      <c r="A1288" s="17">
        <f t="shared" si="41"/>
        <v>1287</v>
      </c>
      <c r="B1288" s="18" t="s">
        <v>25</v>
      </c>
      <c r="C1288" s="19">
        <v>3520245454443</v>
      </c>
      <c r="D1288" s="19"/>
      <c r="E1288" s="20">
        <v>43129</v>
      </c>
      <c r="F1288" s="20">
        <v>46781</v>
      </c>
      <c r="G1288" s="21">
        <v>36509</v>
      </c>
      <c r="H1288" s="22">
        <f t="shared" ca="1" si="40"/>
        <v>26</v>
      </c>
      <c r="I1288" s="19" t="s">
        <v>26</v>
      </c>
      <c r="J1288" s="18" t="s">
        <v>27</v>
      </c>
      <c r="K1288" s="18"/>
      <c r="L1288" s="23" t="s">
        <v>4655</v>
      </c>
      <c r="M1288" s="23" t="s">
        <v>2273</v>
      </c>
      <c r="N1288" s="23" t="s">
        <v>1499</v>
      </c>
      <c r="O1288" s="18"/>
      <c r="P1288" s="24"/>
      <c r="Q1288" s="25">
        <v>46009</v>
      </c>
      <c r="R1288" s="13">
        <v>0</v>
      </c>
      <c r="S1288" s="26" t="str">
        <f>VLOOKUP(C1288,'[1]Bazaar Salary'!$B$6:$J$1193,9,0)</f>
        <v>14180010157045520014</v>
      </c>
      <c r="T1288" s="25" t="s">
        <v>32</v>
      </c>
      <c r="U1288" s="25" t="s">
        <v>4649</v>
      </c>
      <c r="V1288" s="25"/>
      <c r="W1288" s="27" t="s">
        <v>4598</v>
      </c>
      <c r="X1288" s="28" t="s">
        <v>4656</v>
      </c>
      <c r="Y1288" s="28"/>
      <c r="Z1288" s="29" t="s">
        <v>37</v>
      </c>
    </row>
    <row r="1289" spans="1:26" ht="30" customHeight="1" thickBot="1" x14ac:dyDescent="0.25">
      <c r="A1289" s="17">
        <f t="shared" si="41"/>
        <v>1288</v>
      </c>
      <c r="B1289" s="18" t="s">
        <v>25</v>
      </c>
      <c r="C1289" s="19">
        <v>3550105504081</v>
      </c>
      <c r="D1289" s="19"/>
      <c r="E1289" s="20">
        <v>44250</v>
      </c>
      <c r="F1289" s="20">
        <v>47902</v>
      </c>
      <c r="G1289" s="21">
        <v>37315</v>
      </c>
      <c r="H1289" s="22">
        <f t="shared" ca="1" si="40"/>
        <v>24</v>
      </c>
      <c r="I1289" s="19" t="s">
        <v>26</v>
      </c>
      <c r="J1289" s="18" t="s">
        <v>27</v>
      </c>
      <c r="K1289" s="18"/>
      <c r="L1289" s="23" t="s">
        <v>638</v>
      </c>
      <c r="M1289" s="23" t="s">
        <v>4636</v>
      </c>
      <c r="N1289" s="23" t="s">
        <v>1499</v>
      </c>
      <c r="O1289" s="18"/>
      <c r="P1289" s="24"/>
      <c r="Q1289" s="25">
        <v>46010</v>
      </c>
      <c r="R1289" s="13">
        <v>0</v>
      </c>
      <c r="S1289" s="26" t="str">
        <f>VLOOKUP(C1289,'[1]Bazaar Salary'!$B$6:$J$1193,9,0)</f>
        <v>08760010091853350018</v>
      </c>
      <c r="T1289" s="25" t="s">
        <v>32</v>
      </c>
      <c r="U1289" s="25" t="s">
        <v>4649</v>
      </c>
      <c r="V1289" s="25"/>
      <c r="W1289" s="27" t="s">
        <v>4637</v>
      </c>
      <c r="X1289" s="28" t="s">
        <v>4657</v>
      </c>
      <c r="Y1289" s="28"/>
      <c r="Z1289" s="29" t="s">
        <v>37</v>
      </c>
    </row>
    <row r="1290" spans="1:26" ht="30" customHeight="1" thickBot="1" x14ac:dyDescent="0.25">
      <c r="A1290" s="17">
        <f t="shared" si="41"/>
        <v>1289</v>
      </c>
      <c r="B1290" s="18" t="s">
        <v>25</v>
      </c>
      <c r="C1290" s="19">
        <v>3640154756021</v>
      </c>
      <c r="D1290" s="19"/>
      <c r="E1290" s="20">
        <v>44175</v>
      </c>
      <c r="F1290" s="20">
        <v>47827</v>
      </c>
      <c r="G1290" s="21">
        <v>37201</v>
      </c>
      <c r="H1290" s="22">
        <f t="shared" ca="1" si="40"/>
        <v>24</v>
      </c>
      <c r="I1290" s="19" t="s">
        <v>26</v>
      </c>
      <c r="J1290" s="18" t="s">
        <v>27</v>
      </c>
      <c r="K1290" s="18"/>
      <c r="L1290" s="23" t="s">
        <v>4658</v>
      </c>
      <c r="M1290" s="23" t="s">
        <v>4659</v>
      </c>
      <c r="N1290" s="23" t="s">
        <v>1499</v>
      </c>
      <c r="O1290" s="18"/>
      <c r="P1290" s="24"/>
      <c r="Q1290" s="25">
        <v>46010</v>
      </c>
      <c r="R1290" s="13">
        <v>0</v>
      </c>
      <c r="S1290" s="26" t="str">
        <f>VLOOKUP(C1290,'[1]Bazaar Salary'!$B$6:$J$1193,9,0)</f>
        <v>51450020157081930019</v>
      </c>
      <c r="T1290" s="25" t="s">
        <v>32</v>
      </c>
      <c r="U1290" s="25" t="s">
        <v>4649</v>
      </c>
      <c r="V1290" s="25"/>
      <c r="W1290" s="27" t="s">
        <v>738</v>
      </c>
      <c r="X1290" s="28" t="s">
        <v>972</v>
      </c>
      <c r="Y1290" s="28"/>
      <c r="Z1290" s="29" t="s">
        <v>37</v>
      </c>
    </row>
    <row r="1291" spans="1:26" ht="30" customHeight="1" thickBot="1" x14ac:dyDescent="0.25">
      <c r="A1291" s="17">
        <f t="shared" si="41"/>
        <v>1290</v>
      </c>
      <c r="B1291" s="18" t="s">
        <v>25</v>
      </c>
      <c r="C1291" s="19">
        <v>3530270543565</v>
      </c>
      <c r="D1291" s="19"/>
      <c r="E1291" s="20">
        <v>45197</v>
      </c>
      <c r="F1291" s="20">
        <v>48850</v>
      </c>
      <c r="G1291" s="21">
        <v>38103</v>
      </c>
      <c r="H1291" s="22">
        <f t="shared" ca="1" si="40"/>
        <v>22</v>
      </c>
      <c r="I1291" s="19" t="s">
        <v>26</v>
      </c>
      <c r="J1291" s="18" t="s">
        <v>27</v>
      </c>
      <c r="K1291" s="18"/>
      <c r="L1291" s="23" t="s">
        <v>4660</v>
      </c>
      <c r="M1291" s="23" t="s">
        <v>4661</v>
      </c>
      <c r="N1291" s="24" t="s">
        <v>1295</v>
      </c>
      <c r="O1291" s="18"/>
      <c r="P1291" s="24"/>
      <c r="Q1291" s="25">
        <v>46069</v>
      </c>
      <c r="R1291" s="13">
        <v>0</v>
      </c>
      <c r="S1291" s="26" t="str">
        <f>VLOOKUP(C1291,'[3]May-26'!$B$5:$H$89,7,0)</f>
        <v>05460010160086860016</v>
      </c>
      <c r="T1291" s="25" t="s">
        <v>32</v>
      </c>
      <c r="U1291" s="25" t="s">
        <v>4649</v>
      </c>
      <c r="V1291" s="25" t="s">
        <v>3391</v>
      </c>
      <c r="W1291" s="27" t="s">
        <v>4662</v>
      </c>
      <c r="X1291" s="28" t="s">
        <v>4663</v>
      </c>
      <c r="Y1291" s="28"/>
      <c r="Z1291" s="29" t="s">
        <v>3390</v>
      </c>
    </row>
    <row r="1292" spans="1:26" ht="30" customHeight="1" thickBot="1" x14ac:dyDescent="0.25">
      <c r="A1292" s="17">
        <f t="shared" si="41"/>
        <v>1291</v>
      </c>
      <c r="B1292" s="18" t="s">
        <v>25</v>
      </c>
      <c r="C1292" s="19">
        <v>3520233800759</v>
      </c>
      <c r="D1292" s="19"/>
      <c r="E1292" s="20">
        <v>44682</v>
      </c>
      <c r="F1292" s="20">
        <v>48335</v>
      </c>
      <c r="G1292" s="21">
        <v>38094</v>
      </c>
      <c r="H1292" s="22">
        <f t="shared" ca="1" si="40"/>
        <v>22</v>
      </c>
      <c r="I1292" s="19" t="s">
        <v>26</v>
      </c>
      <c r="J1292" s="18" t="s">
        <v>27</v>
      </c>
      <c r="K1292" s="18"/>
      <c r="L1292" s="23" t="s">
        <v>4664</v>
      </c>
      <c r="M1292" s="23" t="s">
        <v>4665</v>
      </c>
      <c r="N1292" s="23" t="s">
        <v>457</v>
      </c>
      <c r="O1292" s="18"/>
      <c r="P1292" s="24"/>
      <c r="Q1292" s="25">
        <v>46082</v>
      </c>
      <c r="R1292" s="13">
        <v>0</v>
      </c>
      <c r="S1292" s="26" t="str">
        <f>VLOOKUP(C1292,'[3]May-26'!$B$5:$H$89,7,0)</f>
        <v>14180010160507460014</v>
      </c>
      <c r="T1292" s="25" t="s">
        <v>32</v>
      </c>
      <c r="U1292" s="25" t="s">
        <v>4649</v>
      </c>
      <c r="V1292" s="25" t="s">
        <v>3391</v>
      </c>
      <c r="W1292" s="27" t="s">
        <v>4666</v>
      </c>
      <c r="X1292" s="28" t="s">
        <v>4667</v>
      </c>
      <c r="Y1292" s="28"/>
      <c r="Z1292" s="29" t="s">
        <v>3390</v>
      </c>
    </row>
    <row r="1293" spans="1:26" ht="30" customHeight="1" thickBot="1" x14ac:dyDescent="0.25">
      <c r="A1293" s="17">
        <f t="shared" si="41"/>
        <v>1292</v>
      </c>
      <c r="B1293" s="18" t="s">
        <v>25</v>
      </c>
      <c r="C1293" s="19">
        <v>3510148458503</v>
      </c>
      <c r="D1293" s="19"/>
      <c r="E1293" s="20">
        <v>45271</v>
      </c>
      <c r="F1293" s="20">
        <v>48924</v>
      </c>
      <c r="G1293" s="21">
        <v>38671</v>
      </c>
      <c r="H1293" s="22">
        <f t="shared" ca="1" si="40"/>
        <v>20</v>
      </c>
      <c r="I1293" s="19" t="s">
        <v>912</v>
      </c>
      <c r="J1293" s="18" t="s">
        <v>27</v>
      </c>
      <c r="K1293" s="18"/>
      <c r="L1293" s="23" t="s">
        <v>4668</v>
      </c>
      <c r="M1293" s="23" t="s">
        <v>3201</v>
      </c>
      <c r="N1293" s="23" t="s">
        <v>1488</v>
      </c>
      <c r="O1293" s="18"/>
      <c r="P1293" s="24"/>
      <c r="Q1293" s="25">
        <v>46054</v>
      </c>
      <c r="R1293" s="13">
        <v>0</v>
      </c>
      <c r="S1293" s="26" t="str">
        <f>VLOOKUP(C1293,'[4]Daily Wages '!$B$6:$G$197,6,0)</f>
        <v>14180010157337400014</v>
      </c>
      <c r="T1293" s="25" t="s">
        <v>32</v>
      </c>
      <c r="U1293" s="25" t="s">
        <v>4649</v>
      </c>
      <c r="V1293" s="25"/>
      <c r="W1293" s="27" t="s">
        <v>4669</v>
      </c>
      <c r="X1293" s="28" t="s">
        <v>4670</v>
      </c>
      <c r="Y1293" s="28"/>
      <c r="Z1293" s="29" t="s">
        <v>3390</v>
      </c>
    </row>
    <row r="1294" spans="1:26" ht="30" customHeight="1" thickBot="1" x14ac:dyDescent="0.25">
      <c r="A1294" s="17">
        <f t="shared" si="41"/>
        <v>1293</v>
      </c>
      <c r="B1294" s="18" t="s">
        <v>25</v>
      </c>
      <c r="C1294" s="19">
        <v>3520133645537</v>
      </c>
      <c r="D1294" s="19"/>
      <c r="E1294" s="20"/>
      <c r="F1294" s="20"/>
      <c r="G1294" s="21">
        <v>38414</v>
      </c>
      <c r="H1294" s="22">
        <f t="shared" ca="1" si="40"/>
        <v>21</v>
      </c>
      <c r="I1294" s="19" t="s">
        <v>912</v>
      </c>
      <c r="J1294" s="18" t="s">
        <v>27</v>
      </c>
      <c r="K1294" s="18"/>
      <c r="L1294" s="23" t="s">
        <v>4671</v>
      </c>
      <c r="M1294" s="23" t="s">
        <v>4672</v>
      </c>
      <c r="N1294" s="23" t="s">
        <v>1488</v>
      </c>
      <c r="O1294" s="18"/>
      <c r="P1294" s="24"/>
      <c r="Q1294" s="25">
        <v>46054</v>
      </c>
      <c r="R1294" s="13">
        <v>0</v>
      </c>
      <c r="S1294" s="26" t="str">
        <f>VLOOKUP(C1294,'[4]Daily Wages '!$B$6:$G$197,6,0)</f>
        <v>14180010157045590018</v>
      </c>
      <c r="T1294" s="25" t="s">
        <v>32</v>
      </c>
      <c r="U1294" s="25" t="s">
        <v>4649</v>
      </c>
      <c r="V1294" s="25"/>
      <c r="W1294" s="27" t="s">
        <v>972</v>
      </c>
      <c r="X1294" s="28" t="s">
        <v>4673</v>
      </c>
      <c r="Y1294" s="28"/>
      <c r="Z1294" s="29" t="s">
        <v>3390</v>
      </c>
    </row>
    <row r="1295" spans="1:26" ht="30" customHeight="1" thickBot="1" x14ac:dyDescent="0.25">
      <c r="A1295" s="17">
        <f t="shared" si="41"/>
        <v>1294</v>
      </c>
      <c r="B1295" s="18" t="s">
        <v>25</v>
      </c>
      <c r="C1295" s="19">
        <v>3520271399167</v>
      </c>
      <c r="D1295" s="19"/>
      <c r="E1295" s="20">
        <v>44621</v>
      </c>
      <c r="F1295" s="20">
        <v>48274</v>
      </c>
      <c r="G1295" s="21">
        <v>31778</v>
      </c>
      <c r="H1295" s="22">
        <f t="shared" ca="1" si="40"/>
        <v>39</v>
      </c>
      <c r="I1295" s="19" t="s">
        <v>912</v>
      </c>
      <c r="J1295" s="18" t="s">
        <v>27</v>
      </c>
      <c r="K1295" s="18"/>
      <c r="L1295" s="23" t="s">
        <v>4674</v>
      </c>
      <c r="M1295" s="23" t="s">
        <v>2424</v>
      </c>
      <c r="N1295" s="23" t="s">
        <v>1488</v>
      </c>
      <c r="O1295" s="18"/>
      <c r="P1295" s="24"/>
      <c r="Q1295" s="25">
        <v>46054</v>
      </c>
      <c r="R1295" s="13">
        <v>0</v>
      </c>
      <c r="S1295" s="26" t="str">
        <f>VLOOKUP(C1295,'[4]Daily Wages '!$B$6:$G$197,6,0)</f>
        <v>02880010144884540014</v>
      </c>
      <c r="T1295" s="25" t="s">
        <v>32</v>
      </c>
      <c r="U1295" s="25" t="s">
        <v>4649</v>
      </c>
      <c r="V1295" s="25"/>
      <c r="W1295" s="27" t="s">
        <v>4675</v>
      </c>
      <c r="X1295" s="28" t="s">
        <v>4676</v>
      </c>
      <c r="Y1295" s="28"/>
      <c r="Z1295" s="29" t="s">
        <v>3390</v>
      </c>
    </row>
    <row r="1296" spans="1:26" ht="30" customHeight="1" thickBot="1" x14ac:dyDescent="0.25">
      <c r="A1296" s="17">
        <f t="shared" si="41"/>
        <v>1295</v>
      </c>
      <c r="B1296" s="18" t="s">
        <v>25</v>
      </c>
      <c r="C1296" s="19">
        <v>3840703450161</v>
      </c>
      <c r="D1296" s="19"/>
      <c r="E1296" s="20">
        <v>43375</v>
      </c>
      <c r="F1296" s="20">
        <v>47028</v>
      </c>
      <c r="G1296" s="21">
        <v>34813</v>
      </c>
      <c r="H1296" s="22">
        <f t="shared" ca="1" si="40"/>
        <v>31</v>
      </c>
      <c r="I1296" s="19" t="s">
        <v>26</v>
      </c>
      <c r="J1296" s="18" t="s">
        <v>27</v>
      </c>
      <c r="K1296" s="18"/>
      <c r="L1296" s="23" t="s">
        <v>4677</v>
      </c>
      <c r="M1296" s="23" t="s">
        <v>4678</v>
      </c>
      <c r="N1296" s="23" t="s">
        <v>1499</v>
      </c>
      <c r="O1296" s="18"/>
      <c r="P1296" s="24"/>
      <c r="Q1296" s="25">
        <v>46000</v>
      </c>
      <c r="R1296" s="13">
        <v>0</v>
      </c>
      <c r="S1296" s="26" t="str">
        <f>VLOOKUP(C1296,'[1]Bazaar Salary'!$B$6:$J$1193,9,0)</f>
        <v>06150010156280140018</v>
      </c>
      <c r="T1296" s="25" t="s">
        <v>32</v>
      </c>
      <c r="U1296" s="25" t="s">
        <v>4679</v>
      </c>
      <c r="V1296" s="25"/>
      <c r="W1296" s="27" t="s">
        <v>4680</v>
      </c>
      <c r="X1296" s="28" t="s">
        <v>4681</v>
      </c>
      <c r="Y1296" s="28"/>
      <c r="Z1296" s="29" t="s">
        <v>37</v>
      </c>
    </row>
    <row r="1297" spans="1:26" ht="30" customHeight="1" thickBot="1" x14ac:dyDescent="0.25">
      <c r="A1297" s="17">
        <f t="shared" si="41"/>
        <v>1296</v>
      </c>
      <c r="B1297" s="18" t="s">
        <v>25</v>
      </c>
      <c r="C1297" s="19">
        <v>3840703391007</v>
      </c>
      <c r="D1297" s="19"/>
      <c r="E1297" s="20">
        <v>43066</v>
      </c>
      <c r="F1297" s="20">
        <v>46718</v>
      </c>
      <c r="G1297" s="21">
        <v>35688</v>
      </c>
      <c r="H1297" s="22">
        <f t="shared" ca="1" si="40"/>
        <v>28</v>
      </c>
      <c r="I1297" s="19" t="s">
        <v>26</v>
      </c>
      <c r="J1297" s="18" t="s">
        <v>27</v>
      </c>
      <c r="K1297" s="18"/>
      <c r="L1297" s="23" t="s">
        <v>4682</v>
      </c>
      <c r="M1297" s="23" t="s">
        <v>4683</v>
      </c>
      <c r="N1297" s="23" t="s">
        <v>1499</v>
      </c>
      <c r="O1297" s="18"/>
      <c r="P1297" s="24"/>
      <c r="Q1297" s="25">
        <v>46001</v>
      </c>
      <c r="R1297" s="13">
        <v>0</v>
      </c>
      <c r="S1297" s="26" t="str">
        <f>VLOOKUP(C1297,'[1]Bazaar Salary'!$B$6:$J$1193,9,0)</f>
        <v>06150010156127570019</v>
      </c>
      <c r="T1297" s="25" t="s">
        <v>32</v>
      </c>
      <c r="U1297" s="25" t="s">
        <v>4679</v>
      </c>
      <c r="V1297" s="25"/>
      <c r="W1297" s="27" t="s">
        <v>4684</v>
      </c>
      <c r="X1297" s="28" t="s">
        <v>4685</v>
      </c>
      <c r="Y1297" s="28"/>
      <c r="Z1297" s="29" t="s">
        <v>37</v>
      </c>
    </row>
    <row r="1298" spans="1:26" ht="30" customHeight="1" thickBot="1" x14ac:dyDescent="0.25">
      <c r="A1298" s="17">
        <f t="shared" si="41"/>
        <v>1297</v>
      </c>
      <c r="B1298" s="18" t="s">
        <v>25</v>
      </c>
      <c r="C1298" s="19">
        <v>3840181673279</v>
      </c>
      <c r="D1298" s="19"/>
      <c r="E1298" s="20">
        <v>44463</v>
      </c>
      <c r="F1298" s="20">
        <v>48115</v>
      </c>
      <c r="G1298" s="21">
        <v>32866</v>
      </c>
      <c r="H1298" s="22">
        <f t="shared" ca="1" si="40"/>
        <v>36</v>
      </c>
      <c r="I1298" s="19" t="s">
        <v>26</v>
      </c>
      <c r="J1298" s="18" t="s">
        <v>27</v>
      </c>
      <c r="K1298" s="18"/>
      <c r="L1298" s="23" t="s">
        <v>4686</v>
      </c>
      <c r="M1298" s="23" t="s">
        <v>4687</v>
      </c>
      <c r="N1298" s="23" t="s">
        <v>1499</v>
      </c>
      <c r="O1298" s="18"/>
      <c r="P1298" s="24"/>
      <c r="Q1298" s="25">
        <v>46001</v>
      </c>
      <c r="R1298" s="13">
        <v>0</v>
      </c>
      <c r="S1298" s="26" t="str">
        <f>VLOOKUP(C1298,'[1]Bazaar Salary'!$B$6:$J$1193,9,0)</f>
        <v>06150010156143280018</v>
      </c>
      <c r="T1298" s="25" t="s">
        <v>32</v>
      </c>
      <c r="U1298" s="25" t="s">
        <v>4679</v>
      </c>
      <c r="V1298" s="25"/>
      <c r="W1298" s="27" t="s">
        <v>4688</v>
      </c>
      <c r="X1298" s="28" t="s">
        <v>4689</v>
      </c>
      <c r="Y1298" s="28"/>
      <c r="Z1298" s="29" t="s">
        <v>37</v>
      </c>
    </row>
    <row r="1299" spans="1:26" ht="30" customHeight="1" thickBot="1" x14ac:dyDescent="0.25">
      <c r="A1299" s="17">
        <f t="shared" si="41"/>
        <v>1298</v>
      </c>
      <c r="B1299" s="18" t="s">
        <v>25</v>
      </c>
      <c r="C1299" s="19">
        <v>3840198446017</v>
      </c>
      <c r="D1299" s="19"/>
      <c r="E1299" s="20">
        <v>43199</v>
      </c>
      <c r="F1299" s="20">
        <v>46852</v>
      </c>
      <c r="G1299" s="21">
        <v>36169</v>
      </c>
      <c r="H1299" s="22">
        <f t="shared" ca="1" si="40"/>
        <v>27</v>
      </c>
      <c r="I1299" s="19" t="s">
        <v>26</v>
      </c>
      <c r="J1299" s="18" t="s">
        <v>27</v>
      </c>
      <c r="K1299" s="18"/>
      <c r="L1299" s="23" t="s">
        <v>4384</v>
      </c>
      <c r="M1299" s="23" t="s">
        <v>3249</v>
      </c>
      <c r="N1299" s="23" t="s">
        <v>1499</v>
      </c>
      <c r="O1299" s="18"/>
      <c r="P1299" s="24"/>
      <c r="Q1299" s="25">
        <v>46001</v>
      </c>
      <c r="R1299" s="13">
        <v>0</v>
      </c>
      <c r="S1299" s="26" t="str">
        <f>VLOOKUP(C1299,'[1]Bazaar Salary'!$B$6:$J$1193,9,0)</f>
        <v>06150010156160140011</v>
      </c>
      <c r="T1299" s="25" t="s">
        <v>32</v>
      </c>
      <c r="U1299" s="25" t="s">
        <v>4679</v>
      </c>
      <c r="V1299" s="25"/>
      <c r="W1299" s="27" t="s">
        <v>4690</v>
      </c>
      <c r="X1299" s="28" t="s">
        <v>4691</v>
      </c>
      <c r="Y1299" s="28"/>
      <c r="Z1299" s="29" t="s">
        <v>37</v>
      </c>
    </row>
    <row r="1300" spans="1:26" ht="30" customHeight="1" thickBot="1" x14ac:dyDescent="0.25">
      <c r="A1300" s="17">
        <f t="shared" si="41"/>
        <v>1299</v>
      </c>
      <c r="B1300" s="18" t="s">
        <v>25</v>
      </c>
      <c r="C1300" s="19">
        <v>3440295417541</v>
      </c>
      <c r="D1300" s="19"/>
      <c r="E1300" s="20">
        <v>43332</v>
      </c>
      <c r="F1300" s="20">
        <v>46985</v>
      </c>
      <c r="G1300" s="21">
        <v>31985</v>
      </c>
      <c r="H1300" s="22">
        <f t="shared" ca="1" si="40"/>
        <v>38</v>
      </c>
      <c r="I1300" s="19" t="s">
        <v>26</v>
      </c>
      <c r="J1300" s="18" t="s">
        <v>27</v>
      </c>
      <c r="K1300" s="18"/>
      <c r="L1300" s="23" t="s">
        <v>4692</v>
      </c>
      <c r="M1300" s="23" t="s">
        <v>2738</v>
      </c>
      <c r="N1300" s="23" t="s">
        <v>1499</v>
      </c>
      <c r="O1300" s="18"/>
      <c r="P1300" s="24"/>
      <c r="Q1300" s="25">
        <v>45992</v>
      </c>
      <c r="R1300" s="13">
        <v>0</v>
      </c>
      <c r="S1300" s="26" t="str">
        <f>VLOOKUP(C1300,'[1]Bazaar Salary'!$B$6:$J$1193,9,0)</f>
        <v>13380010154449920012</v>
      </c>
      <c r="T1300" s="25" t="s">
        <v>32</v>
      </c>
      <c r="U1300" s="25" t="s">
        <v>4679</v>
      </c>
      <c r="V1300" s="25"/>
      <c r="W1300" s="27" t="s">
        <v>4693</v>
      </c>
      <c r="X1300" s="28" t="s">
        <v>4694</v>
      </c>
      <c r="Y1300" s="28"/>
      <c r="Z1300" s="29" t="s">
        <v>37</v>
      </c>
    </row>
    <row r="1301" spans="1:26" ht="30" customHeight="1" thickBot="1" x14ac:dyDescent="0.25">
      <c r="A1301" s="17">
        <f t="shared" si="41"/>
        <v>1300</v>
      </c>
      <c r="B1301" s="18" t="s">
        <v>25</v>
      </c>
      <c r="C1301" s="19">
        <v>3540114829135</v>
      </c>
      <c r="D1301" s="19"/>
      <c r="E1301" s="20">
        <v>45216</v>
      </c>
      <c r="F1301" s="20">
        <v>48869</v>
      </c>
      <c r="G1301" s="21">
        <v>38112</v>
      </c>
      <c r="H1301" s="22">
        <f t="shared" ca="1" si="40"/>
        <v>22</v>
      </c>
      <c r="I1301" s="19" t="s">
        <v>26</v>
      </c>
      <c r="J1301" s="18" t="s">
        <v>27</v>
      </c>
      <c r="K1301" s="18"/>
      <c r="L1301" s="23" t="s">
        <v>4695</v>
      </c>
      <c r="M1301" s="23" t="s">
        <v>918</v>
      </c>
      <c r="N1301" s="24" t="s">
        <v>1295</v>
      </c>
      <c r="O1301" s="18"/>
      <c r="P1301" s="24"/>
      <c r="Q1301" s="25">
        <v>45992</v>
      </c>
      <c r="R1301" s="13">
        <v>0</v>
      </c>
      <c r="S1301" s="26" t="str">
        <f>VLOOKUP(C1301,'[1]Bazaar Salary'!$B$6:$J$1193,9,0)</f>
        <v>05200010155972490019</v>
      </c>
      <c r="T1301" s="25" t="s">
        <v>32</v>
      </c>
      <c r="U1301" s="25" t="s">
        <v>4696</v>
      </c>
      <c r="V1301" s="25"/>
      <c r="W1301" s="27" t="s">
        <v>4697</v>
      </c>
      <c r="X1301" s="28" t="s">
        <v>4698</v>
      </c>
      <c r="Y1301" s="28"/>
      <c r="Z1301" s="29" t="s">
        <v>37</v>
      </c>
    </row>
    <row r="1302" spans="1:26" ht="30" customHeight="1" thickBot="1" x14ac:dyDescent="0.25">
      <c r="A1302" s="17">
        <f t="shared" si="41"/>
        <v>1301</v>
      </c>
      <c r="B1302" s="18" t="s">
        <v>25</v>
      </c>
      <c r="C1302" s="19">
        <v>3540149993253</v>
      </c>
      <c r="D1302" s="19"/>
      <c r="E1302" s="20">
        <v>44880</v>
      </c>
      <c r="F1302" s="20">
        <v>48533</v>
      </c>
      <c r="G1302" s="21">
        <v>30790</v>
      </c>
      <c r="H1302" s="22">
        <f t="shared" ca="1" si="40"/>
        <v>42</v>
      </c>
      <c r="I1302" s="19" t="s">
        <v>26</v>
      </c>
      <c r="J1302" s="18" t="s">
        <v>27</v>
      </c>
      <c r="K1302" s="18"/>
      <c r="L1302" s="24" t="s">
        <v>4699</v>
      </c>
      <c r="M1302" s="23" t="s">
        <v>4536</v>
      </c>
      <c r="N1302" s="24" t="s">
        <v>468</v>
      </c>
      <c r="O1302" s="18"/>
      <c r="P1302" s="24"/>
      <c r="Q1302" s="25">
        <v>46023</v>
      </c>
      <c r="R1302" s="13">
        <v>0</v>
      </c>
      <c r="S1302" s="26" t="str">
        <f>VLOOKUP(C1302,'[1]Bazaar Salary'!$B$6:$J$1193,9,0)</f>
        <v>05200010154868980019</v>
      </c>
      <c r="T1302" s="25" t="s">
        <v>32</v>
      </c>
      <c r="U1302" s="25" t="s">
        <v>4696</v>
      </c>
      <c r="V1302" s="25" t="s">
        <v>265</v>
      </c>
      <c r="W1302" s="27" t="s">
        <v>4700</v>
      </c>
      <c r="X1302" s="28" t="s">
        <v>4701</v>
      </c>
      <c r="Y1302" s="28"/>
      <c r="Z1302" s="29" t="s">
        <v>37</v>
      </c>
    </row>
    <row r="1303" spans="1:26" ht="30" customHeight="1" thickBot="1" x14ac:dyDescent="0.25">
      <c r="A1303" s="17">
        <f t="shared" si="41"/>
        <v>1302</v>
      </c>
      <c r="B1303" s="18" t="s">
        <v>25</v>
      </c>
      <c r="C1303" s="19">
        <v>3310423650201</v>
      </c>
      <c r="D1303" s="19"/>
      <c r="E1303" s="20">
        <v>44902</v>
      </c>
      <c r="F1303" s="20">
        <v>48555</v>
      </c>
      <c r="G1303" s="21">
        <v>38041</v>
      </c>
      <c r="H1303" s="22">
        <f t="shared" ca="1" si="40"/>
        <v>22</v>
      </c>
      <c r="I1303" s="19" t="s">
        <v>26</v>
      </c>
      <c r="J1303" s="18" t="s">
        <v>27</v>
      </c>
      <c r="K1303" s="18"/>
      <c r="L1303" s="23" t="s">
        <v>1241</v>
      </c>
      <c r="M1303" s="23" t="s">
        <v>4702</v>
      </c>
      <c r="N1303" s="23" t="s">
        <v>1295</v>
      </c>
      <c r="O1303" s="18"/>
      <c r="P1303" s="24"/>
      <c r="Q1303" s="25">
        <v>46068</v>
      </c>
      <c r="R1303" s="13">
        <v>0</v>
      </c>
      <c r="S1303" s="26" t="str">
        <f>VLOOKUP(C1303,'[3]May-26'!$B$5:$H$89,7,0)</f>
        <v>10290010136626660017</v>
      </c>
      <c r="T1303" s="25" t="s">
        <v>32</v>
      </c>
      <c r="U1303" s="25" t="s">
        <v>4696</v>
      </c>
      <c r="V1303" s="25" t="s">
        <v>3391</v>
      </c>
      <c r="W1303" s="27" t="s">
        <v>4703</v>
      </c>
      <c r="X1303" s="28" t="s">
        <v>4704</v>
      </c>
      <c r="Y1303" s="28"/>
      <c r="Z1303" s="29" t="s">
        <v>3390</v>
      </c>
    </row>
    <row r="1304" spans="1:26" ht="30" customHeight="1" thickBot="1" x14ac:dyDescent="0.25">
      <c r="A1304" s="17">
        <f t="shared" si="41"/>
        <v>1303</v>
      </c>
      <c r="B1304" s="18" t="s">
        <v>25</v>
      </c>
      <c r="C1304" s="19">
        <v>3310448750371</v>
      </c>
      <c r="D1304" s="19"/>
      <c r="E1304" s="20">
        <v>44309</v>
      </c>
      <c r="F1304" s="20">
        <v>47961</v>
      </c>
      <c r="G1304" s="21">
        <v>37668</v>
      </c>
      <c r="H1304" s="22">
        <f t="shared" ca="1" si="40"/>
        <v>23</v>
      </c>
      <c r="I1304" s="19" t="s">
        <v>26</v>
      </c>
      <c r="J1304" s="18" t="s">
        <v>27</v>
      </c>
      <c r="K1304" s="18"/>
      <c r="L1304" s="23" t="s">
        <v>4705</v>
      </c>
      <c r="M1304" s="23" t="s">
        <v>2995</v>
      </c>
      <c r="N1304" s="23" t="s">
        <v>1295</v>
      </c>
      <c r="O1304" s="18"/>
      <c r="P1304" s="24"/>
      <c r="Q1304" s="25">
        <v>46069</v>
      </c>
      <c r="R1304" s="13">
        <v>0</v>
      </c>
      <c r="S1304" s="26" t="str">
        <f>VLOOKUP(C1304,'[3]May-26'!$B$5:$H$89,7,0)</f>
        <v>02000010160088810010</v>
      </c>
      <c r="T1304" s="25" t="s">
        <v>32</v>
      </c>
      <c r="U1304" s="25" t="s">
        <v>4696</v>
      </c>
      <c r="V1304" s="25" t="s">
        <v>3391</v>
      </c>
      <c r="W1304" s="27" t="s">
        <v>4706</v>
      </c>
      <c r="X1304" s="28" t="s">
        <v>4707</v>
      </c>
      <c r="Y1304" s="28"/>
      <c r="Z1304" s="29" t="s">
        <v>3390</v>
      </c>
    </row>
    <row r="1305" spans="1:26" ht="30" customHeight="1" thickBot="1" x14ac:dyDescent="0.25">
      <c r="A1305" s="17">
        <f t="shared" si="41"/>
        <v>1304</v>
      </c>
      <c r="B1305" s="18" t="s">
        <v>25</v>
      </c>
      <c r="C1305" s="19">
        <v>3550108521485</v>
      </c>
      <c r="D1305" s="19"/>
      <c r="E1305" s="20">
        <v>45448</v>
      </c>
      <c r="F1305" s="20">
        <v>49100</v>
      </c>
      <c r="G1305" s="21">
        <v>37849</v>
      </c>
      <c r="H1305" s="22">
        <f t="shared" ca="1" si="40"/>
        <v>22</v>
      </c>
      <c r="I1305" s="19" t="s">
        <v>26</v>
      </c>
      <c r="J1305" s="18" t="s">
        <v>27</v>
      </c>
      <c r="K1305" s="18"/>
      <c r="L1305" s="23" t="s">
        <v>4708</v>
      </c>
      <c r="M1305" s="23" t="s">
        <v>4709</v>
      </c>
      <c r="N1305" s="23" t="s">
        <v>1295</v>
      </c>
      <c r="O1305" s="18"/>
      <c r="P1305" s="24"/>
      <c r="Q1305" s="25">
        <v>46080</v>
      </c>
      <c r="R1305" s="13">
        <v>0</v>
      </c>
      <c r="S1305" s="26" t="str">
        <f>VLOOKUP(C1305,'[3]May-26'!$B$5:$H$89,7,0)</f>
        <v>02000010160760500010</v>
      </c>
      <c r="T1305" s="25" t="s">
        <v>32</v>
      </c>
      <c r="U1305" s="25" t="s">
        <v>4696</v>
      </c>
      <c r="V1305" s="25" t="s">
        <v>3391</v>
      </c>
      <c r="W1305" s="27" t="s">
        <v>4710</v>
      </c>
      <c r="X1305" s="28" t="s">
        <v>4711</v>
      </c>
      <c r="Y1305" s="28"/>
      <c r="Z1305" s="29" t="s">
        <v>3390</v>
      </c>
    </row>
    <row r="1306" spans="1:26" ht="30" customHeight="1" thickBot="1" x14ac:dyDescent="0.25">
      <c r="A1306" s="17">
        <f t="shared" si="41"/>
        <v>1305</v>
      </c>
      <c r="B1306" s="18" t="s">
        <v>25</v>
      </c>
      <c r="C1306" s="19">
        <v>3550106231627</v>
      </c>
      <c r="D1306" s="19"/>
      <c r="E1306" s="20">
        <v>45580</v>
      </c>
      <c r="F1306" s="20">
        <v>49232</v>
      </c>
      <c r="G1306" s="21">
        <v>37131</v>
      </c>
      <c r="H1306" s="22">
        <f t="shared" ca="1" si="40"/>
        <v>24</v>
      </c>
      <c r="I1306" s="19" t="s">
        <v>912</v>
      </c>
      <c r="J1306" s="18" t="s">
        <v>27</v>
      </c>
      <c r="K1306" s="18"/>
      <c r="L1306" s="23" t="s">
        <v>4712</v>
      </c>
      <c r="M1306" s="23" t="s">
        <v>2903</v>
      </c>
      <c r="N1306" s="23" t="s">
        <v>1488</v>
      </c>
      <c r="O1306" s="18"/>
      <c r="P1306" s="24"/>
      <c r="Q1306" s="25">
        <v>46065</v>
      </c>
      <c r="R1306" s="13">
        <v>0</v>
      </c>
      <c r="S1306" s="26" t="str">
        <f>VLOOKUP(C1306,'[4]Daily Wages '!$B$6:$G$197,6,0)</f>
        <v>02000010160363080012</v>
      </c>
      <c r="T1306" s="25" t="s">
        <v>32</v>
      </c>
      <c r="U1306" s="25" t="s">
        <v>4696</v>
      </c>
      <c r="V1306" s="25"/>
      <c r="W1306" s="27" t="s">
        <v>4713</v>
      </c>
      <c r="X1306" s="28" t="s">
        <v>4714</v>
      </c>
      <c r="Y1306" s="28"/>
      <c r="Z1306" s="29" t="s">
        <v>3390</v>
      </c>
    </row>
    <row r="1307" spans="1:26" ht="30" customHeight="1" thickBot="1" x14ac:dyDescent="0.25">
      <c r="A1307" s="17">
        <f t="shared" si="41"/>
        <v>1306</v>
      </c>
      <c r="B1307" s="18" t="s">
        <v>25</v>
      </c>
      <c r="C1307" s="19">
        <v>3540220087737</v>
      </c>
      <c r="D1307" s="19"/>
      <c r="E1307" s="20">
        <v>42660</v>
      </c>
      <c r="F1307" s="20">
        <v>46312</v>
      </c>
      <c r="G1307" s="21">
        <v>29252</v>
      </c>
      <c r="H1307" s="22">
        <f t="shared" ca="1" si="40"/>
        <v>46</v>
      </c>
      <c r="I1307" s="19" t="s">
        <v>912</v>
      </c>
      <c r="J1307" s="18" t="s">
        <v>27</v>
      </c>
      <c r="K1307" s="18"/>
      <c r="L1307" s="23" t="s">
        <v>2468</v>
      </c>
      <c r="M1307" s="23" t="s">
        <v>4715</v>
      </c>
      <c r="N1307" s="23" t="s">
        <v>1488</v>
      </c>
      <c r="O1307" s="18"/>
      <c r="P1307" s="24"/>
      <c r="Q1307" s="25">
        <v>46065</v>
      </c>
      <c r="R1307" s="13">
        <v>0</v>
      </c>
      <c r="S1307" s="26" t="str">
        <f>VLOOKUP(C1307,'[4]Daily Wages '!$B$6:$G$197,6,0)</f>
        <v>02000010160732500014</v>
      </c>
      <c r="T1307" s="25" t="s">
        <v>32</v>
      </c>
      <c r="U1307" s="25" t="s">
        <v>4696</v>
      </c>
      <c r="V1307" s="25"/>
      <c r="W1307" s="27" t="s">
        <v>4716</v>
      </c>
      <c r="X1307" s="28" t="s">
        <v>4717</v>
      </c>
      <c r="Y1307" s="28"/>
      <c r="Z1307" s="29" t="s">
        <v>3390</v>
      </c>
    </row>
    <row r="1308" spans="1:26" ht="30" customHeight="1" thickBot="1" x14ac:dyDescent="0.25">
      <c r="A1308" s="17">
        <f t="shared" si="41"/>
        <v>1307</v>
      </c>
      <c r="B1308" s="18" t="s">
        <v>25</v>
      </c>
      <c r="C1308" s="19">
        <v>3550105938529</v>
      </c>
      <c r="D1308" s="19"/>
      <c r="E1308" s="20">
        <v>45995</v>
      </c>
      <c r="F1308" s="20">
        <v>49647</v>
      </c>
      <c r="G1308" s="21">
        <v>36179</v>
      </c>
      <c r="H1308" s="22">
        <f t="shared" ca="1" si="40"/>
        <v>27</v>
      </c>
      <c r="I1308" s="19" t="s">
        <v>26</v>
      </c>
      <c r="J1308" s="18" t="s">
        <v>27</v>
      </c>
      <c r="K1308" s="18"/>
      <c r="L1308" s="23" t="s">
        <v>414</v>
      </c>
      <c r="M1308" s="23" t="s">
        <v>4718</v>
      </c>
      <c r="N1308" s="23" t="s">
        <v>1499</v>
      </c>
      <c r="O1308" s="18"/>
      <c r="P1308" s="24"/>
      <c r="Q1308" s="25">
        <v>46079</v>
      </c>
      <c r="R1308" s="13">
        <v>0</v>
      </c>
      <c r="S1308" s="26" t="str">
        <f>VLOOKUP(C1308,'[4]Daily Wages '!$B$6:$G$197,6,0)</f>
        <v>02000010160660430014</v>
      </c>
      <c r="T1308" s="25" t="s">
        <v>32</v>
      </c>
      <c r="U1308" s="25" t="s">
        <v>4696</v>
      </c>
      <c r="V1308" s="25"/>
      <c r="W1308" s="27" t="s">
        <v>4719</v>
      </c>
      <c r="X1308" s="28" t="s">
        <v>4720</v>
      </c>
      <c r="Y1308" s="28"/>
      <c r="Z1308" s="29" t="s">
        <v>3390</v>
      </c>
    </row>
    <row r="1309" spans="1:26" ht="30" customHeight="1" thickBot="1" x14ac:dyDescent="0.25">
      <c r="A1309" s="17">
        <f t="shared" si="41"/>
        <v>1308</v>
      </c>
      <c r="B1309" s="18" t="s">
        <v>25</v>
      </c>
      <c r="C1309" s="19">
        <v>3310443674283</v>
      </c>
      <c r="D1309" s="19"/>
      <c r="E1309" s="20">
        <v>43426</v>
      </c>
      <c r="F1309" s="20">
        <v>47079</v>
      </c>
      <c r="G1309" s="21">
        <v>36563</v>
      </c>
      <c r="H1309" s="22">
        <f t="shared" ca="1" si="40"/>
        <v>26</v>
      </c>
      <c r="I1309" s="19" t="s">
        <v>26</v>
      </c>
      <c r="J1309" s="18" t="s">
        <v>27</v>
      </c>
      <c r="K1309" s="18"/>
      <c r="L1309" s="23" t="s">
        <v>638</v>
      </c>
      <c r="M1309" s="23" t="s">
        <v>1100</v>
      </c>
      <c r="N1309" s="23" t="s">
        <v>1499</v>
      </c>
      <c r="O1309" s="18"/>
      <c r="P1309" s="24"/>
      <c r="Q1309" s="25">
        <v>46069</v>
      </c>
      <c r="R1309" s="13">
        <v>0</v>
      </c>
      <c r="S1309" s="26" t="str">
        <f>VLOOKUP(C1309,'[4]Daily Wages '!$B$6:$G$197,6,0)</f>
        <v>01210010096297320010</v>
      </c>
      <c r="T1309" s="25" t="s">
        <v>32</v>
      </c>
      <c r="U1309" s="25" t="s">
        <v>4696</v>
      </c>
      <c r="V1309" s="25"/>
      <c r="W1309" s="27" t="s">
        <v>4721</v>
      </c>
      <c r="X1309" s="28" t="s">
        <v>4722</v>
      </c>
      <c r="Y1309" s="28"/>
      <c r="Z1309" s="29" t="s">
        <v>3390</v>
      </c>
    </row>
    <row r="1310" spans="1:26" ht="30" customHeight="1" thickBot="1" x14ac:dyDescent="0.25">
      <c r="A1310" s="17">
        <f t="shared" si="41"/>
        <v>1309</v>
      </c>
      <c r="B1310" s="18" t="s">
        <v>25</v>
      </c>
      <c r="C1310" s="19">
        <v>3310472041493</v>
      </c>
      <c r="D1310" s="19"/>
      <c r="E1310" s="20">
        <v>45325</v>
      </c>
      <c r="F1310" s="20">
        <v>48978</v>
      </c>
      <c r="G1310" s="21">
        <v>33220</v>
      </c>
      <c r="H1310" s="22">
        <f t="shared" ca="1" si="40"/>
        <v>35</v>
      </c>
      <c r="I1310" s="19" t="s">
        <v>26</v>
      </c>
      <c r="J1310" s="18" t="s">
        <v>27</v>
      </c>
      <c r="K1310" s="18"/>
      <c r="L1310" s="23" t="s">
        <v>4723</v>
      </c>
      <c r="M1310" s="23" t="s">
        <v>1322</v>
      </c>
      <c r="N1310" s="23" t="s">
        <v>1499</v>
      </c>
      <c r="O1310" s="18"/>
      <c r="P1310" s="24"/>
      <c r="Q1310" s="25">
        <v>46127</v>
      </c>
      <c r="R1310" s="13">
        <v>0</v>
      </c>
      <c r="S1310" s="26" t="str">
        <f>VLOOKUP(C1310,'[4]Daily Wages '!$B$6:$G$197,6,0)</f>
        <v>02000010162804270011</v>
      </c>
      <c r="T1310" s="25" t="s">
        <v>32</v>
      </c>
      <c r="U1310" s="25" t="s">
        <v>4696</v>
      </c>
      <c r="V1310" s="25" t="s">
        <v>884</v>
      </c>
      <c r="W1310" s="27" t="s">
        <v>4724</v>
      </c>
      <c r="X1310" s="28" t="s">
        <v>4725</v>
      </c>
      <c r="Y1310" s="28"/>
      <c r="Z1310" s="29" t="s">
        <v>3390</v>
      </c>
    </row>
    <row r="1311" spans="1:26" ht="30" customHeight="1" thickBot="1" x14ac:dyDescent="0.25">
      <c r="A1311" s="17">
        <f t="shared" si="41"/>
        <v>1310</v>
      </c>
      <c r="B1311" s="18" t="s">
        <v>25</v>
      </c>
      <c r="C1311" s="19">
        <v>3310474421229</v>
      </c>
      <c r="D1311" s="19"/>
      <c r="E1311" s="20">
        <v>43346</v>
      </c>
      <c r="F1311" s="20">
        <v>46999</v>
      </c>
      <c r="G1311" s="21">
        <v>36185</v>
      </c>
      <c r="H1311" s="22">
        <f t="shared" ca="1" si="40"/>
        <v>27</v>
      </c>
      <c r="I1311" s="19" t="s">
        <v>26</v>
      </c>
      <c r="J1311" s="18" t="s">
        <v>27</v>
      </c>
      <c r="K1311" s="18"/>
      <c r="L1311" s="23" t="s">
        <v>4726</v>
      </c>
      <c r="M1311" s="23" t="s">
        <v>3136</v>
      </c>
      <c r="N1311" s="23" t="s">
        <v>1499</v>
      </c>
      <c r="O1311" s="18"/>
      <c r="P1311" s="24"/>
      <c r="Q1311" s="25">
        <v>46069</v>
      </c>
      <c r="R1311" s="13">
        <v>0</v>
      </c>
      <c r="S1311" s="26" t="str">
        <f>VLOOKUP(C1311,'[4]Daily Wages '!$B$6:$G$197,6,0)</f>
        <v>02000010160081920010</v>
      </c>
      <c r="T1311" s="25" t="s">
        <v>32</v>
      </c>
      <c r="U1311" s="25" t="s">
        <v>4696</v>
      </c>
      <c r="V1311" s="25"/>
      <c r="W1311" s="27" t="s">
        <v>4721</v>
      </c>
      <c r="X1311" s="28" t="s">
        <v>4727</v>
      </c>
      <c r="Y1311" s="28"/>
      <c r="Z1311" s="29" t="s">
        <v>3390</v>
      </c>
    </row>
    <row r="1312" spans="1:26" ht="30" customHeight="1" thickBot="1" x14ac:dyDescent="0.25">
      <c r="A1312" s="17">
        <f t="shared" si="41"/>
        <v>1311</v>
      </c>
      <c r="B1312" s="18" t="s">
        <v>25</v>
      </c>
      <c r="C1312" s="19">
        <v>3310449230387</v>
      </c>
      <c r="D1312" s="19"/>
      <c r="E1312" s="20">
        <v>44724</v>
      </c>
      <c r="F1312" s="20">
        <v>48377</v>
      </c>
      <c r="G1312" s="21">
        <v>36620</v>
      </c>
      <c r="H1312" s="22">
        <f t="shared" ca="1" si="40"/>
        <v>26</v>
      </c>
      <c r="I1312" s="19" t="s">
        <v>26</v>
      </c>
      <c r="J1312" s="18" t="s">
        <v>27</v>
      </c>
      <c r="K1312" s="18"/>
      <c r="L1312" s="23" t="s">
        <v>4728</v>
      </c>
      <c r="M1312" s="23" t="s">
        <v>4729</v>
      </c>
      <c r="N1312" s="23" t="s">
        <v>1499</v>
      </c>
      <c r="O1312" s="18"/>
      <c r="P1312" s="24"/>
      <c r="Q1312" s="25">
        <v>46127</v>
      </c>
      <c r="R1312" s="13">
        <v>0</v>
      </c>
      <c r="S1312" s="26" t="str">
        <f>VLOOKUP(C1312,'[4]Daily Wages '!$B$6:$G$197,6,0)</f>
        <v>02000010162821400016</v>
      </c>
      <c r="T1312" s="25" t="s">
        <v>32</v>
      </c>
      <c r="U1312" s="25" t="s">
        <v>4696</v>
      </c>
      <c r="V1312" s="25" t="s">
        <v>884</v>
      </c>
      <c r="W1312" s="27" t="s">
        <v>4730</v>
      </c>
      <c r="X1312" s="28" t="s">
        <v>4731</v>
      </c>
      <c r="Y1312" s="28"/>
      <c r="Z1312" s="29" t="s">
        <v>3390</v>
      </c>
    </row>
    <row r="1313" spans="1:26" ht="30" customHeight="1" thickBot="1" x14ac:dyDescent="0.25">
      <c r="A1313" s="17">
        <f t="shared" si="41"/>
        <v>1312</v>
      </c>
      <c r="B1313" s="18" t="s">
        <v>25</v>
      </c>
      <c r="C1313" s="19">
        <v>3520289292397</v>
      </c>
      <c r="D1313" s="19"/>
      <c r="E1313" s="20">
        <v>45114</v>
      </c>
      <c r="F1313" s="20">
        <v>48767</v>
      </c>
      <c r="G1313" s="21">
        <v>34700</v>
      </c>
      <c r="H1313" s="22">
        <f t="shared" ca="1" si="40"/>
        <v>31</v>
      </c>
      <c r="I1313" s="19" t="s">
        <v>26</v>
      </c>
      <c r="J1313" s="18" t="s">
        <v>27</v>
      </c>
      <c r="K1313" s="18"/>
      <c r="L1313" s="23" t="s">
        <v>4732</v>
      </c>
      <c r="M1313" s="23" t="s">
        <v>4733</v>
      </c>
      <c r="N1313" s="23" t="s">
        <v>1295</v>
      </c>
      <c r="O1313" s="18"/>
      <c r="P1313" s="24"/>
      <c r="Q1313" s="25">
        <v>45992</v>
      </c>
      <c r="R1313" s="13">
        <v>0</v>
      </c>
      <c r="S1313" s="26" t="str">
        <f>VLOOKUP(C1313,'[1]Bazaar Salary'!$B$6:$J$1193,9,0)</f>
        <v>07660010089292390022</v>
      </c>
      <c r="T1313" s="25" t="s">
        <v>32</v>
      </c>
      <c r="U1313" s="25" t="s">
        <v>1147</v>
      </c>
      <c r="V1313" s="25"/>
      <c r="W1313" s="27" t="s">
        <v>4734</v>
      </c>
      <c r="X1313" s="28" t="s">
        <v>4735</v>
      </c>
      <c r="Y1313" s="28"/>
      <c r="Z1313" s="29" t="s">
        <v>37</v>
      </c>
    </row>
    <row r="1314" spans="1:26" ht="30" customHeight="1" thickBot="1" x14ac:dyDescent="0.25">
      <c r="A1314" s="17">
        <f t="shared" si="41"/>
        <v>1313</v>
      </c>
      <c r="B1314" s="18" t="s">
        <v>25</v>
      </c>
      <c r="C1314" s="19">
        <v>3520219010901</v>
      </c>
      <c r="D1314" s="19"/>
      <c r="E1314" s="20">
        <v>44825</v>
      </c>
      <c r="F1314" s="20">
        <v>48478</v>
      </c>
      <c r="G1314" s="21">
        <v>36119</v>
      </c>
      <c r="H1314" s="22">
        <f t="shared" ca="1" si="40"/>
        <v>27</v>
      </c>
      <c r="I1314" s="19" t="s">
        <v>26</v>
      </c>
      <c r="J1314" s="18" t="s">
        <v>27</v>
      </c>
      <c r="K1314" s="18"/>
      <c r="L1314" s="24" t="s">
        <v>4736</v>
      </c>
      <c r="M1314" s="23" t="s">
        <v>4737</v>
      </c>
      <c r="N1314" s="24" t="s">
        <v>1295</v>
      </c>
      <c r="O1314" s="18"/>
      <c r="P1314" s="24"/>
      <c r="Q1314" s="25">
        <v>46039</v>
      </c>
      <c r="R1314" s="13">
        <v>0</v>
      </c>
      <c r="S1314" s="26" t="str">
        <f>VLOOKUP(C1314,'[1]Bazaar Salary'!$B$6:$J$1193,9,0)</f>
        <v>07660010158946270010</v>
      </c>
      <c r="T1314" s="25" t="s">
        <v>32</v>
      </c>
      <c r="U1314" s="25" t="s">
        <v>1147</v>
      </c>
      <c r="V1314" s="25"/>
      <c r="W1314" s="27" t="s">
        <v>4738</v>
      </c>
      <c r="X1314" s="28" t="s">
        <v>4739</v>
      </c>
      <c r="Y1314" s="28"/>
      <c r="Z1314" s="29" t="s">
        <v>37</v>
      </c>
    </row>
    <row r="1315" spans="1:26" ht="30" customHeight="1" thickBot="1" x14ac:dyDescent="0.25">
      <c r="A1315" s="17">
        <f t="shared" si="41"/>
        <v>1314</v>
      </c>
      <c r="B1315" s="18" t="s">
        <v>25</v>
      </c>
      <c r="C1315" s="19">
        <v>3520264249915</v>
      </c>
      <c r="D1315" s="19"/>
      <c r="E1315" s="20">
        <v>44754</v>
      </c>
      <c r="F1315" s="20">
        <v>48407</v>
      </c>
      <c r="G1315" s="21">
        <v>33963</v>
      </c>
      <c r="H1315" s="22">
        <f t="shared" ca="1" si="40"/>
        <v>33</v>
      </c>
      <c r="I1315" s="19" t="s">
        <v>26</v>
      </c>
      <c r="J1315" s="18" t="s">
        <v>27</v>
      </c>
      <c r="K1315" s="18"/>
      <c r="L1315" s="24" t="s">
        <v>4740</v>
      </c>
      <c r="M1315" s="23" t="s">
        <v>4741</v>
      </c>
      <c r="N1315" s="24" t="s">
        <v>3988</v>
      </c>
      <c r="O1315" s="18"/>
      <c r="P1315" s="24"/>
      <c r="Q1315" s="25">
        <v>46041</v>
      </c>
      <c r="R1315" s="13">
        <v>0</v>
      </c>
      <c r="S1315" s="26" t="str">
        <f>VLOOKUP(C1315,'[1]Bazaar Salary'!$B$6:$J$1193,9,0)</f>
        <v>07660010158777000010</v>
      </c>
      <c r="T1315" s="25" t="s">
        <v>32</v>
      </c>
      <c r="U1315" s="25" t="s">
        <v>1147</v>
      </c>
      <c r="V1315" s="25"/>
      <c r="W1315" s="27" t="s">
        <v>4742</v>
      </c>
      <c r="X1315" s="28" t="s">
        <v>4743</v>
      </c>
      <c r="Y1315" s="28"/>
      <c r="Z1315" s="29" t="s">
        <v>37</v>
      </c>
    </row>
    <row r="1316" spans="1:26" ht="30" customHeight="1" thickBot="1" x14ac:dyDescent="0.25">
      <c r="A1316" s="17">
        <f t="shared" si="41"/>
        <v>1315</v>
      </c>
      <c r="B1316" s="18" t="s">
        <v>25</v>
      </c>
      <c r="C1316" s="19">
        <v>3520208165027</v>
      </c>
      <c r="D1316" s="19"/>
      <c r="E1316" s="20">
        <v>45992</v>
      </c>
      <c r="F1316" s="20">
        <v>49644</v>
      </c>
      <c r="G1316" s="21">
        <v>35585</v>
      </c>
      <c r="H1316" s="22">
        <f t="shared" ca="1" si="40"/>
        <v>29</v>
      </c>
      <c r="I1316" s="19" t="s">
        <v>26</v>
      </c>
      <c r="J1316" s="18" t="s">
        <v>27</v>
      </c>
      <c r="K1316" s="18"/>
      <c r="L1316" s="23" t="s">
        <v>1379</v>
      </c>
      <c r="M1316" s="23" t="s">
        <v>4744</v>
      </c>
      <c r="N1316" s="23" t="s">
        <v>1499</v>
      </c>
      <c r="O1316" s="18"/>
      <c r="P1316" s="24"/>
      <c r="Q1316" s="25">
        <v>46048</v>
      </c>
      <c r="R1316" s="13">
        <v>0</v>
      </c>
      <c r="S1316" s="26" t="str">
        <f>VLOOKUP(C1316,'[1]Bazaar Salary'!$B$6:$J$1193,9,0)</f>
        <v>03910010159411410017</v>
      </c>
      <c r="T1316" s="25" t="s">
        <v>32</v>
      </c>
      <c r="U1316" s="25" t="s">
        <v>1147</v>
      </c>
      <c r="V1316" s="25"/>
      <c r="W1316" s="27" t="s">
        <v>4745</v>
      </c>
      <c r="X1316" s="28" t="s">
        <v>4746</v>
      </c>
      <c r="Y1316" s="28"/>
      <c r="Z1316" s="29" t="s">
        <v>37</v>
      </c>
    </row>
    <row r="1317" spans="1:26" ht="30" customHeight="1" thickBot="1" x14ac:dyDescent="0.25">
      <c r="A1317" s="17">
        <f t="shared" si="41"/>
        <v>1316</v>
      </c>
      <c r="B1317" s="18" t="s">
        <v>25</v>
      </c>
      <c r="C1317" s="19">
        <v>3520270512831</v>
      </c>
      <c r="D1317" s="19"/>
      <c r="E1317" s="20">
        <v>44643</v>
      </c>
      <c r="F1317" s="20">
        <v>48296</v>
      </c>
      <c r="G1317" s="21">
        <v>33887</v>
      </c>
      <c r="H1317" s="22">
        <f t="shared" ca="1" si="40"/>
        <v>33</v>
      </c>
      <c r="I1317" s="19" t="s">
        <v>26</v>
      </c>
      <c r="J1317" s="18" t="s">
        <v>27</v>
      </c>
      <c r="K1317" s="18"/>
      <c r="L1317" s="23" t="s">
        <v>4747</v>
      </c>
      <c r="M1317" s="23" t="s">
        <v>314</v>
      </c>
      <c r="N1317" s="23" t="s">
        <v>1499</v>
      </c>
      <c r="O1317" s="18"/>
      <c r="P1317" s="24"/>
      <c r="Q1317" s="25">
        <v>46039</v>
      </c>
      <c r="R1317" s="13">
        <v>0</v>
      </c>
      <c r="S1317" s="26" t="str">
        <f>VLOOKUP(C1317,'[1]Bazaar Salary'!$B$6:$J$1193,9,0)</f>
        <v>07660010158951230019</v>
      </c>
      <c r="T1317" s="25" t="s">
        <v>32</v>
      </c>
      <c r="U1317" s="25" t="s">
        <v>1147</v>
      </c>
      <c r="V1317" s="25"/>
      <c r="W1317" s="27" t="s">
        <v>4748</v>
      </c>
      <c r="X1317" s="28" t="s">
        <v>4749</v>
      </c>
      <c r="Y1317" s="28"/>
      <c r="Z1317" s="29" t="s">
        <v>37</v>
      </c>
    </row>
    <row r="1318" spans="1:26" ht="30" customHeight="1" thickBot="1" x14ac:dyDescent="0.25">
      <c r="A1318" s="17">
        <f t="shared" si="41"/>
        <v>1317</v>
      </c>
      <c r="B1318" s="18" t="s">
        <v>25</v>
      </c>
      <c r="C1318" s="19">
        <v>3520296926635</v>
      </c>
      <c r="D1318" s="19"/>
      <c r="E1318" s="20">
        <v>45677</v>
      </c>
      <c r="F1318" s="20">
        <v>49329</v>
      </c>
      <c r="G1318" s="21">
        <v>38541</v>
      </c>
      <c r="H1318" s="22">
        <f t="shared" ca="1" si="40"/>
        <v>20</v>
      </c>
      <c r="I1318" s="19" t="s">
        <v>26</v>
      </c>
      <c r="J1318" s="18" t="s">
        <v>27</v>
      </c>
      <c r="K1318" s="18"/>
      <c r="L1318" s="23" t="s">
        <v>820</v>
      </c>
      <c r="M1318" s="23" t="s">
        <v>1783</v>
      </c>
      <c r="N1318" s="23" t="s">
        <v>1295</v>
      </c>
      <c r="O1318" s="18"/>
      <c r="P1318" s="24"/>
      <c r="Q1318" s="25">
        <v>46057</v>
      </c>
      <c r="R1318" s="13">
        <v>0</v>
      </c>
      <c r="S1318" s="26" t="str">
        <f>VLOOKUP(C1318,'[3]May-26'!$B$5:$H$89,7,0)</f>
        <v>07660010159506620016</v>
      </c>
      <c r="T1318" s="25" t="s">
        <v>32</v>
      </c>
      <c r="U1318" s="25" t="s">
        <v>1147</v>
      </c>
      <c r="V1318" s="25" t="s">
        <v>3391</v>
      </c>
      <c r="W1318" s="27" t="s">
        <v>4750</v>
      </c>
      <c r="X1318" s="28" t="s">
        <v>4751</v>
      </c>
      <c r="Y1318" s="28"/>
      <c r="Z1318" s="29" t="s">
        <v>3390</v>
      </c>
    </row>
    <row r="1319" spans="1:26" ht="30" customHeight="1" thickBot="1" x14ac:dyDescent="0.25">
      <c r="A1319" s="17">
        <f t="shared" si="41"/>
        <v>1318</v>
      </c>
      <c r="B1319" s="18" t="s">
        <v>25</v>
      </c>
      <c r="C1319" s="19">
        <v>3520285135633</v>
      </c>
      <c r="D1319" s="19"/>
      <c r="E1319" s="20">
        <v>45629</v>
      </c>
      <c r="F1319" s="20">
        <v>49281</v>
      </c>
      <c r="G1319" s="21">
        <v>39028</v>
      </c>
      <c r="H1319" s="22">
        <f t="shared" ca="1" si="40"/>
        <v>19</v>
      </c>
      <c r="I1319" s="19" t="s">
        <v>912</v>
      </c>
      <c r="J1319" s="18" t="s">
        <v>27</v>
      </c>
      <c r="K1319" s="18"/>
      <c r="L1319" s="23" t="s">
        <v>4752</v>
      </c>
      <c r="M1319" s="23" t="s">
        <v>1971</v>
      </c>
      <c r="N1319" s="23" t="s">
        <v>1488</v>
      </c>
      <c r="O1319" s="18"/>
      <c r="P1319" s="24"/>
      <c r="Q1319" s="25">
        <v>46072</v>
      </c>
      <c r="R1319" s="13">
        <v>0</v>
      </c>
      <c r="S1319" s="26" t="str">
        <f>VLOOKUP(C1319,'[4]Daily Wages '!$B$6:$G$197,6,0)</f>
        <v>07660010160759730015</v>
      </c>
      <c r="T1319" s="25" t="s">
        <v>32</v>
      </c>
      <c r="U1319" s="25" t="s">
        <v>1147</v>
      </c>
      <c r="V1319" s="25"/>
      <c r="W1319" s="27" t="s">
        <v>4753</v>
      </c>
      <c r="X1319" s="28" t="s">
        <v>4754</v>
      </c>
      <c r="Y1319" s="28"/>
      <c r="Z1319" s="29" t="s">
        <v>3390</v>
      </c>
    </row>
    <row r="1320" spans="1:26" ht="30" customHeight="1" thickBot="1" x14ac:dyDescent="0.25">
      <c r="A1320" s="17">
        <f t="shared" si="41"/>
        <v>1319</v>
      </c>
      <c r="B1320" s="18" t="s">
        <v>25</v>
      </c>
      <c r="C1320" s="19">
        <v>3520403687273</v>
      </c>
      <c r="D1320" s="19"/>
      <c r="E1320" s="20">
        <v>43248</v>
      </c>
      <c r="F1320" s="20">
        <v>46901</v>
      </c>
      <c r="G1320" s="21">
        <v>36598</v>
      </c>
      <c r="H1320" s="22">
        <f t="shared" ca="1" si="40"/>
        <v>26</v>
      </c>
      <c r="I1320" s="19" t="s">
        <v>912</v>
      </c>
      <c r="J1320" s="18" t="s">
        <v>27</v>
      </c>
      <c r="K1320" s="18"/>
      <c r="L1320" s="23" t="s">
        <v>4755</v>
      </c>
      <c r="M1320" s="23" t="s">
        <v>2166</v>
      </c>
      <c r="N1320" s="23" t="s">
        <v>1488</v>
      </c>
      <c r="O1320" s="18"/>
      <c r="P1320" s="24"/>
      <c r="Q1320" s="25">
        <v>46080</v>
      </c>
      <c r="R1320" s="13">
        <v>0</v>
      </c>
      <c r="S1320" s="26" t="str">
        <f>VLOOKUP(C1320,'[4]Daily Wages '!$B$6:$G$197,6,0)</f>
        <v>07660010160585570012</v>
      </c>
      <c r="T1320" s="25" t="s">
        <v>32</v>
      </c>
      <c r="U1320" s="25" t="s">
        <v>1147</v>
      </c>
      <c r="V1320" s="25"/>
      <c r="W1320" s="27" t="s">
        <v>4756</v>
      </c>
      <c r="X1320" s="28" t="s">
        <v>4757</v>
      </c>
      <c r="Y1320" s="28"/>
      <c r="Z1320" s="29" t="s">
        <v>3390</v>
      </c>
    </row>
    <row r="1321" spans="1:26" ht="30" customHeight="1" thickBot="1" x14ac:dyDescent="0.25">
      <c r="A1321" s="17">
        <f t="shared" si="41"/>
        <v>1320</v>
      </c>
      <c r="B1321" s="18" t="s">
        <v>25</v>
      </c>
      <c r="C1321" s="19">
        <v>3520233273275</v>
      </c>
      <c r="D1321" s="19"/>
      <c r="E1321" s="20">
        <v>44537</v>
      </c>
      <c r="F1321" s="20">
        <v>48189</v>
      </c>
      <c r="G1321" s="21">
        <v>36679</v>
      </c>
      <c r="H1321" s="22">
        <f t="shared" ca="1" si="40"/>
        <v>26</v>
      </c>
      <c r="I1321" s="19" t="s">
        <v>912</v>
      </c>
      <c r="J1321" s="18" t="s">
        <v>27</v>
      </c>
      <c r="K1321" s="18"/>
      <c r="L1321" s="23" t="s">
        <v>4758</v>
      </c>
      <c r="M1321" s="23" t="s">
        <v>2044</v>
      </c>
      <c r="N1321" s="23" t="s">
        <v>1488</v>
      </c>
      <c r="O1321" s="18"/>
      <c r="P1321" s="24"/>
      <c r="Q1321" s="25">
        <v>46076</v>
      </c>
      <c r="R1321" s="13">
        <v>0</v>
      </c>
      <c r="S1321" s="26" t="str">
        <f>VLOOKUP(C1321,'[4]Daily Wages '!$B$6:$G$197,6,0)</f>
        <v>07660010160772740019</v>
      </c>
      <c r="T1321" s="25" t="s">
        <v>32</v>
      </c>
      <c r="U1321" s="25" t="s">
        <v>1147</v>
      </c>
      <c r="V1321" s="25"/>
      <c r="W1321" s="27" t="s">
        <v>4759</v>
      </c>
      <c r="X1321" s="28" t="s">
        <v>4760</v>
      </c>
      <c r="Y1321" s="28"/>
      <c r="Z1321" s="29" t="s">
        <v>3390</v>
      </c>
    </row>
    <row r="1322" spans="1:26" ht="30" customHeight="1" thickBot="1" x14ac:dyDescent="0.25">
      <c r="A1322" s="17">
        <f t="shared" si="41"/>
        <v>1321</v>
      </c>
      <c r="B1322" s="18" t="s">
        <v>25</v>
      </c>
      <c r="C1322" s="19">
        <v>3330404565221</v>
      </c>
      <c r="D1322" s="19"/>
      <c r="E1322" s="20"/>
      <c r="F1322" s="20"/>
      <c r="G1322" s="21"/>
      <c r="H1322" s="22">
        <f t="shared" ca="1" si="40"/>
        <v>126</v>
      </c>
      <c r="I1322" s="19" t="s">
        <v>26</v>
      </c>
      <c r="J1322" s="18" t="s">
        <v>27</v>
      </c>
      <c r="K1322" s="18"/>
      <c r="L1322" s="23" t="s">
        <v>3388</v>
      </c>
      <c r="M1322" s="23"/>
      <c r="N1322" s="23" t="s">
        <v>1499</v>
      </c>
      <c r="O1322" s="18"/>
      <c r="P1322" s="24"/>
      <c r="Q1322" s="25">
        <v>46079</v>
      </c>
      <c r="R1322" s="13">
        <v>0</v>
      </c>
      <c r="S1322" s="26" t="str">
        <f>VLOOKUP(C1322,'[4]Daily Wages '!$B$6:$G$197,6,0)</f>
        <v>02880010160904130015</v>
      </c>
      <c r="T1322" s="25" t="s">
        <v>32</v>
      </c>
      <c r="U1322" s="25" t="s">
        <v>1147</v>
      </c>
      <c r="V1322" s="25"/>
      <c r="W1322" s="27"/>
      <c r="X1322" s="28" t="s">
        <v>4761</v>
      </c>
      <c r="Y1322" s="28"/>
      <c r="Z1322" s="29" t="s">
        <v>3390</v>
      </c>
    </row>
    <row r="1323" spans="1:26" ht="30" customHeight="1" thickBot="1" x14ac:dyDescent="0.25">
      <c r="A1323" s="17">
        <f t="shared" si="41"/>
        <v>1322</v>
      </c>
      <c r="B1323" s="18" t="s">
        <v>25</v>
      </c>
      <c r="C1323" s="19">
        <v>3520266873322</v>
      </c>
      <c r="D1323" s="19"/>
      <c r="E1323" s="20"/>
      <c r="F1323" s="20"/>
      <c r="G1323" s="21">
        <v>34414</v>
      </c>
      <c r="H1323" s="22">
        <f t="shared" ca="1" si="40"/>
        <v>32</v>
      </c>
      <c r="I1323" s="19" t="s">
        <v>26</v>
      </c>
      <c r="J1323" s="18" t="s">
        <v>66</v>
      </c>
      <c r="K1323" s="18"/>
      <c r="L1323" s="23" t="s">
        <v>4762</v>
      </c>
      <c r="M1323" s="23" t="s">
        <v>4763</v>
      </c>
      <c r="N1323" s="23" t="s">
        <v>1499</v>
      </c>
      <c r="O1323" s="18"/>
      <c r="P1323" s="24"/>
      <c r="Q1323" s="25">
        <v>46071</v>
      </c>
      <c r="R1323" s="13">
        <v>0</v>
      </c>
      <c r="S1323" s="26" t="str">
        <f>VLOOKUP(C1323,'[4]Daily Wages '!$B$6:$G$197,6,0)</f>
        <v>51210020160029300012</v>
      </c>
      <c r="T1323" s="25" t="s">
        <v>32</v>
      </c>
      <c r="U1323" s="25" t="s">
        <v>1147</v>
      </c>
      <c r="V1323" s="25"/>
      <c r="W1323" s="27" t="s">
        <v>4764</v>
      </c>
      <c r="X1323" s="28" t="s">
        <v>4765</v>
      </c>
      <c r="Y1323" s="28"/>
      <c r="Z1323" s="29" t="s">
        <v>3390</v>
      </c>
    </row>
    <row r="1324" spans="1:26" ht="30" customHeight="1" thickBot="1" x14ac:dyDescent="0.25">
      <c r="A1324" s="17">
        <f t="shared" si="41"/>
        <v>1323</v>
      </c>
      <c r="B1324" s="18" t="s">
        <v>25</v>
      </c>
      <c r="C1324" s="19">
        <v>3530219463011</v>
      </c>
      <c r="D1324" s="19"/>
      <c r="E1324" s="20">
        <v>44577</v>
      </c>
      <c r="F1324" s="20">
        <v>48229</v>
      </c>
      <c r="G1324" s="21">
        <v>37987</v>
      </c>
      <c r="H1324" s="22">
        <f t="shared" ca="1" si="40"/>
        <v>22</v>
      </c>
      <c r="I1324" s="19" t="s">
        <v>26</v>
      </c>
      <c r="J1324" s="18" t="s">
        <v>27</v>
      </c>
      <c r="K1324" s="18"/>
      <c r="L1324" s="23" t="s">
        <v>4766</v>
      </c>
      <c r="M1324" s="23" t="s">
        <v>1725</v>
      </c>
      <c r="N1324" s="23" t="s">
        <v>1499</v>
      </c>
      <c r="O1324" s="18"/>
      <c r="P1324" s="24"/>
      <c r="Q1324" s="25">
        <v>46079</v>
      </c>
      <c r="R1324" s="13">
        <v>0</v>
      </c>
      <c r="S1324" s="26" t="str">
        <f>VLOOKUP(C1324,'[4]Daily Wages '!$B$6:$G$197,6,0)</f>
        <v>02880010158217990017</v>
      </c>
      <c r="T1324" s="25" t="s">
        <v>32</v>
      </c>
      <c r="U1324" s="25" t="s">
        <v>1147</v>
      </c>
      <c r="V1324" s="25"/>
      <c r="W1324" s="27" t="s">
        <v>4767</v>
      </c>
      <c r="X1324" s="28" t="s">
        <v>4768</v>
      </c>
      <c r="Y1324" s="28"/>
      <c r="Z1324" s="29" t="s">
        <v>3390</v>
      </c>
    </row>
    <row r="1325" spans="1:26" ht="30" customHeight="1" thickBot="1" x14ac:dyDescent="0.25">
      <c r="A1325" s="17">
        <f t="shared" si="41"/>
        <v>1324</v>
      </c>
      <c r="B1325" s="18" t="s">
        <v>25</v>
      </c>
      <c r="C1325" s="19">
        <v>3520186791977</v>
      </c>
      <c r="D1325" s="19">
        <v>1861</v>
      </c>
      <c r="E1325" s="20">
        <v>43599</v>
      </c>
      <c r="F1325" s="20">
        <v>47252</v>
      </c>
      <c r="G1325" s="21">
        <v>36899</v>
      </c>
      <c r="H1325" s="22">
        <f t="shared" ca="1" si="40"/>
        <v>25</v>
      </c>
      <c r="I1325" s="19" t="s">
        <v>26</v>
      </c>
      <c r="J1325" s="18" t="s">
        <v>27</v>
      </c>
      <c r="K1325" s="18"/>
      <c r="L1325" s="23" t="s">
        <v>4769</v>
      </c>
      <c r="M1325" s="23" t="s">
        <v>614</v>
      </c>
      <c r="N1325" s="24" t="s">
        <v>1295</v>
      </c>
      <c r="O1325" s="18"/>
      <c r="P1325" s="24"/>
      <c r="Q1325" s="25">
        <v>45992</v>
      </c>
      <c r="R1325" s="13">
        <v>0</v>
      </c>
      <c r="S1325" s="26" t="str">
        <f>VLOOKUP(C1325,'[1]Bazaar Salary'!$B$6:$J$1193,9,0)</f>
        <v>02630010134849260025</v>
      </c>
      <c r="T1325" s="25" t="s">
        <v>32</v>
      </c>
      <c r="U1325" s="25" t="s">
        <v>805</v>
      </c>
      <c r="V1325" s="25"/>
      <c r="W1325" s="27" t="s">
        <v>4770</v>
      </c>
      <c r="X1325" s="28" t="s">
        <v>4771</v>
      </c>
      <c r="Y1325" s="28"/>
      <c r="Z1325" s="29" t="s">
        <v>37</v>
      </c>
    </row>
    <row r="1326" spans="1:26" ht="30" customHeight="1" thickBot="1" x14ac:dyDescent="0.25">
      <c r="A1326" s="17">
        <f t="shared" si="41"/>
        <v>1325</v>
      </c>
      <c r="B1326" s="18" t="s">
        <v>25</v>
      </c>
      <c r="C1326" s="19">
        <v>3830264476227</v>
      </c>
      <c r="D1326" s="19"/>
      <c r="E1326" s="20">
        <v>45576</v>
      </c>
      <c r="F1326" s="20">
        <v>49228</v>
      </c>
      <c r="G1326" s="21">
        <v>35298</v>
      </c>
      <c r="H1326" s="22">
        <f t="shared" ca="1" si="40"/>
        <v>29</v>
      </c>
      <c r="I1326" s="19" t="s">
        <v>26</v>
      </c>
      <c r="J1326" s="18" t="s">
        <v>27</v>
      </c>
      <c r="K1326" s="18"/>
      <c r="L1326" s="23" t="s">
        <v>4772</v>
      </c>
      <c r="M1326" s="23" t="s">
        <v>4773</v>
      </c>
      <c r="N1326" s="24" t="s">
        <v>1295</v>
      </c>
      <c r="O1326" s="18"/>
      <c r="P1326" s="24"/>
      <c r="Q1326" s="25">
        <v>46045</v>
      </c>
      <c r="R1326" s="13">
        <v>0</v>
      </c>
      <c r="S1326" s="26" t="str">
        <f>VLOOKUP(C1326,'[1]Bazaar Salary'!$B$6:$J$1193,9,0)</f>
        <v>06230010158929920010</v>
      </c>
      <c r="T1326" s="25" t="s">
        <v>32</v>
      </c>
      <c r="U1326" s="25" t="s">
        <v>805</v>
      </c>
      <c r="V1326" s="25" t="s">
        <v>3391</v>
      </c>
      <c r="W1326" s="27" t="s">
        <v>4774</v>
      </c>
      <c r="X1326" s="28" t="s">
        <v>4775</v>
      </c>
      <c r="Y1326" s="28"/>
      <c r="Z1326" s="29" t="s">
        <v>37</v>
      </c>
    </row>
    <row r="1327" spans="1:26" ht="30" customHeight="1" thickBot="1" x14ac:dyDescent="0.25">
      <c r="A1327" s="17">
        <f t="shared" si="41"/>
        <v>1326</v>
      </c>
      <c r="B1327" s="18" t="s">
        <v>25</v>
      </c>
      <c r="C1327" s="19">
        <v>3310404212497</v>
      </c>
      <c r="D1327" s="19">
        <v>1966</v>
      </c>
      <c r="E1327" s="20">
        <v>44473</v>
      </c>
      <c r="F1327" s="20">
        <v>48125</v>
      </c>
      <c r="G1327" s="21">
        <v>37853</v>
      </c>
      <c r="H1327" s="22">
        <f t="shared" ca="1" si="40"/>
        <v>22</v>
      </c>
      <c r="I1327" s="19" t="s">
        <v>26</v>
      </c>
      <c r="J1327" s="18" t="s">
        <v>27</v>
      </c>
      <c r="K1327" s="18"/>
      <c r="L1327" s="23" t="s">
        <v>4776</v>
      </c>
      <c r="M1327" s="23" t="s">
        <v>4777</v>
      </c>
      <c r="N1327" s="24" t="s">
        <v>468</v>
      </c>
      <c r="O1327" s="18"/>
      <c r="P1327" s="24"/>
      <c r="Q1327" s="25">
        <v>46023</v>
      </c>
      <c r="R1327" s="13">
        <v>0</v>
      </c>
      <c r="S1327" s="26" t="str">
        <f>VLOOKUP(C1327,'[1]Bazaar Salary'!$B$6:$J$1193,9,0)</f>
        <v>00620010090075360019</v>
      </c>
      <c r="T1327" s="25" t="s">
        <v>32</v>
      </c>
      <c r="U1327" s="25" t="s">
        <v>805</v>
      </c>
      <c r="V1327" s="25"/>
      <c r="W1327" s="27" t="s">
        <v>4306</v>
      </c>
      <c r="X1327" s="43" t="s">
        <v>4778</v>
      </c>
      <c r="Y1327" s="28"/>
      <c r="Z1327" s="29" t="s">
        <v>37</v>
      </c>
    </row>
    <row r="1328" spans="1:26" ht="30" customHeight="1" thickBot="1" x14ac:dyDescent="0.25">
      <c r="A1328" s="17">
        <f t="shared" si="41"/>
        <v>1327</v>
      </c>
      <c r="B1328" s="18" t="s">
        <v>25</v>
      </c>
      <c r="C1328" s="19">
        <v>1730166357877</v>
      </c>
      <c r="D1328" s="19">
        <v>1932</v>
      </c>
      <c r="E1328" s="20">
        <v>44784</v>
      </c>
      <c r="F1328" s="20">
        <v>48437</v>
      </c>
      <c r="G1328" s="21">
        <v>34700</v>
      </c>
      <c r="H1328" s="22">
        <f t="shared" ca="1" si="40"/>
        <v>31</v>
      </c>
      <c r="I1328" s="19" t="s">
        <v>912</v>
      </c>
      <c r="J1328" s="18" t="s">
        <v>27</v>
      </c>
      <c r="K1328" s="18"/>
      <c r="L1328" s="23" t="s">
        <v>4779</v>
      </c>
      <c r="M1328" s="23" t="s">
        <v>4780</v>
      </c>
      <c r="N1328" s="23" t="s">
        <v>1488</v>
      </c>
      <c r="O1328" s="18"/>
      <c r="P1328" s="24"/>
      <c r="Q1328" s="25">
        <v>45992</v>
      </c>
      <c r="R1328" s="13">
        <v>0</v>
      </c>
      <c r="S1328" s="26" t="str">
        <f>VLOOKUP(C1328,'[1]Bazaar Salary'!$B$6:$J$1193,9,0)</f>
        <v>02670010151391640016</v>
      </c>
      <c r="T1328" s="25" t="s">
        <v>32</v>
      </c>
      <c r="U1328" s="25" t="s">
        <v>805</v>
      </c>
      <c r="V1328" s="25"/>
      <c r="W1328" s="27" t="s">
        <v>4781</v>
      </c>
      <c r="X1328" s="28" t="s">
        <v>4782</v>
      </c>
      <c r="Y1328" s="28"/>
      <c r="Z1328" s="29" t="s">
        <v>37</v>
      </c>
    </row>
    <row r="1329" spans="1:26" ht="30" customHeight="1" thickBot="1" x14ac:dyDescent="0.25">
      <c r="A1329" s="17">
        <f t="shared" si="41"/>
        <v>1328</v>
      </c>
      <c r="B1329" s="18" t="s">
        <v>25</v>
      </c>
      <c r="C1329" s="19">
        <v>3830278041979</v>
      </c>
      <c r="D1329" s="19">
        <v>1931</v>
      </c>
      <c r="E1329" s="20">
        <v>45053</v>
      </c>
      <c r="F1329" s="20">
        <v>48706</v>
      </c>
      <c r="G1329" s="21">
        <v>34940</v>
      </c>
      <c r="H1329" s="22">
        <f t="shared" ca="1" si="40"/>
        <v>30</v>
      </c>
      <c r="I1329" s="19" t="s">
        <v>912</v>
      </c>
      <c r="J1329" s="18" t="s">
        <v>27</v>
      </c>
      <c r="K1329" s="18"/>
      <c r="L1329" s="23" t="s">
        <v>4783</v>
      </c>
      <c r="M1329" s="23" t="s">
        <v>4784</v>
      </c>
      <c r="N1329" s="23" t="s">
        <v>1488</v>
      </c>
      <c r="O1329" s="18"/>
      <c r="P1329" s="24"/>
      <c r="Q1329" s="25">
        <v>45992</v>
      </c>
      <c r="R1329" s="13">
        <v>0</v>
      </c>
      <c r="S1329" s="26" t="str">
        <f>VLOOKUP(C1329,'[1]Bazaar Salary'!$B$6:$J$1193,9,0)</f>
        <v>02670010151391020011</v>
      </c>
      <c r="T1329" s="25" t="s">
        <v>32</v>
      </c>
      <c r="U1329" s="25" t="s">
        <v>805</v>
      </c>
      <c r="V1329" s="25"/>
      <c r="W1329" s="27" t="s">
        <v>4785</v>
      </c>
      <c r="X1329" s="28" t="s">
        <v>4786</v>
      </c>
      <c r="Y1329" s="28"/>
      <c r="Z1329" s="29" t="s">
        <v>37</v>
      </c>
    </row>
    <row r="1330" spans="1:26" ht="30" customHeight="1" thickBot="1" x14ac:dyDescent="0.25">
      <c r="A1330" s="17">
        <f t="shared" si="41"/>
        <v>1329</v>
      </c>
      <c r="B1330" s="18" t="s">
        <v>25</v>
      </c>
      <c r="C1330" s="19">
        <v>3830245587383</v>
      </c>
      <c r="D1330" s="19"/>
      <c r="E1330" s="20">
        <v>45707</v>
      </c>
      <c r="F1330" s="20">
        <v>49359</v>
      </c>
      <c r="G1330" s="21">
        <v>38696</v>
      </c>
      <c r="H1330" s="22">
        <f t="shared" ca="1" si="40"/>
        <v>20</v>
      </c>
      <c r="I1330" s="19" t="s">
        <v>26</v>
      </c>
      <c r="J1330" s="18" t="s">
        <v>27</v>
      </c>
      <c r="K1330" s="18"/>
      <c r="L1330" s="23" t="s">
        <v>4787</v>
      </c>
      <c r="M1330" s="23" t="s">
        <v>4788</v>
      </c>
      <c r="N1330" s="23" t="s">
        <v>1488</v>
      </c>
      <c r="O1330" s="18"/>
      <c r="P1330" s="24"/>
      <c r="Q1330" s="25">
        <v>46071</v>
      </c>
      <c r="R1330" s="13">
        <v>0</v>
      </c>
      <c r="S1330" s="26" t="str">
        <f>VLOOKUP(C1330,'[4]Daily Wages '!$B$6:$G$197,6,0)</f>
        <v>02630010156289380010</v>
      </c>
      <c r="T1330" s="25" t="s">
        <v>32</v>
      </c>
      <c r="U1330" s="25" t="s">
        <v>805</v>
      </c>
      <c r="V1330" s="25"/>
      <c r="W1330" s="27" t="s">
        <v>4789</v>
      </c>
      <c r="X1330" s="28" t="s">
        <v>4790</v>
      </c>
      <c r="Y1330" s="28"/>
      <c r="Z1330" s="29" t="s">
        <v>3390</v>
      </c>
    </row>
    <row r="1331" spans="1:26" ht="30" customHeight="1" thickBot="1" x14ac:dyDescent="0.25">
      <c r="A1331" s="17">
        <f t="shared" si="41"/>
        <v>1330</v>
      </c>
      <c r="B1331" s="18" t="s">
        <v>25</v>
      </c>
      <c r="C1331" s="19">
        <v>3830211947591</v>
      </c>
      <c r="D1331" s="19"/>
      <c r="E1331" s="20">
        <v>43195</v>
      </c>
      <c r="F1331" s="20">
        <v>46848</v>
      </c>
      <c r="G1331" s="21">
        <v>32568</v>
      </c>
      <c r="H1331" s="22">
        <f t="shared" ca="1" si="40"/>
        <v>37</v>
      </c>
      <c r="I1331" s="19" t="s">
        <v>26</v>
      </c>
      <c r="J1331" s="18" t="s">
        <v>27</v>
      </c>
      <c r="K1331" s="18"/>
      <c r="L1331" s="23" t="s">
        <v>4791</v>
      </c>
      <c r="M1331" s="23" t="s">
        <v>2664</v>
      </c>
      <c r="N1331" s="23" t="s">
        <v>1488</v>
      </c>
      <c r="O1331" s="18"/>
      <c r="P1331" s="24"/>
      <c r="Q1331" s="25">
        <v>46071</v>
      </c>
      <c r="R1331" s="13">
        <v>0</v>
      </c>
      <c r="S1331" s="26" t="str">
        <f>VLOOKUP(C1331,'[4]Daily Wages '!$B$6:$G$197,6,0)</f>
        <v>02630010160160710014</v>
      </c>
      <c r="T1331" s="25" t="s">
        <v>32</v>
      </c>
      <c r="U1331" s="25" t="s">
        <v>805</v>
      </c>
      <c r="V1331" s="25"/>
      <c r="W1331" s="27" t="s">
        <v>4792</v>
      </c>
      <c r="X1331" s="28" t="s">
        <v>4793</v>
      </c>
      <c r="Y1331" s="28"/>
      <c r="Z1331" s="29" t="s">
        <v>3390</v>
      </c>
    </row>
    <row r="1332" spans="1:26" ht="30" customHeight="1" thickBot="1" x14ac:dyDescent="0.25">
      <c r="A1332" s="17">
        <f t="shared" si="41"/>
        <v>1331</v>
      </c>
      <c r="B1332" s="18" t="s">
        <v>25</v>
      </c>
      <c r="C1332" s="19">
        <v>4240162057749</v>
      </c>
      <c r="D1332" s="19"/>
      <c r="E1332" s="20">
        <v>45251</v>
      </c>
      <c r="F1332" s="20">
        <v>48904</v>
      </c>
      <c r="G1332" s="21">
        <v>38637</v>
      </c>
      <c r="H1332" s="22">
        <f t="shared" ca="1" si="40"/>
        <v>20</v>
      </c>
      <c r="I1332" s="19" t="s">
        <v>26</v>
      </c>
      <c r="J1332" s="18" t="s">
        <v>27</v>
      </c>
      <c r="K1332" s="18"/>
      <c r="L1332" s="23" t="s">
        <v>4794</v>
      </c>
      <c r="M1332" s="23" t="s">
        <v>4795</v>
      </c>
      <c r="N1332" s="23" t="s">
        <v>1499</v>
      </c>
      <c r="O1332" s="18"/>
      <c r="P1332" s="24"/>
      <c r="Q1332" s="25">
        <v>46091</v>
      </c>
      <c r="R1332" s="13">
        <v>0</v>
      </c>
      <c r="S1332" s="26" t="str">
        <f>VLOOKUP(C1332,'[4]Daily Wages '!$B$6:$G$197,6,0)</f>
        <v>02630010161020300015</v>
      </c>
      <c r="T1332" s="25" t="s">
        <v>32</v>
      </c>
      <c r="U1332" s="25" t="s">
        <v>805</v>
      </c>
      <c r="V1332" s="25"/>
      <c r="W1332" s="27" t="s">
        <v>4796</v>
      </c>
      <c r="X1332" s="28" t="s">
        <v>4663</v>
      </c>
      <c r="Y1332" s="28"/>
      <c r="Z1332" s="29" t="s">
        <v>3390</v>
      </c>
    </row>
    <row r="1333" spans="1:26" ht="30" customHeight="1" thickBot="1" x14ac:dyDescent="0.25">
      <c r="A1333" s="17">
        <f t="shared" si="41"/>
        <v>1332</v>
      </c>
      <c r="B1333" s="18" t="s">
        <v>25</v>
      </c>
      <c r="C1333" s="19">
        <v>3830304455041</v>
      </c>
      <c r="D1333" s="19"/>
      <c r="E1333" s="20">
        <v>42727</v>
      </c>
      <c r="F1333" s="20">
        <v>46379</v>
      </c>
      <c r="G1333" s="21">
        <v>31691</v>
      </c>
      <c r="H1333" s="22">
        <f t="shared" ca="1" si="40"/>
        <v>39</v>
      </c>
      <c r="I1333" s="19" t="s">
        <v>26</v>
      </c>
      <c r="J1333" s="18" t="s">
        <v>27</v>
      </c>
      <c r="K1333" s="18"/>
      <c r="L1333" s="23" t="s">
        <v>3136</v>
      </c>
      <c r="M1333" s="23" t="s">
        <v>1349</v>
      </c>
      <c r="N1333" s="23" t="s">
        <v>1499</v>
      </c>
      <c r="O1333" s="18"/>
      <c r="P1333" s="24"/>
      <c r="Q1333" s="25">
        <v>46066</v>
      </c>
      <c r="R1333" s="13">
        <v>0</v>
      </c>
      <c r="S1333" s="26" t="str">
        <f>VLOOKUP(C1333,'[4]Daily Wages '!$B$6:$G$197,6,0)</f>
        <v>02630010159933120013</v>
      </c>
      <c r="T1333" s="25" t="s">
        <v>32</v>
      </c>
      <c r="U1333" s="25" t="s">
        <v>805</v>
      </c>
      <c r="V1333" s="25"/>
      <c r="W1333" s="27" t="s">
        <v>4797</v>
      </c>
      <c r="X1333" s="28" t="s">
        <v>4798</v>
      </c>
      <c r="Y1333" s="28"/>
      <c r="Z1333" s="29" t="s">
        <v>3390</v>
      </c>
    </row>
    <row r="1334" spans="1:26" ht="30" customHeight="1" thickBot="1" x14ac:dyDescent="0.25">
      <c r="A1334" s="17">
        <f t="shared" si="41"/>
        <v>1333</v>
      </c>
      <c r="B1334" s="18" t="s">
        <v>25</v>
      </c>
      <c r="C1334" s="19">
        <v>3830242535747</v>
      </c>
      <c r="D1334" s="19"/>
      <c r="E1334" s="20">
        <v>43746</v>
      </c>
      <c r="F1334" s="20">
        <v>47399</v>
      </c>
      <c r="G1334" s="21">
        <v>37145</v>
      </c>
      <c r="H1334" s="22">
        <f t="shared" ca="1" si="40"/>
        <v>24</v>
      </c>
      <c r="I1334" s="19" t="s">
        <v>26</v>
      </c>
      <c r="J1334" s="18" t="s">
        <v>27</v>
      </c>
      <c r="K1334" s="18"/>
      <c r="L1334" s="23" t="s">
        <v>4799</v>
      </c>
      <c r="M1334" s="23" t="s">
        <v>4800</v>
      </c>
      <c r="N1334" s="23" t="s">
        <v>1499</v>
      </c>
      <c r="O1334" s="18"/>
      <c r="P1334" s="24"/>
      <c r="Q1334" s="25">
        <v>46080</v>
      </c>
      <c r="R1334" s="13">
        <v>0</v>
      </c>
      <c r="S1334" s="26" t="str">
        <f>VLOOKUP(C1334,'[4]Daily Wages '!$B$6:$G$197,6,0)</f>
        <v>00540010160757670010</v>
      </c>
      <c r="T1334" s="25" t="s">
        <v>32</v>
      </c>
      <c r="U1334" s="25" t="s">
        <v>805</v>
      </c>
      <c r="V1334" s="25"/>
      <c r="W1334" s="27" t="s">
        <v>4801</v>
      </c>
      <c r="X1334" s="28" t="s">
        <v>4802</v>
      </c>
      <c r="Y1334" s="28"/>
      <c r="Z1334" s="29" t="s">
        <v>3390</v>
      </c>
    </row>
    <row r="1335" spans="1:26" ht="30" customHeight="1" thickBot="1" x14ac:dyDescent="0.25">
      <c r="A1335" s="17">
        <f t="shared" si="41"/>
        <v>1334</v>
      </c>
      <c r="B1335" s="18" t="s">
        <v>25</v>
      </c>
      <c r="C1335" s="19">
        <v>3830197279841</v>
      </c>
      <c r="D1335" s="19"/>
      <c r="E1335" s="20">
        <v>45917</v>
      </c>
      <c r="F1335" s="20">
        <v>49569</v>
      </c>
      <c r="G1335" s="21">
        <v>39312</v>
      </c>
      <c r="H1335" s="22">
        <f t="shared" ca="1" si="40"/>
        <v>18</v>
      </c>
      <c r="I1335" s="19" t="s">
        <v>26</v>
      </c>
      <c r="J1335" s="18" t="s">
        <v>27</v>
      </c>
      <c r="K1335" s="18"/>
      <c r="L1335" s="23" t="s">
        <v>4803</v>
      </c>
      <c r="M1335" s="23" t="s">
        <v>2707</v>
      </c>
      <c r="N1335" s="23" t="s">
        <v>1499</v>
      </c>
      <c r="O1335" s="18"/>
      <c r="P1335" s="24"/>
      <c r="Q1335" s="25">
        <v>46066</v>
      </c>
      <c r="R1335" s="13">
        <v>0</v>
      </c>
      <c r="S1335" s="26" t="str">
        <f>VLOOKUP(C1335,'[4]Daily Wages '!$B$6:$G$197,6,0)</f>
        <v>02630010159986740012</v>
      </c>
      <c r="T1335" s="25" t="s">
        <v>32</v>
      </c>
      <c r="U1335" s="25" t="s">
        <v>805</v>
      </c>
      <c r="V1335" s="25"/>
      <c r="W1335" s="27" t="s">
        <v>4804</v>
      </c>
      <c r="X1335" s="28" t="s">
        <v>4805</v>
      </c>
      <c r="Y1335" s="28"/>
      <c r="Z1335" s="29" t="s">
        <v>3390</v>
      </c>
    </row>
    <row r="1336" spans="1:26" ht="30" customHeight="1" thickBot="1" x14ac:dyDescent="0.25">
      <c r="A1336" s="17">
        <f t="shared" si="41"/>
        <v>1335</v>
      </c>
      <c r="B1336" s="18" t="s">
        <v>25</v>
      </c>
      <c r="C1336" s="19">
        <v>3310287174671</v>
      </c>
      <c r="D1336" s="19">
        <v>1933</v>
      </c>
      <c r="E1336" s="20">
        <v>45117</v>
      </c>
      <c r="F1336" s="20">
        <v>48770</v>
      </c>
      <c r="G1336" s="21">
        <v>36465</v>
      </c>
      <c r="H1336" s="22">
        <f t="shared" ca="1" si="40"/>
        <v>26</v>
      </c>
      <c r="I1336" s="19" t="s">
        <v>26</v>
      </c>
      <c r="J1336" s="18" t="s">
        <v>27</v>
      </c>
      <c r="K1336" s="18"/>
      <c r="L1336" s="23" t="s">
        <v>3548</v>
      </c>
      <c r="M1336" s="23" t="s">
        <v>511</v>
      </c>
      <c r="N1336" s="23" t="s">
        <v>1499</v>
      </c>
      <c r="O1336" s="18"/>
      <c r="P1336" s="24"/>
      <c r="Q1336" s="25">
        <v>45992</v>
      </c>
      <c r="R1336" s="13">
        <v>0</v>
      </c>
      <c r="S1336" s="26" t="str">
        <f>VLOOKUP(C1336,'[1]Bazaar Salary'!$B$6:$J$1193,9,0)</f>
        <v>08660010152492920014</v>
      </c>
      <c r="T1336" s="25" t="s">
        <v>32</v>
      </c>
      <c r="U1336" s="25" t="s">
        <v>809</v>
      </c>
      <c r="V1336" s="25"/>
      <c r="W1336" s="27" t="s">
        <v>4806</v>
      </c>
      <c r="X1336" s="28" t="s">
        <v>4807</v>
      </c>
      <c r="Y1336" s="28"/>
      <c r="Z1336" s="29" t="s">
        <v>37</v>
      </c>
    </row>
    <row r="1337" spans="1:26" ht="30" customHeight="1" thickBot="1" x14ac:dyDescent="0.25">
      <c r="A1337" s="17">
        <f t="shared" si="41"/>
        <v>1336</v>
      </c>
      <c r="B1337" s="18" t="s">
        <v>25</v>
      </c>
      <c r="C1337" s="19">
        <v>3220372754381</v>
      </c>
      <c r="D1337" s="19"/>
      <c r="E1337" s="20">
        <v>44638</v>
      </c>
      <c r="F1337" s="20">
        <v>48291</v>
      </c>
      <c r="G1337" s="21">
        <v>38043</v>
      </c>
      <c r="H1337" s="22">
        <f t="shared" ca="1" si="40"/>
        <v>22</v>
      </c>
      <c r="I1337" s="19" t="s">
        <v>26</v>
      </c>
      <c r="J1337" s="18" t="s">
        <v>27</v>
      </c>
      <c r="K1337" s="18"/>
      <c r="L1337" s="23" t="s">
        <v>1708</v>
      </c>
      <c r="M1337" s="23" t="s">
        <v>1503</v>
      </c>
      <c r="N1337" s="23" t="s">
        <v>1295</v>
      </c>
      <c r="O1337" s="18"/>
      <c r="P1337" s="24"/>
      <c r="Q1337" s="25">
        <v>46079</v>
      </c>
      <c r="R1337" s="13">
        <v>0</v>
      </c>
      <c r="S1337" s="26" t="str">
        <f>VLOOKUP(C1337,'[1]Bazaar Salary'!$B$6:$J$1193,9,0)</f>
        <v>51400020160856690013</v>
      </c>
      <c r="T1337" s="25" t="s">
        <v>32</v>
      </c>
      <c r="U1337" s="25" t="s">
        <v>4808</v>
      </c>
      <c r="V1337" s="25"/>
      <c r="W1337" s="27" t="s">
        <v>4809</v>
      </c>
      <c r="X1337" s="28" t="s">
        <v>4810</v>
      </c>
      <c r="Y1337" s="28"/>
      <c r="Z1337" s="29" t="s">
        <v>37</v>
      </c>
    </row>
    <row r="1338" spans="1:26" ht="30" customHeight="1" thickBot="1" x14ac:dyDescent="0.25">
      <c r="A1338" s="17">
        <f t="shared" si="41"/>
        <v>1337</v>
      </c>
      <c r="B1338" s="18" t="s">
        <v>25</v>
      </c>
      <c r="C1338" s="19">
        <v>3220325358107</v>
      </c>
      <c r="D1338" s="19"/>
      <c r="E1338" s="20">
        <v>45862</v>
      </c>
      <c r="F1338" s="20">
        <v>49216</v>
      </c>
      <c r="G1338" s="21">
        <v>38915</v>
      </c>
      <c r="H1338" s="22">
        <f t="shared" ca="1" si="40"/>
        <v>19</v>
      </c>
      <c r="I1338" s="19" t="s">
        <v>26</v>
      </c>
      <c r="J1338" s="18" t="s">
        <v>27</v>
      </c>
      <c r="K1338" s="18"/>
      <c r="L1338" s="23" t="s">
        <v>4811</v>
      </c>
      <c r="M1338" s="23" t="s">
        <v>199</v>
      </c>
      <c r="N1338" s="23" t="s">
        <v>1295</v>
      </c>
      <c r="O1338" s="18"/>
      <c r="P1338" s="24"/>
      <c r="Q1338" s="25">
        <v>46078</v>
      </c>
      <c r="R1338" s="13">
        <v>0</v>
      </c>
      <c r="S1338" s="26" t="str">
        <f>VLOOKUP(C1338,'[3]May-26'!$B$5:$H$89,7,0)</f>
        <v>51400020160864570011</v>
      </c>
      <c r="T1338" s="25" t="s">
        <v>32</v>
      </c>
      <c r="U1338" s="25" t="s">
        <v>4808</v>
      </c>
      <c r="V1338" s="25" t="s">
        <v>884</v>
      </c>
      <c r="W1338" s="27" t="s">
        <v>4812</v>
      </c>
      <c r="X1338" s="28" t="s">
        <v>4813</v>
      </c>
      <c r="Y1338" s="28"/>
      <c r="Z1338" s="29" t="s">
        <v>3390</v>
      </c>
    </row>
    <row r="1339" spans="1:26" ht="30" customHeight="1" thickBot="1" x14ac:dyDescent="0.25">
      <c r="A1339" s="17">
        <f t="shared" si="41"/>
        <v>1338</v>
      </c>
      <c r="B1339" s="18" t="s">
        <v>25</v>
      </c>
      <c r="C1339" s="19">
        <v>3220323159083</v>
      </c>
      <c r="D1339" s="19"/>
      <c r="E1339" s="20">
        <v>45293</v>
      </c>
      <c r="F1339" s="20">
        <v>48946</v>
      </c>
      <c r="G1339" s="21">
        <v>31014</v>
      </c>
      <c r="H1339" s="22">
        <f t="shared" ca="1" si="40"/>
        <v>41</v>
      </c>
      <c r="I1339" s="19" t="s">
        <v>26</v>
      </c>
      <c r="J1339" s="18" t="s">
        <v>27</v>
      </c>
      <c r="K1339" s="18"/>
      <c r="L1339" s="23" t="s">
        <v>4814</v>
      </c>
      <c r="M1339" s="23" t="s">
        <v>4815</v>
      </c>
      <c r="N1339" s="24" t="s">
        <v>468</v>
      </c>
      <c r="O1339" s="18"/>
      <c r="P1339" s="24"/>
      <c r="Q1339" s="25">
        <v>46078</v>
      </c>
      <c r="R1339" s="13">
        <v>0</v>
      </c>
      <c r="S1339" s="26" t="str">
        <f>VLOOKUP(C1339,'[3]May-26'!$B$5:$H$89,7,0)</f>
        <v>51400020160865860015</v>
      </c>
      <c r="T1339" s="25" t="s">
        <v>32</v>
      </c>
      <c r="U1339" s="25" t="s">
        <v>4808</v>
      </c>
      <c r="V1339" s="25" t="s">
        <v>405</v>
      </c>
      <c r="W1339" s="27" t="s">
        <v>4816</v>
      </c>
      <c r="X1339" s="28" t="s">
        <v>4817</v>
      </c>
      <c r="Y1339" s="28"/>
      <c r="Z1339" s="29" t="s">
        <v>3390</v>
      </c>
    </row>
    <row r="1340" spans="1:26" ht="30" customHeight="1" thickBot="1" x14ac:dyDescent="0.25">
      <c r="A1340" s="17">
        <f t="shared" si="41"/>
        <v>1339</v>
      </c>
      <c r="B1340" s="18" t="s">
        <v>25</v>
      </c>
      <c r="C1340" s="19">
        <v>3220292389253</v>
      </c>
      <c r="D1340" s="19"/>
      <c r="E1340" s="20">
        <v>45540</v>
      </c>
      <c r="F1340" s="20">
        <v>49192</v>
      </c>
      <c r="G1340" s="21">
        <v>32380</v>
      </c>
      <c r="H1340" s="22">
        <f t="shared" ca="1" si="40"/>
        <v>37</v>
      </c>
      <c r="I1340" s="19" t="s">
        <v>912</v>
      </c>
      <c r="J1340" s="18" t="s">
        <v>27</v>
      </c>
      <c r="K1340" s="18"/>
      <c r="L1340" s="23" t="s">
        <v>4818</v>
      </c>
      <c r="M1340" s="23" t="s">
        <v>4819</v>
      </c>
      <c r="N1340" s="23" t="s">
        <v>1488</v>
      </c>
      <c r="O1340" s="18"/>
      <c r="P1340" s="24"/>
      <c r="Q1340" s="25">
        <v>46161</v>
      </c>
      <c r="R1340" s="13">
        <v>0</v>
      </c>
      <c r="S1340" s="26" t="str">
        <f>VLOOKUP(C1340,'[4]Daily Wages '!$B$6:$G$197,6,0)</f>
        <v>51400020164721660013</v>
      </c>
      <c r="T1340" s="25" t="s">
        <v>32</v>
      </c>
      <c r="U1340" s="25" t="s">
        <v>4808</v>
      </c>
      <c r="V1340" s="25"/>
      <c r="W1340" s="27" t="s">
        <v>4820</v>
      </c>
      <c r="X1340" s="28" t="s">
        <v>4821</v>
      </c>
      <c r="Y1340" s="28"/>
      <c r="Z1340" s="29" t="s">
        <v>3390</v>
      </c>
    </row>
    <row r="1341" spans="1:26" ht="30" customHeight="1" thickBot="1" x14ac:dyDescent="0.25">
      <c r="A1341" s="17">
        <f t="shared" si="41"/>
        <v>1340</v>
      </c>
      <c r="B1341" s="18" t="s">
        <v>25</v>
      </c>
      <c r="C1341" s="19">
        <v>3220383691737</v>
      </c>
      <c r="D1341" s="19"/>
      <c r="E1341" s="20">
        <v>44496</v>
      </c>
      <c r="F1341" s="20">
        <v>48148</v>
      </c>
      <c r="G1341" s="21">
        <v>33305</v>
      </c>
      <c r="H1341" s="22">
        <f t="shared" ca="1" si="40"/>
        <v>35</v>
      </c>
      <c r="I1341" s="19" t="s">
        <v>912</v>
      </c>
      <c r="J1341" s="18" t="s">
        <v>27</v>
      </c>
      <c r="K1341" s="18"/>
      <c r="L1341" s="23" t="s">
        <v>4822</v>
      </c>
      <c r="M1341" s="23" t="s">
        <v>4823</v>
      </c>
      <c r="N1341" s="23" t="s">
        <v>1488</v>
      </c>
      <c r="O1341" s="18"/>
      <c r="P1341" s="24"/>
      <c r="Q1341" s="25">
        <v>46078</v>
      </c>
      <c r="R1341" s="13">
        <v>0</v>
      </c>
      <c r="S1341" s="26" t="str">
        <f>VLOOKUP(C1341,'[4]Daily Wages '!$B$6:$G$197,6,0)</f>
        <v>51400020038993410010</v>
      </c>
      <c r="T1341" s="25" t="s">
        <v>32</v>
      </c>
      <c r="U1341" s="25" t="s">
        <v>4808</v>
      </c>
      <c r="V1341" s="25"/>
      <c r="W1341" s="27" t="s">
        <v>4824</v>
      </c>
      <c r="X1341" s="28" t="s">
        <v>4825</v>
      </c>
      <c r="Y1341" s="28"/>
      <c r="Z1341" s="29" t="s">
        <v>3390</v>
      </c>
    </row>
    <row r="1342" spans="1:26" ht="30" customHeight="1" thickBot="1" x14ac:dyDescent="0.25">
      <c r="A1342" s="17">
        <f t="shared" si="41"/>
        <v>1341</v>
      </c>
      <c r="B1342" s="18" t="s">
        <v>25</v>
      </c>
      <c r="C1342" s="19">
        <v>3220305576445</v>
      </c>
      <c r="D1342" s="19"/>
      <c r="E1342" s="20">
        <v>45271</v>
      </c>
      <c r="F1342" s="20">
        <v>48924</v>
      </c>
      <c r="G1342" s="21">
        <v>38224</v>
      </c>
      <c r="H1342" s="22">
        <f t="shared" ca="1" si="40"/>
        <v>21</v>
      </c>
      <c r="I1342" s="19" t="s">
        <v>912</v>
      </c>
      <c r="J1342" s="18" t="s">
        <v>27</v>
      </c>
      <c r="K1342" s="18"/>
      <c r="L1342" s="23" t="s">
        <v>4826</v>
      </c>
      <c r="M1342" s="23" t="s">
        <v>4827</v>
      </c>
      <c r="N1342" s="23" t="s">
        <v>1488</v>
      </c>
      <c r="O1342" s="18"/>
      <c r="P1342" s="24"/>
      <c r="Q1342" s="25">
        <v>46171</v>
      </c>
      <c r="R1342" s="13">
        <v>0</v>
      </c>
      <c r="S1342" s="26"/>
      <c r="T1342" s="25"/>
      <c r="U1342" s="25" t="s">
        <v>4808</v>
      </c>
      <c r="V1342" s="25"/>
      <c r="W1342" s="27" t="s">
        <v>4828</v>
      </c>
      <c r="X1342" s="28"/>
      <c r="Y1342" s="28"/>
      <c r="Z1342" s="29" t="s">
        <v>3390</v>
      </c>
    </row>
    <row r="1343" spans="1:26" ht="30" customHeight="1" thickBot="1" x14ac:dyDescent="0.25">
      <c r="A1343" s="17">
        <f t="shared" si="41"/>
        <v>1342</v>
      </c>
      <c r="B1343" s="18" t="s">
        <v>25</v>
      </c>
      <c r="C1343" s="19">
        <v>3220322981687</v>
      </c>
      <c r="D1343" s="19"/>
      <c r="E1343" s="20">
        <v>45357</v>
      </c>
      <c r="F1343" s="20">
        <v>49009</v>
      </c>
      <c r="G1343" s="21">
        <v>38150</v>
      </c>
      <c r="H1343" s="22">
        <f t="shared" ca="1" si="40"/>
        <v>22</v>
      </c>
      <c r="I1343" s="19" t="s">
        <v>912</v>
      </c>
      <c r="J1343" s="18" t="s">
        <v>27</v>
      </c>
      <c r="K1343" s="18"/>
      <c r="L1343" s="23" t="s">
        <v>4829</v>
      </c>
      <c r="M1343" s="23" t="s">
        <v>4830</v>
      </c>
      <c r="N1343" s="23" t="s">
        <v>1488</v>
      </c>
      <c r="O1343" s="18"/>
      <c r="P1343" s="24"/>
      <c r="Q1343" s="25">
        <v>46158</v>
      </c>
      <c r="R1343" s="13">
        <v>0</v>
      </c>
      <c r="S1343" s="26" t="str">
        <f>VLOOKUP(C1343,'[4]Daily Wages '!$B$6:$G$197,6,0)</f>
        <v>51400020164570090010</v>
      </c>
      <c r="T1343" s="25" t="s">
        <v>32</v>
      </c>
      <c r="U1343" s="25" t="s">
        <v>4808</v>
      </c>
      <c r="V1343" s="25"/>
      <c r="W1343" s="27" t="s">
        <v>4831</v>
      </c>
      <c r="X1343" s="28" t="s">
        <v>4832</v>
      </c>
      <c r="Y1343" s="28"/>
      <c r="Z1343" s="29" t="s">
        <v>3390</v>
      </c>
    </row>
    <row r="1344" spans="1:26" ht="30" customHeight="1" thickBot="1" x14ac:dyDescent="0.25">
      <c r="A1344" s="17">
        <f t="shared" si="41"/>
        <v>1343</v>
      </c>
      <c r="B1344" s="18" t="s">
        <v>25</v>
      </c>
      <c r="C1344" s="19">
        <v>3220311857769</v>
      </c>
      <c r="D1344" s="19"/>
      <c r="E1344" s="20">
        <v>44317</v>
      </c>
      <c r="F1344" s="20">
        <v>47969</v>
      </c>
      <c r="G1344" s="21">
        <v>29691</v>
      </c>
      <c r="H1344" s="22">
        <f t="shared" ca="1" si="40"/>
        <v>45</v>
      </c>
      <c r="I1344" s="19" t="s">
        <v>26</v>
      </c>
      <c r="J1344" s="18" t="s">
        <v>27</v>
      </c>
      <c r="K1344" s="18"/>
      <c r="L1344" s="23" t="s">
        <v>4833</v>
      </c>
      <c r="M1344" s="23" t="s">
        <v>4834</v>
      </c>
      <c r="N1344" s="23" t="s">
        <v>1499</v>
      </c>
      <c r="O1344" s="18"/>
      <c r="P1344" s="24"/>
      <c r="Q1344" s="25">
        <v>46078</v>
      </c>
      <c r="R1344" s="13">
        <v>0</v>
      </c>
      <c r="S1344" s="26" t="str">
        <f>VLOOKUP(C1344,'[4]Daily Wages '!$B$6:$G$197,6,0)</f>
        <v>51400020160854390016</v>
      </c>
      <c r="T1344" s="25" t="s">
        <v>32</v>
      </c>
      <c r="U1344" s="25" t="s">
        <v>4808</v>
      </c>
      <c r="V1344" s="25"/>
      <c r="W1344" s="27" t="s">
        <v>4835</v>
      </c>
      <c r="X1344" s="28" t="s">
        <v>4836</v>
      </c>
      <c r="Y1344" s="28"/>
      <c r="Z1344" s="29" t="s">
        <v>3390</v>
      </c>
    </row>
    <row r="1345" spans="1:26" ht="30" customHeight="1" thickBot="1" x14ac:dyDescent="0.25">
      <c r="A1345" s="17">
        <f t="shared" si="41"/>
        <v>1344</v>
      </c>
      <c r="B1345" s="18" t="s">
        <v>25</v>
      </c>
      <c r="C1345" s="19">
        <v>3220377457683</v>
      </c>
      <c r="D1345" s="19"/>
      <c r="E1345" s="20">
        <v>42454</v>
      </c>
      <c r="F1345" s="20">
        <v>46106</v>
      </c>
      <c r="G1345" s="21">
        <v>35836</v>
      </c>
      <c r="H1345" s="22">
        <f t="shared" ca="1" si="40"/>
        <v>28</v>
      </c>
      <c r="I1345" s="19" t="s">
        <v>26</v>
      </c>
      <c r="J1345" s="18" t="s">
        <v>27</v>
      </c>
      <c r="K1345" s="18"/>
      <c r="L1345" s="23" t="s">
        <v>4837</v>
      </c>
      <c r="M1345" s="23" t="s">
        <v>438</v>
      </c>
      <c r="N1345" s="23" t="s">
        <v>1499</v>
      </c>
      <c r="O1345" s="18"/>
      <c r="P1345" s="24"/>
      <c r="Q1345" s="25">
        <v>46091</v>
      </c>
      <c r="R1345" s="13">
        <v>0</v>
      </c>
      <c r="S1345" s="26" t="str">
        <f>VLOOKUP(C1345,'[4]Daily Wages '!$B$6:$G$197,6,0)</f>
        <v>12360010131898260014</v>
      </c>
      <c r="T1345" s="25" t="s">
        <v>32</v>
      </c>
      <c r="U1345" s="25" t="s">
        <v>4808</v>
      </c>
      <c r="V1345" s="25"/>
      <c r="W1345" s="27" t="s">
        <v>4838</v>
      </c>
      <c r="X1345" s="28" t="s">
        <v>4839</v>
      </c>
      <c r="Y1345" s="28"/>
      <c r="Z1345" s="29" t="s">
        <v>3390</v>
      </c>
    </row>
    <row r="1346" spans="1:26" ht="30" customHeight="1" thickBot="1" x14ac:dyDescent="0.25">
      <c r="A1346" s="17">
        <f t="shared" si="41"/>
        <v>1345</v>
      </c>
      <c r="B1346" s="18" t="s">
        <v>25</v>
      </c>
      <c r="C1346" s="19">
        <v>3220320735319</v>
      </c>
      <c r="D1346" s="19"/>
      <c r="E1346" s="20">
        <v>43472</v>
      </c>
      <c r="F1346" s="20">
        <v>47125</v>
      </c>
      <c r="G1346" s="21">
        <v>36535</v>
      </c>
      <c r="H1346" s="22">
        <f t="shared" ref="H1346:H1409" ca="1" si="42">INT((TODAY()-G1346)/365)</f>
        <v>26</v>
      </c>
      <c r="I1346" s="19" t="s">
        <v>26</v>
      </c>
      <c r="J1346" s="18" t="s">
        <v>27</v>
      </c>
      <c r="K1346" s="18"/>
      <c r="L1346" s="23" t="s">
        <v>4840</v>
      </c>
      <c r="M1346" s="23" t="s">
        <v>4531</v>
      </c>
      <c r="N1346" s="23" t="s">
        <v>1499</v>
      </c>
      <c r="O1346" s="18"/>
      <c r="P1346" s="24"/>
      <c r="Q1346" s="25">
        <v>46078</v>
      </c>
      <c r="R1346" s="13">
        <v>0</v>
      </c>
      <c r="S1346" s="26" t="str">
        <f>VLOOKUP(C1346,'[4]Daily Wages '!$B$6:$G$197,6,0)</f>
        <v>51400020160838110010</v>
      </c>
      <c r="T1346" s="25" t="s">
        <v>32</v>
      </c>
      <c r="U1346" s="25" t="s">
        <v>4808</v>
      </c>
      <c r="V1346" s="25"/>
      <c r="W1346" s="27" t="s">
        <v>4841</v>
      </c>
      <c r="X1346" s="28" t="s">
        <v>4842</v>
      </c>
      <c r="Y1346" s="28"/>
      <c r="Z1346" s="29" t="s">
        <v>3390</v>
      </c>
    </row>
    <row r="1347" spans="1:26" ht="30" customHeight="1" thickBot="1" x14ac:dyDescent="0.25">
      <c r="A1347" s="17">
        <f t="shared" si="41"/>
        <v>1346</v>
      </c>
      <c r="B1347" s="18" t="s">
        <v>25</v>
      </c>
      <c r="C1347" s="19">
        <v>3230394382272</v>
      </c>
      <c r="D1347" s="19"/>
      <c r="E1347" s="20">
        <v>45093</v>
      </c>
      <c r="F1347" s="20">
        <v>48746</v>
      </c>
      <c r="G1347" s="21">
        <v>32138</v>
      </c>
      <c r="H1347" s="22">
        <f t="shared" ca="1" si="42"/>
        <v>38</v>
      </c>
      <c r="I1347" s="19" t="s">
        <v>26</v>
      </c>
      <c r="J1347" s="18" t="s">
        <v>66</v>
      </c>
      <c r="K1347" s="18"/>
      <c r="L1347" s="23" t="s">
        <v>4843</v>
      </c>
      <c r="M1347" s="23" t="s">
        <v>4844</v>
      </c>
      <c r="N1347" s="23" t="s">
        <v>1295</v>
      </c>
      <c r="O1347" s="18"/>
      <c r="P1347" s="24"/>
      <c r="Q1347" s="25">
        <v>45992</v>
      </c>
      <c r="R1347" s="13">
        <v>0</v>
      </c>
      <c r="S1347" s="26" t="str">
        <f>VLOOKUP(C1347,'[1]Bazaar Salary'!$B$6:$J$1193,9,0)</f>
        <v>02810020154607970016</v>
      </c>
      <c r="T1347" s="25" t="s">
        <v>32</v>
      </c>
      <c r="U1347" s="25" t="s">
        <v>404</v>
      </c>
      <c r="V1347" s="25"/>
      <c r="W1347" s="27" t="s">
        <v>4845</v>
      </c>
      <c r="X1347" s="28" t="s">
        <v>4846</v>
      </c>
      <c r="Y1347" s="28"/>
      <c r="Z1347" s="29" t="s">
        <v>37</v>
      </c>
    </row>
    <row r="1348" spans="1:26" ht="30" customHeight="1" thickBot="1" x14ac:dyDescent="0.25">
      <c r="A1348" s="17">
        <f t="shared" ref="A1348:A1411" si="43">A1347+1</f>
        <v>1347</v>
      </c>
      <c r="B1348" s="18" t="s">
        <v>25</v>
      </c>
      <c r="C1348" s="19">
        <v>3230323561273</v>
      </c>
      <c r="D1348" s="19"/>
      <c r="E1348" s="20">
        <v>45506</v>
      </c>
      <c r="F1348" s="20">
        <v>49158</v>
      </c>
      <c r="G1348" s="21">
        <v>37055</v>
      </c>
      <c r="H1348" s="22">
        <f t="shared" ca="1" si="42"/>
        <v>25</v>
      </c>
      <c r="I1348" s="19" t="s">
        <v>26</v>
      </c>
      <c r="J1348" s="18" t="s">
        <v>27</v>
      </c>
      <c r="K1348" s="18"/>
      <c r="L1348" s="23" t="s">
        <v>4847</v>
      </c>
      <c r="M1348" s="23" t="s">
        <v>2530</v>
      </c>
      <c r="N1348" s="23" t="s">
        <v>1295</v>
      </c>
      <c r="O1348" s="18"/>
      <c r="P1348" s="24"/>
      <c r="Q1348" s="25">
        <v>45995</v>
      </c>
      <c r="R1348" s="13">
        <v>0</v>
      </c>
      <c r="S1348" s="26" t="str">
        <f>VLOOKUP(C1348,'[1]Bazaar Salary'!$B$6:$J$1193,9,0)</f>
        <v>02810010156474220012</v>
      </c>
      <c r="T1348" s="25" t="s">
        <v>32</v>
      </c>
      <c r="U1348" s="25" t="s">
        <v>404</v>
      </c>
      <c r="V1348" s="25"/>
      <c r="W1348" s="27" t="s">
        <v>4848</v>
      </c>
      <c r="X1348" s="28" t="s">
        <v>4849</v>
      </c>
      <c r="Y1348" s="28"/>
      <c r="Z1348" s="29" t="s">
        <v>37</v>
      </c>
    </row>
    <row r="1349" spans="1:26" ht="30" customHeight="1" thickBot="1" x14ac:dyDescent="0.25">
      <c r="A1349" s="17">
        <f t="shared" si="43"/>
        <v>1348</v>
      </c>
      <c r="B1349" s="18" t="s">
        <v>25</v>
      </c>
      <c r="C1349" s="19">
        <v>3230306593475</v>
      </c>
      <c r="D1349" s="19"/>
      <c r="E1349" s="20">
        <v>44294</v>
      </c>
      <c r="F1349" s="20">
        <v>47946</v>
      </c>
      <c r="G1349" s="21">
        <v>37123</v>
      </c>
      <c r="H1349" s="22">
        <f t="shared" ca="1" si="42"/>
        <v>24</v>
      </c>
      <c r="I1349" s="19" t="s">
        <v>26</v>
      </c>
      <c r="J1349" s="18" t="s">
        <v>27</v>
      </c>
      <c r="K1349" s="18"/>
      <c r="L1349" s="23" t="s">
        <v>4850</v>
      </c>
      <c r="M1349" s="23" t="s">
        <v>2550</v>
      </c>
      <c r="N1349" s="24" t="s">
        <v>468</v>
      </c>
      <c r="O1349" s="18"/>
      <c r="P1349" s="24"/>
      <c r="Q1349" s="25">
        <v>46023</v>
      </c>
      <c r="R1349" s="13">
        <v>0</v>
      </c>
      <c r="S1349" s="26" t="str">
        <f>VLOOKUP(C1349,'[1]Bazaar Salary'!$B$6:$J$1193,9,0)</f>
        <v>14420010151350170012</v>
      </c>
      <c r="T1349" s="25" t="s">
        <v>32</v>
      </c>
      <c r="U1349" s="25" t="s">
        <v>404</v>
      </c>
      <c r="V1349" s="25" t="s">
        <v>4851</v>
      </c>
      <c r="W1349" s="27" t="s">
        <v>4852</v>
      </c>
      <c r="X1349" s="28" t="s">
        <v>4853</v>
      </c>
      <c r="Y1349" s="28"/>
      <c r="Z1349" s="29" t="s">
        <v>37</v>
      </c>
    </row>
    <row r="1350" spans="1:26" ht="30" customHeight="1" thickBot="1" x14ac:dyDescent="0.25">
      <c r="A1350" s="17">
        <f t="shared" si="43"/>
        <v>1349</v>
      </c>
      <c r="B1350" s="18" t="s">
        <v>25</v>
      </c>
      <c r="C1350" s="19">
        <v>3230415554797</v>
      </c>
      <c r="D1350" s="19"/>
      <c r="E1350" s="20">
        <v>42848</v>
      </c>
      <c r="F1350" s="20">
        <v>46500</v>
      </c>
      <c r="G1350" s="21">
        <v>28126</v>
      </c>
      <c r="H1350" s="22">
        <f t="shared" ca="1" si="42"/>
        <v>49</v>
      </c>
      <c r="I1350" s="19" t="s">
        <v>26</v>
      </c>
      <c r="J1350" s="18" t="s">
        <v>27</v>
      </c>
      <c r="K1350" s="18"/>
      <c r="L1350" s="23" t="s">
        <v>4854</v>
      </c>
      <c r="M1350" s="23" t="s">
        <v>4855</v>
      </c>
      <c r="N1350" s="23" t="s">
        <v>1488</v>
      </c>
      <c r="O1350" s="18"/>
      <c r="P1350" s="24"/>
      <c r="Q1350" s="25">
        <v>45992</v>
      </c>
      <c r="R1350" s="13">
        <v>0</v>
      </c>
      <c r="S1350" s="26" t="str">
        <f>VLOOKUP(C1350,'[1]Bazaar Salary'!$B$6:$J$1193,9,0)</f>
        <v>02810020156526130017</v>
      </c>
      <c r="T1350" s="25" t="s">
        <v>32</v>
      </c>
      <c r="U1350" s="25" t="s">
        <v>404</v>
      </c>
      <c r="V1350" s="25"/>
      <c r="W1350" s="27" t="s">
        <v>4856</v>
      </c>
      <c r="X1350" s="28" t="s">
        <v>4857</v>
      </c>
      <c r="Y1350" s="28"/>
      <c r="Z1350" s="29" t="s">
        <v>37</v>
      </c>
    </row>
    <row r="1351" spans="1:26" ht="30" customHeight="1" thickBot="1" x14ac:dyDescent="0.25">
      <c r="A1351" s="17">
        <f t="shared" si="43"/>
        <v>1350</v>
      </c>
      <c r="B1351" s="18" t="s">
        <v>25</v>
      </c>
      <c r="C1351" s="19">
        <v>3230405656439</v>
      </c>
      <c r="D1351" s="19"/>
      <c r="E1351" s="20">
        <v>42803</v>
      </c>
      <c r="F1351" s="20">
        <v>46455</v>
      </c>
      <c r="G1351" s="21">
        <v>32645</v>
      </c>
      <c r="H1351" s="22">
        <f t="shared" ca="1" si="42"/>
        <v>37</v>
      </c>
      <c r="I1351" s="19" t="s">
        <v>26</v>
      </c>
      <c r="J1351" s="18" t="s">
        <v>27</v>
      </c>
      <c r="K1351" s="18"/>
      <c r="L1351" s="23" t="s">
        <v>1035</v>
      </c>
      <c r="M1351" s="23" t="s">
        <v>2604</v>
      </c>
      <c r="N1351" s="23" t="s">
        <v>1488</v>
      </c>
      <c r="O1351" s="18"/>
      <c r="P1351" s="24"/>
      <c r="Q1351" s="25">
        <v>45992</v>
      </c>
      <c r="R1351" s="13">
        <v>0</v>
      </c>
      <c r="S1351" s="26" t="str">
        <f>VLOOKUP(C1351,'[1]Bazaar Salary'!$B$6:$J$1193,9,0)</f>
        <v>02810010156043610015</v>
      </c>
      <c r="T1351" s="25" t="s">
        <v>32</v>
      </c>
      <c r="U1351" s="25" t="s">
        <v>404</v>
      </c>
      <c r="V1351" s="25"/>
      <c r="W1351" s="27" t="s">
        <v>4858</v>
      </c>
      <c r="X1351" s="28" t="s">
        <v>4859</v>
      </c>
      <c r="Y1351" s="28"/>
      <c r="Z1351" s="29" t="s">
        <v>37</v>
      </c>
    </row>
    <row r="1352" spans="1:26" ht="30" customHeight="1" thickBot="1" x14ac:dyDescent="0.25">
      <c r="A1352" s="17">
        <f t="shared" si="43"/>
        <v>1351</v>
      </c>
      <c r="B1352" s="18" t="s">
        <v>25</v>
      </c>
      <c r="C1352" s="19">
        <v>3230320829249</v>
      </c>
      <c r="D1352" s="19"/>
      <c r="E1352" s="20">
        <v>42388</v>
      </c>
      <c r="F1352" s="20">
        <v>46041</v>
      </c>
      <c r="G1352" s="21">
        <v>34268</v>
      </c>
      <c r="H1352" s="22">
        <f t="shared" ca="1" si="42"/>
        <v>32</v>
      </c>
      <c r="I1352" s="19" t="s">
        <v>26</v>
      </c>
      <c r="J1352" s="18" t="s">
        <v>27</v>
      </c>
      <c r="K1352" s="18"/>
      <c r="L1352" s="23" t="s">
        <v>1542</v>
      </c>
      <c r="M1352" s="23" t="s">
        <v>1169</v>
      </c>
      <c r="N1352" s="23" t="s">
        <v>1488</v>
      </c>
      <c r="O1352" s="18"/>
      <c r="P1352" s="24"/>
      <c r="Q1352" s="25">
        <v>45992</v>
      </c>
      <c r="R1352" s="13">
        <v>0</v>
      </c>
      <c r="S1352" s="26" t="str">
        <f>VLOOKUP(C1352,'[1]Bazaar Salary'!$B$6:$J$1193,9,0)</f>
        <v>02810020154787530014</v>
      </c>
      <c r="T1352" s="25" t="s">
        <v>32</v>
      </c>
      <c r="U1352" s="25" t="s">
        <v>404</v>
      </c>
      <c r="V1352" s="25"/>
      <c r="W1352" s="27" t="s">
        <v>4860</v>
      </c>
      <c r="X1352" s="28" t="s">
        <v>4861</v>
      </c>
      <c r="Y1352" s="28"/>
      <c r="Z1352" s="29" t="s">
        <v>37</v>
      </c>
    </row>
    <row r="1353" spans="1:26" ht="30" customHeight="1" thickBot="1" x14ac:dyDescent="0.25">
      <c r="A1353" s="17">
        <f t="shared" si="43"/>
        <v>1352</v>
      </c>
      <c r="B1353" s="18" t="s">
        <v>25</v>
      </c>
      <c r="C1353" s="19">
        <v>3230455199241</v>
      </c>
      <c r="D1353" s="19"/>
      <c r="E1353" s="20">
        <v>42605</v>
      </c>
      <c r="F1353" s="20">
        <v>46257</v>
      </c>
      <c r="G1353" s="21">
        <v>33299</v>
      </c>
      <c r="H1353" s="22">
        <f t="shared" ca="1" si="42"/>
        <v>35</v>
      </c>
      <c r="I1353" s="19" t="s">
        <v>26</v>
      </c>
      <c r="J1353" s="18" t="s">
        <v>27</v>
      </c>
      <c r="K1353" s="18"/>
      <c r="L1353" s="23" t="s">
        <v>1028</v>
      </c>
      <c r="M1353" s="23" t="s">
        <v>4862</v>
      </c>
      <c r="N1353" s="23" t="s">
        <v>1488</v>
      </c>
      <c r="O1353" s="18"/>
      <c r="P1353" s="24"/>
      <c r="Q1353" s="25">
        <v>45992</v>
      </c>
      <c r="R1353" s="13">
        <v>0</v>
      </c>
      <c r="S1353" s="26" t="str">
        <f>VLOOKUP(C1353,'[1]Bazaar Salary'!$B$6:$J$1193,9,0)</f>
        <v>02810010154832390010</v>
      </c>
      <c r="T1353" s="25" t="s">
        <v>32</v>
      </c>
      <c r="U1353" s="25" t="s">
        <v>404</v>
      </c>
      <c r="V1353" s="25"/>
      <c r="W1353" s="27" t="s">
        <v>4863</v>
      </c>
      <c r="X1353" s="28" t="s">
        <v>4864</v>
      </c>
      <c r="Y1353" s="28"/>
      <c r="Z1353" s="29" t="s">
        <v>37</v>
      </c>
    </row>
    <row r="1354" spans="1:26" ht="30" customHeight="1" thickBot="1" x14ac:dyDescent="0.25">
      <c r="A1354" s="17">
        <f t="shared" si="43"/>
        <v>1353</v>
      </c>
      <c r="B1354" s="18" t="s">
        <v>25</v>
      </c>
      <c r="C1354" s="19">
        <v>3230490287921</v>
      </c>
      <c r="D1354" s="19"/>
      <c r="E1354" s="20">
        <v>45445</v>
      </c>
      <c r="F1354" s="20">
        <v>49097</v>
      </c>
      <c r="G1354" s="21">
        <v>38762</v>
      </c>
      <c r="H1354" s="22">
        <f t="shared" ca="1" si="42"/>
        <v>20</v>
      </c>
      <c r="I1354" s="19" t="s">
        <v>26</v>
      </c>
      <c r="J1354" s="18" t="s">
        <v>27</v>
      </c>
      <c r="K1354" s="18"/>
      <c r="L1354" s="23" t="s">
        <v>4865</v>
      </c>
      <c r="M1354" s="23" t="s">
        <v>4866</v>
      </c>
      <c r="N1354" s="23" t="s">
        <v>1488</v>
      </c>
      <c r="O1354" s="18"/>
      <c r="P1354" s="24"/>
      <c r="Q1354" s="25">
        <v>45992</v>
      </c>
      <c r="R1354" s="13">
        <v>0</v>
      </c>
      <c r="S1354" s="26" t="str">
        <f>VLOOKUP(C1354,'[1]Bazaar Salary'!$B$6:$J$1193,9,0)</f>
        <v>02810010154661800011</v>
      </c>
      <c r="T1354" s="25" t="s">
        <v>32</v>
      </c>
      <c r="U1354" s="25" t="s">
        <v>404</v>
      </c>
      <c r="V1354" s="25"/>
      <c r="W1354" s="27" t="s">
        <v>4867</v>
      </c>
      <c r="X1354" s="28" t="s">
        <v>4868</v>
      </c>
      <c r="Y1354" s="28"/>
      <c r="Z1354" s="29" t="s">
        <v>37</v>
      </c>
    </row>
    <row r="1355" spans="1:26" ht="30" customHeight="1" thickBot="1" x14ac:dyDescent="0.25">
      <c r="A1355" s="17">
        <f t="shared" si="43"/>
        <v>1354</v>
      </c>
      <c r="B1355" s="18" t="s">
        <v>25</v>
      </c>
      <c r="C1355" s="19">
        <v>3230323938279</v>
      </c>
      <c r="D1355" s="19"/>
      <c r="E1355" s="20">
        <v>43384</v>
      </c>
      <c r="F1355" s="20">
        <v>47037</v>
      </c>
      <c r="G1355" s="21">
        <v>32300</v>
      </c>
      <c r="H1355" s="22">
        <f t="shared" ca="1" si="42"/>
        <v>38</v>
      </c>
      <c r="I1355" s="19" t="s">
        <v>26</v>
      </c>
      <c r="J1355" s="18" t="s">
        <v>27</v>
      </c>
      <c r="K1355" s="18"/>
      <c r="L1355" s="23" t="s">
        <v>4095</v>
      </c>
      <c r="M1355" s="23" t="s">
        <v>812</v>
      </c>
      <c r="N1355" s="23" t="s">
        <v>1499</v>
      </c>
      <c r="O1355" s="18"/>
      <c r="P1355" s="24"/>
      <c r="Q1355" s="25">
        <v>45992</v>
      </c>
      <c r="R1355" s="13">
        <v>0</v>
      </c>
      <c r="S1355" s="26" t="str">
        <f>VLOOKUP(C1355,'[1]Bazaar Salary'!$B$6:$J$1193,9,0)</f>
        <v>02810010153278400017</v>
      </c>
      <c r="T1355" s="25" t="s">
        <v>32</v>
      </c>
      <c r="U1355" s="25" t="s">
        <v>404</v>
      </c>
      <c r="V1355" s="25" t="s">
        <v>884</v>
      </c>
      <c r="W1355" s="27" t="s">
        <v>4869</v>
      </c>
      <c r="X1355" s="28" t="s">
        <v>4870</v>
      </c>
      <c r="Y1355" s="28"/>
      <c r="Z1355" s="29" t="s">
        <v>37</v>
      </c>
    </row>
    <row r="1356" spans="1:26" ht="30" customHeight="1" thickBot="1" x14ac:dyDescent="0.25">
      <c r="A1356" s="17">
        <f t="shared" si="43"/>
        <v>1355</v>
      </c>
      <c r="B1356" s="18" t="s">
        <v>25</v>
      </c>
      <c r="C1356" s="19">
        <v>3630251807497</v>
      </c>
      <c r="D1356" s="19"/>
      <c r="E1356" s="20">
        <v>45693</v>
      </c>
      <c r="F1356" s="20">
        <v>45693</v>
      </c>
      <c r="G1356" s="21">
        <v>36188</v>
      </c>
      <c r="H1356" s="22">
        <f t="shared" ca="1" si="42"/>
        <v>27</v>
      </c>
      <c r="I1356" s="19" t="s">
        <v>912</v>
      </c>
      <c r="J1356" s="18" t="s">
        <v>27</v>
      </c>
      <c r="K1356" s="18"/>
      <c r="L1356" s="23" t="s">
        <v>4871</v>
      </c>
      <c r="M1356" s="23" t="s">
        <v>2747</v>
      </c>
      <c r="N1356" s="23" t="s">
        <v>1499</v>
      </c>
      <c r="O1356" s="18"/>
      <c r="P1356" s="24"/>
      <c r="Q1356" s="25">
        <v>45992</v>
      </c>
      <c r="R1356" s="13">
        <v>0</v>
      </c>
      <c r="S1356" s="26" t="str">
        <f>VLOOKUP(C1356,'[1]Bazaar Salary'!$B$6:$J$1193,9,0)</f>
        <v>02530020154441660014</v>
      </c>
      <c r="T1356" s="25" t="s">
        <v>32</v>
      </c>
      <c r="U1356" s="25" t="s">
        <v>404</v>
      </c>
      <c r="V1356" s="25"/>
      <c r="W1356" s="27" t="s">
        <v>4872</v>
      </c>
      <c r="X1356" s="28" t="s">
        <v>4873</v>
      </c>
      <c r="Y1356" s="28"/>
      <c r="Z1356" s="29" t="s">
        <v>37</v>
      </c>
    </row>
    <row r="1357" spans="1:26" ht="30" customHeight="1" thickBot="1" x14ac:dyDescent="0.25">
      <c r="A1357" s="17">
        <f t="shared" si="43"/>
        <v>1356</v>
      </c>
      <c r="B1357" s="18" t="s">
        <v>25</v>
      </c>
      <c r="C1357" s="19">
        <v>3230447309347</v>
      </c>
      <c r="D1357" s="19"/>
      <c r="E1357" s="20">
        <v>45658</v>
      </c>
      <c r="F1357" s="20">
        <v>49310</v>
      </c>
      <c r="G1357" s="21">
        <v>38453</v>
      </c>
      <c r="H1357" s="22">
        <f t="shared" ca="1" si="42"/>
        <v>21</v>
      </c>
      <c r="I1357" s="19" t="s">
        <v>26</v>
      </c>
      <c r="J1357" s="18" t="s">
        <v>27</v>
      </c>
      <c r="K1357" s="18"/>
      <c r="L1357" s="23" t="s">
        <v>4874</v>
      </c>
      <c r="M1357" s="23" t="s">
        <v>4875</v>
      </c>
      <c r="N1357" s="23" t="s">
        <v>1499</v>
      </c>
      <c r="O1357" s="18"/>
      <c r="P1357" s="24"/>
      <c r="Q1357" s="25">
        <v>45992</v>
      </c>
      <c r="R1357" s="13">
        <v>0</v>
      </c>
      <c r="S1357" s="26" t="str">
        <f>VLOOKUP(C1357,'[1]Bazaar Salary'!$B$6:$J$1193,9,0)</f>
        <v>02810010155732160010</v>
      </c>
      <c r="T1357" s="25" t="s">
        <v>32</v>
      </c>
      <c r="U1357" s="25" t="s">
        <v>404</v>
      </c>
      <c r="V1357" s="25"/>
      <c r="W1357" s="27" t="s">
        <v>4876</v>
      </c>
      <c r="X1357" s="28" t="s">
        <v>4877</v>
      </c>
      <c r="Y1357" s="28"/>
      <c r="Z1357" s="29" t="s">
        <v>37</v>
      </c>
    </row>
    <row r="1358" spans="1:26" ht="30" customHeight="1" thickBot="1" x14ac:dyDescent="0.25">
      <c r="A1358" s="17">
        <f t="shared" si="43"/>
        <v>1357</v>
      </c>
      <c r="B1358" s="18" t="s">
        <v>25</v>
      </c>
      <c r="C1358" s="19">
        <v>3230421538327</v>
      </c>
      <c r="D1358" s="19"/>
      <c r="E1358" s="20">
        <v>45730</v>
      </c>
      <c r="F1358" s="20">
        <v>49382</v>
      </c>
      <c r="G1358" s="21">
        <v>38995</v>
      </c>
      <c r="H1358" s="22">
        <f t="shared" ca="1" si="42"/>
        <v>19</v>
      </c>
      <c r="I1358" s="19" t="s">
        <v>26</v>
      </c>
      <c r="J1358" s="18" t="s">
        <v>27</v>
      </c>
      <c r="K1358" s="18"/>
      <c r="L1358" s="23" t="s">
        <v>4878</v>
      </c>
      <c r="M1358" s="23" t="s">
        <v>4879</v>
      </c>
      <c r="N1358" s="23" t="s">
        <v>1499</v>
      </c>
      <c r="O1358" s="18"/>
      <c r="P1358" s="24"/>
      <c r="Q1358" s="25">
        <v>45992</v>
      </c>
      <c r="R1358" s="13">
        <v>0</v>
      </c>
      <c r="S1358" s="26" t="str">
        <f>VLOOKUP(C1358,'[1]Bazaar Salary'!$B$6:$J$1193,9,0)</f>
        <v>02810020154607720015</v>
      </c>
      <c r="T1358" s="25" t="s">
        <v>32</v>
      </c>
      <c r="U1358" s="25" t="s">
        <v>404</v>
      </c>
      <c r="V1358" s="25" t="s">
        <v>3391</v>
      </c>
      <c r="W1358" s="27" t="s">
        <v>4880</v>
      </c>
      <c r="X1358" s="28" t="s">
        <v>4881</v>
      </c>
      <c r="Y1358" s="28"/>
      <c r="Z1358" s="29" t="s">
        <v>37</v>
      </c>
    </row>
    <row r="1359" spans="1:26" ht="30" customHeight="1" thickBot="1" x14ac:dyDescent="0.25">
      <c r="A1359" s="17">
        <f t="shared" si="43"/>
        <v>1358</v>
      </c>
      <c r="B1359" s="18" t="s">
        <v>25</v>
      </c>
      <c r="C1359" s="19">
        <v>3230259655097</v>
      </c>
      <c r="D1359" s="19"/>
      <c r="E1359" s="20">
        <v>43748</v>
      </c>
      <c r="F1359" s="20">
        <v>47401</v>
      </c>
      <c r="G1359" s="21">
        <v>37026</v>
      </c>
      <c r="H1359" s="22">
        <f t="shared" ca="1" si="42"/>
        <v>25</v>
      </c>
      <c r="I1359" s="19" t="s">
        <v>26</v>
      </c>
      <c r="J1359" s="18" t="s">
        <v>27</v>
      </c>
      <c r="K1359" s="18"/>
      <c r="L1359" s="23" t="s">
        <v>4882</v>
      </c>
      <c r="M1359" s="23" t="s">
        <v>4883</v>
      </c>
      <c r="N1359" s="23" t="s">
        <v>1499</v>
      </c>
      <c r="O1359" s="18"/>
      <c r="P1359" s="24"/>
      <c r="Q1359" s="25">
        <v>45992</v>
      </c>
      <c r="R1359" s="13">
        <v>0</v>
      </c>
      <c r="S1359" s="26" t="str">
        <f>VLOOKUP(C1359,'[1]Bazaar Salary'!$B$6:$J$1193,9,0)</f>
        <v>02810010154587570010</v>
      </c>
      <c r="T1359" s="25" t="s">
        <v>32</v>
      </c>
      <c r="U1359" s="25" t="s">
        <v>404</v>
      </c>
      <c r="V1359" s="25" t="s">
        <v>3391</v>
      </c>
      <c r="W1359" s="27" t="s">
        <v>4884</v>
      </c>
      <c r="X1359" s="28" t="s">
        <v>4885</v>
      </c>
      <c r="Y1359" s="28"/>
      <c r="Z1359" s="29" t="s">
        <v>37</v>
      </c>
    </row>
    <row r="1360" spans="1:26" ht="30" customHeight="1" thickBot="1" x14ac:dyDescent="0.25">
      <c r="A1360" s="17">
        <f t="shared" si="43"/>
        <v>1359</v>
      </c>
      <c r="B1360" s="18" t="s">
        <v>25</v>
      </c>
      <c r="C1360" s="19">
        <v>3230351887807</v>
      </c>
      <c r="D1360" s="19"/>
      <c r="E1360" s="20">
        <v>45449</v>
      </c>
      <c r="F1360" s="20">
        <v>49101</v>
      </c>
      <c r="G1360" s="21">
        <v>38701</v>
      </c>
      <c r="H1360" s="22">
        <f t="shared" ca="1" si="42"/>
        <v>20</v>
      </c>
      <c r="I1360" s="19" t="s">
        <v>26</v>
      </c>
      <c r="J1360" s="18" t="s">
        <v>27</v>
      </c>
      <c r="K1360" s="18"/>
      <c r="L1360" s="23" t="s">
        <v>881</v>
      </c>
      <c r="M1360" s="23" t="s">
        <v>2437</v>
      </c>
      <c r="N1360" s="23" t="s">
        <v>1499</v>
      </c>
      <c r="O1360" s="18"/>
      <c r="P1360" s="24"/>
      <c r="Q1360" s="25">
        <v>45992</v>
      </c>
      <c r="R1360" s="13">
        <v>0</v>
      </c>
      <c r="S1360" s="26" t="str">
        <f>VLOOKUP(C1360,'[1]Bazaar Salary'!$B$6:$J$1193,9,0)</f>
        <v>02810020154643860019</v>
      </c>
      <c r="T1360" s="25" t="s">
        <v>32</v>
      </c>
      <c r="U1360" s="25" t="s">
        <v>404</v>
      </c>
      <c r="V1360" s="25"/>
      <c r="W1360" s="27" t="s">
        <v>4886</v>
      </c>
      <c r="X1360" s="28" t="s">
        <v>4887</v>
      </c>
      <c r="Y1360" s="28"/>
      <c r="Z1360" s="29" t="s">
        <v>37</v>
      </c>
    </row>
    <row r="1361" spans="1:26" ht="30" customHeight="1" thickBot="1" x14ac:dyDescent="0.25">
      <c r="A1361" s="17">
        <f t="shared" si="43"/>
        <v>1360</v>
      </c>
      <c r="B1361" s="18" t="s">
        <v>25</v>
      </c>
      <c r="C1361" s="19">
        <v>3230319064303</v>
      </c>
      <c r="D1361" s="19"/>
      <c r="E1361" s="20">
        <v>43460</v>
      </c>
      <c r="F1361" s="20">
        <v>47113</v>
      </c>
      <c r="G1361" s="21">
        <v>36691</v>
      </c>
      <c r="H1361" s="22">
        <f t="shared" ca="1" si="42"/>
        <v>26</v>
      </c>
      <c r="I1361" s="19" t="s">
        <v>26</v>
      </c>
      <c r="J1361" s="18" t="s">
        <v>27</v>
      </c>
      <c r="K1361" s="18"/>
      <c r="L1361" s="23" t="s">
        <v>881</v>
      </c>
      <c r="M1361" s="23" t="s">
        <v>4888</v>
      </c>
      <c r="N1361" s="23" t="s">
        <v>1499</v>
      </c>
      <c r="O1361" s="18"/>
      <c r="P1361" s="24"/>
      <c r="Q1361" s="25">
        <v>45992</v>
      </c>
      <c r="R1361" s="13">
        <v>0</v>
      </c>
      <c r="S1361" s="26" t="str">
        <f>VLOOKUP(C1361,'[1]Bazaar Salary'!$B$6:$J$1193,9,0)</f>
        <v>02810010154871370010</v>
      </c>
      <c r="T1361" s="25" t="s">
        <v>32</v>
      </c>
      <c r="U1361" s="25" t="s">
        <v>404</v>
      </c>
      <c r="V1361" s="25"/>
      <c r="W1361" s="27" t="s">
        <v>4889</v>
      </c>
      <c r="X1361" s="28" t="s">
        <v>4890</v>
      </c>
      <c r="Y1361" s="28"/>
      <c r="Z1361" s="29" t="s">
        <v>37</v>
      </c>
    </row>
    <row r="1362" spans="1:26" ht="30" customHeight="1" thickBot="1" x14ac:dyDescent="0.25">
      <c r="A1362" s="17">
        <f t="shared" si="43"/>
        <v>1361</v>
      </c>
      <c r="B1362" s="18" t="s">
        <v>25</v>
      </c>
      <c r="C1362" s="19">
        <v>3230457734771</v>
      </c>
      <c r="D1362" s="19"/>
      <c r="E1362" s="20">
        <v>45715</v>
      </c>
      <c r="F1362" s="20">
        <v>49367</v>
      </c>
      <c r="G1362" s="21">
        <v>38936</v>
      </c>
      <c r="H1362" s="22">
        <f t="shared" ca="1" si="42"/>
        <v>19</v>
      </c>
      <c r="I1362" s="19" t="s">
        <v>26</v>
      </c>
      <c r="J1362" s="18" t="s">
        <v>27</v>
      </c>
      <c r="K1362" s="18"/>
      <c r="L1362" s="23" t="s">
        <v>4891</v>
      </c>
      <c r="M1362" s="23" t="s">
        <v>707</v>
      </c>
      <c r="N1362" s="23" t="s">
        <v>1499</v>
      </c>
      <c r="O1362" s="18"/>
      <c r="P1362" s="24"/>
      <c r="Q1362" s="25">
        <v>45992</v>
      </c>
      <c r="R1362" s="13">
        <v>0</v>
      </c>
      <c r="S1362" s="26" t="str">
        <f>VLOOKUP(C1362,'[1]Bazaar Salary'!$B$6:$J$1193,9,0)</f>
        <v>02810010156584620011</v>
      </c>
      <c r="T1362" s="25" t="s">
        <v>32</v>
      </c>
      <c r="U1362" s="25" t="s">
        <v>404</v>
      </c>
      <c r="V1362" s="25"/>
      <c r="W1362" s="27" t="s">
        <v>4892</v>
      </c>
      <c r="X1362" s="28" t="s">
        <v>4893</v>
      </c>
      <c r="Y1362" s="28"/>
      <c r="Z1362" s="29" t="s">
        <v>37</v>
      </c>
    </row>
    <row r="1363" spans="1:26" ht="30" customHeight="1" thickBot="1" x14ac:dyDescent="0.25">
      <c r="A1363" s="17">
        <f t="shared" si="43"/>
        <v>1362</v>
      </c>
      <c r="B1363" s="18" t="s">
        <v>25</v>
      </c>
      <c r="C1363" s="19">
        <v>3230389602655</v>
      </c>
      <c r="D1363" s="19"/>
      <c r="E1363" s="20">
        <v>43243</v>
      </c>
      <c r="F1363" s="20">
        <v>46896</v>
      </c>
      <c r="G1363" s="21">
        <v>32248</v>
      </c>
      <c r="H1363" s="22">
        <f t="shared" ca="1" si="42"/>
        <v>38</v>
      </c>
      <c r="I1363" s="19" t="s">
        <v>26</v>
      </c>
      <c r="J1363" s="18" t="s">
        <v>27</v>
      </c>
      <c r="K1363" s="18"/>
      <c r="L1363" s="23" t="s">
        <v>4894</v>
      </c>
      <c r="M1363" s="23" t="s">
        <v>1205</v>
      </c>
      <c r="N1363" s="23" t="s">
        <v>1499</v>
      </c>
      <c r="O1363" s="18"/>
      <c r="P1363" s="24"/>
      <c r="Q1363" s="25">
        <v>45992</v>
      </c>
      <c r="R1363" s="13">
        <v>0</v>
      </c>
      <c r="S1363" s="26" t="str">
        <f>VLOOKUP(C1363,'[1]Bazaar Salary'!$B$6:$J$1193,9,0)</f>
        <v>08480010055037210013</v>
      </c>
      <c r="T1363" s="25" t="s">
        <v>32</v>
      </c>
      <c r="U1363" s="25" t="s">
        <v>404</v>
      </c>
      <c r="V1363" s="25" t="s">
        <v>884</v>
      </c>
      <c r="W1363" s="27" t="s">
        <v>4895</v>
      </c>
      <c r="X1363" s="28" t="s">
        <v>4896</v>
      </c>
      <c r="Y1363" s="28"/>
      <c r="Z1363" s="29" t="s">
        <v>37</v>
      </c>
    </row>
    <row r="1364" spans="1:26" ht="30" customHeight="1" thickBot="1" x14ac:dyDescent="0.25">
      <c r="A1364" s="17">
        <f t="shared" si="43"/>
        <v>1363</v>
      </c>
      <c r="B1364" s="18" t="s">
        <v>25</v>
      </c>
      <c r="C1364" s="19">
        <v>3230353663585</v>
      </c>
      <c r="D1364" s="19"/>
      <c r="E1364" s="20">
        <v>43689</v>
      </c>
      <c r="F1364" s="20">
        <v>47342</v>
      </c>
      <c r="G1364" s="21">
        <v>36384</v>
      </c>
      <c r="H1364" s="22">
        <f t="shared" ca="1" si="42"/>
        <v>26</v>
      </c>
      <c r="I1364" s="19" t="s">
        <v>26</v>
      </c>
      <c r="J1364" s="18" t="s">
        <v>27</v>
      </c>
      <c r="K1364" s="18"/>
      <c r="L1364" s="23" t="s">
        <v>4897</v>
      </c>
      <c r="M1364" s="23" t="s">
        <v>4888</v>
      </c>
      <c r="N1364" s="23" t="s">
        <v>1499</v>
      </c>
      <c r="O1364" s="18"/>
      <c r="P1364" s="24"/>
      <c r="Q1364" s="25">
        <v>45992</v>
      </c>
      <c r="R1364" s="13">
        <v>0</v>
      </c>
      <c r="S1364" s="26" t="str">
        <f>VLOOKUP(C1364,'[1]Bazaar Salary'!$B$6:$J$1193,9,0)</f>
        <v>02810010153381450019</v>
      </c>
      <c r="T1364" s="25" t="s">
        <v>32</v>
      </c>
      <c r="U1364" s="25" t="s">
        <v>404</v>
      </c>
      <c r="V1364" s="25" t="s">
        <v>884</v>
      </c>
      <c r="W1364" s="27" t="s">
        <v>4869</v>
      </c>
      <c r="X1364" s="28" t="s">
        <v>4898</v>
      </c>
      <c r="Y1364" s="28"/>
      <c r="Z1364" s="29" t="s">
        <v>37</v>
      </c>
    </row>
    <row r="1365" spans="1:26" ht="30" customHeight="1" thickBot="1" x14ac:dyDescent="0.25">
      <c r="A1365" s="17">
        <f t="shared" si="43"/>
        <v>1364</v>
      </c>
      <c r="B1365" s="18" t="s">
        <v>25</v>
      </c>
      <c r="C1365" s="19">
        <v>3530171140923</v>
      </c>
      <c r="D1365" s="19"/>
      <c r="E1365" s="20">
        <v>45648</v>
      </c>
      <c r="F1365" s="20">
        <v>49300</v>
      </c>
      <c r="G1365" s="21">
        <v>37340</v>
      </c>
      <c r="H1365" s="22">
        <f t="shared" ca="1" si="42"/>
        <v>24</v>
      </c>
      <c r="I1365" s="19" t="s">
        <v>26</v>
      </c>
      <c r="J1365" s="18" t="s">
        <v>27</v>
      </c>
      <c r="K1365" s="18"/>
      <c r="L1365" s="23" t="s">
        <v>4899</v>
      </c>
      <c r="M1365" s="23" t="s">
        <v>4900</v>
      </c>
      <c r="N1365" s="23" t="s">
        <v>1499</v>
      </c>
      <c r="O1365" s="18"/>
      <c r="P1365" s="24"/>
      <c r="Q1365" s="25">
        <v>46000</v>
      </c>
      <c r="R1365" s="13">
        <v>0</v>
      </c>
      <c r="S1365" s="26" t="str">
        <f>VLOOKUP(C1365,'[1]Bazaar Salary'!$B$6:$J$1193,9,0)</f>
        <v>02880010150327120010</v>
      </c>
      <c r="T1365" s="25" t="s">
        <v>32</v>
      </c>
      <c r="U1365" s="25" t="s">
        <v>404</v>
      </c>
      <c r="V1365" s="25"/>
      <c r="W1365" s="27" t="s">
        <v>4901</v>
      </c>
      <c r="X1365" s="28" t="s">
        <v>4902</v>
      </c>
      <c r="Y1365" s="28"/>
      <c r="Z1365" s="29" t="s">
        <v>37</v>
      </c>
    </row>
    <row r="1366" spans="1:26" ht="30" customHeight="1" thickBot="1" x14ac:dyDescent="0.25">
      <c r="A1366" s="17">
        <f t="shared" si="43"/>
        <v>1365</v>
      </c>
      <c r="B1366" s="18" t="s">
        <v>25</v>
      </c>
      <c r="C1366" s="19">
        <v>6110125973611</v>
      </c>
      <c r="D1366" s="19"/>
      <c r="E1366" s="20">
        <v>45063</v>
      </c>
      <c r="F1366" s="20">
        <v>48716</v>
      </c>
      <c r="G1366" s="21">
        <v>38309</v>
      </c>
      <c r="H1366" s="22">
        <f t="shared" ca="1" si="42"/>
        <v>21</v>
      </c>
      <c r="I1366" s="19" t="s">
        <v>26</v>
      </c>
      <c r="J1366" s="18" t="s">
        <v>27</v>
      </c>
      <c r="K1366" s="18"/>
      <c r="L1366" s="23" t="s">
        <v>4903</v>
      </c>
      <c r="M1366" s="23" t="s">
        <v>414</v>
      </c>
      <c r="N1366" s="23" t="s">
        <v>1067</v>
      </c>
      <c r="O1366" s="18"/>
      <c r="P1366" s="24"/>
      <c r="Q1366" s="25">
        <v>46013</v>
      </c>
      <c r="R1366" s="13">
        <v>0</v>
      </c>
      <c r="S1366" s="26" t="str">
        <f>VLOOKUP(C1366,'[3]May-26'!$B$5:$H$89,7,0)</f>
        <v>02810010157003660011</v>
      </c>
      <c r="T1366" s="25" t="s">
        <v>32</v>
      </c>
      <c r="U1366" s="25" t="s">
        <v>404</v>
      </c>
      <c r="V1366" s="25"/>
      <c r="W1366" s="27" t="s">
        <v>4904</v>
      </c>
      <c r="X1366" s="28" t="s">
        <v>4905</v>
      </c>
      <c r="Y1366" s="28"/>
      <c r="Z1366" s="29" t="s">
        <v>3390</v>
      </c>
    </row>
    <row r="1367" spans="1:26" ht="30" customHeight="1" thickBot="1" x14ac:dyDescent="0.25">
      <c r="A1367" s="17">
        <f t="shared" si="43"/>
        <v>1366</v>
      </c>
      <c r="B1367" s="18" t="s">
        <v>25</v>
      </c>
      <c r="C1367" s="19">
        <v>3520216837975</v>
      </c>
      <c r="D1367" s="19"/>
      <c r="E1367" s="20">
        <v>44441</v>
      </c>
      <c r="F1367" s="20">
        <v>48093</v>
      </c>
      <c r="G1367" s="21">
        <v>37803</v>
      </c>
      <c r="H1367" s="22">
        <f t="shared" ca="1" si="42"/>
        <v>22</v>
      </c>
      <c r="I1367" s="19" t="s">
        <v>26</v>
      </c>
      <c r="J1367" s="18" t="s">
        <v>27</v>
      </c>
      <c r="K1367" s="18"/>
      <c r="L1367" s="24" t="s">
        <v>4906</v>
      </c>
      <c r="M1367" s="23" t="s">
        <v>4907</v>
      </c>
      <c r="N1367" s="24" t="s">
        <v>1295</v>
      </c>
      <c r="O1367" s="18"/>
      <c r="P1367" s="24"/>
      <c r="Q1367" s="25">
        <v>46039</v>
      </c>
      <c r="R1367" s="13">
        <v>0</v>
      </c>
      <c r="S1367" s="26" t="str">
        <f>VLOOKUP(C1367,'[1]Bazaar Salary'!$B$6:$J$1193,9,0)</f>
        <v>11950010124864740012</v>
      </c>
      <c r="T1367" s="25" t="s">
        <v>32</v>
      </c>
      <c r="U1367" s="25" t="s">
        <v>2727</v>
      </c>
      <c r="V1367" s="25"/>
      <c r="W1367" s="27" t="s">
        <v>4908</v>
      </c>
      <c r="X1367" s="28" t="s">
        <v>4909</v>
      </c>
      <c r="Y1367" s="28"/>
      <c r="Z1367" s="29" t="s">
        <v>37</v>
      </c>
    </row>
    <row r="1368" spans="1:26" ht="30" customHeight="1" thickBot="1" x14ac:dyDescent="0.25">
      <c r="A1368" s="17">
        <f t="shared" si="43"/>
        <v>1367</v>
      </c>
      <c r="B1368" s="18" t="s">
        <v>25</v>
      </c>
      <c r="C1368" s="19">
        <v>3510142439677</v>
      </c>
      <c r="D1368" s="19"/>
      <c r="E1368" s="20">
        <v>45881</v>
      </c>
      <c r="F1368" s="20">
        <v>49533</v>
      </c>
      <c r="G1368" s="21">
        <v>36573</v>
      </c>
      <c r="H1368" s="22">
        <f t="shared" ca="1" si="42"/>
        <v>26</v>
      </c>
      <c r="I1368" s="19" t="s">
        <v>26</v>
      </c>
      <c r="J1368" s="18" t="s">
        <v>27</v>
      </c>
      <c r="K1368" s="18"/>
      <c r="L1368" s="24" t="s">
        <v>4910</v>
      </c>
      <c r="M1368" s="23" t="s">
        <v>1928</v>
      </c>
      <c r="N1368" s="24" t="s">
        <v>468</v>
      </c>
      <c r="O1368" s="18"/>
      <c r="P1368" s="24"/>
      <c r="Q1368" s="25">
        <v>46039</v>
      </c>
      <c r="R1368" s="13">
        <v>0</v>
      </c>
      <c r="S1368" s="26" t="str">
        <f>VLOOKUP(C1368,'[1]Bazaar Salary'!$B$6:$J$1193,9,0)</f>
        <v>01530010158620090019</v>
      </c>
      <c r="T1368" s="25" t="s">
        <v>32</v>
      </c>
      <c r="U1368" s="25" t="s">
        <v>2727</v>
      </c>
      <c r="V1368" s="25"/>
      <c r="W1368" s="27" t="s">
        <v>4911</v>
      </c>
      <c r="X1368" s="28" t="s">
        <v>4912</v>
      </c>
      <c r="Y1368" s="28"/>
      <c r="Z1368" s="29" t="s">
        <v>37</v>
      </c>
    </row>
    <row r="1369" spans="1:26" ht="30" customHeight="1" thickBot="1" x14ac:dyDescent="0.25">
      <c r="A1369" s="17">
        <f t="shared" si="43"/>
        <v>1368</v>
      </c>
      <c r="B1369" s="18" t="s">
        <v>25</v>
      </c>
      <c r="C1369" s="19">
        <v>3520177237209</v>
      </c>
      <c r="D1369" s="19"/>
      <c r="E1369" s="20">
        <v>43174</v>
      </c>
      <c r="F1369" s="20">
        <v>46827</v>
      </c>
      <c r="G1369" s="21">
        <v>36141</v>
      </c>
      <c r="H1369" s="22">
        <f t="shared" ca="1" si="42"/>
        <v>27</v>
      </c>
      <c r="I1369" s="19" t="s">
        <v>912</v>
      </c>
      <c r="J1369" s="18" t="s">
        <v>27</v>
      </c>
      <c r="K1369" s="18"/>
      <c r="L1369" s="23" t="s">
        <v>4913</v>
      </c>
      <c r="M1369" s="23" t="s">
        <v>2726</v>
      </c>
      <c r="N1369" s="23" t="s">
        <v>1488</v>
      </c>
      <c r="O1369" s="18"/>
      <c r="P1369" s="24"/>
      <c r="Q1369" s="25">
        <v>46003</v>
      </c>
      <c r="R1369" s="13">
        <v>0</v>
      </c>
      <c r="S1369" s="26" t="str">
        <f>VLOOKUP(C1369,'[1]Bazaar Salary'!$B$6:$J$1193,9,0)</f>
        <v>01530010156442680014</v>
      </c>
      <c r="T1369" s="25" t="s">
        <v>32</v>
      </c>
      <c r="U1369" s="25" t="s">
        <v>2727</v>
      </c>
      <c r="V1369" s="25"/>
      <c r="W1369" s="27" t="s">
        <v>4914</v>
      </c>
      <c r="X1369" s="28" t="s">
        <v>4915</v>
      </c>
      <c r="Y1369" s="28"/>
      <c r="Z1369" s="29" t="s">
        <v>37</v>
      </c>
    </row>
    <row r="1370" spans="1:26" ht="30" customHeight="1" thickBot="1" x14ac:dyDescent="0.25">
      <c r="A1370" s="17">
        <f t="shared" si="43"/>
        <v>1369</v>
      </c>
      <c r="B1370" s="18" t="s">
        <v>25</v>
      </c>
      <c r="C1370" s="19">
        <v>3520208017269</v>
      </c>
      <c r="D1370" s="19"/>
      <c r="E1370" s="20">
        <v>44984</v>
      </c>
      <c r="F1370" s="20">
        <v>48637</v>
      </c>
      <c r="G1370" s="21">
        <v>32454</v>
      </c>
      <c r="H1370" s="22">
        <f t="shared" ca="1" si="42"/>
        <v>37</v>
      </c>
      <c r="I1370" s="19" t="s">
        <v>26</v>
      </c>
      <c r="J1370" s="18" t="s">
        <v>27</v>
      </c>
      <c r="K1370" s="18"/>
      <c r="L1370" s="23" t="s">
        <v>3371</v>
      </c>
      <c r="M1370" s="23" t="s">
        <v>4405</v>
      </c>
      <c r="N1370" s="23" t="s">
        <v>1295</v>
      </c>
      <c r="O1370" s="18"/>
      <c r="P1370" s="24"/>
      <c r="Q1370" s="25">
        <v>46069</v>
      </c>
      <c r="R1370" s="13">
        <v>0</v>
      </c>
      <c r="S1370" s="26" t="str">
        <f>VLOOKUP(C1370,'[1]Bazaar Salary'!$B$6:$J$1193,9,0)</f>
        <v>05980010010264040022</v>
      </c>
      <c r="T1370" s="25" t="s">
        <v>32</v>
      </c>
      <c r="U1370" s="25" t="s">
        <v>2727</v>
      </c>
      <c r="V1370" s="25" t="s">
        <v>3391</v>
      </c>
      <c r="W1370" s="27" t="s">
        <v>4916</v>
      </c>
      <c r="X1370" s="28" t="s">
        <v>4917</v>
      </c>
      <c r="Y1370" s="28"/>
      <c r="Z1370" s="29" t="s">
        <v>37</v>
      </c>
    </row>
    <row r="1371" spans="1:26" ht="30" customHeight="1" thickBot="1" x14ac:dyDescent="0.25">
      <c r="A1371" s="17">
        <f t="shared" si="43"/>
        <v>1370</v>
      </c>
      <c r="B1371" s="18" t="s">
        <v>25</v>
      </c>
      <c r="C1371" s="19">
        <v>3520157880749</v>
      </c>
      <c r="D1371" s="19"/>
      <c r="E1371" s="20">
        <v>45083</v>
      </c>
      <c r="F1371" s="20" t="s">
        <v>196</v>
      </c>
      <c r="G1371" s="21">
        <v>32565</v>
      </c>
      <c r="H1371" s="22">
        <f t="shared" ca="1" si="42"/>
        <v>37</v>
      </c>
      <c r="I1371" s="19" t="s">
        <v>26</v>
      </c>
      <c r="J1371" s="18" t="s">
        <v>27</v>
      </c>
      <c r="K1371" s="18" t="s">
        <v>197</v>
      </c>
      <c r="L1371" s="24" t="s">
        <v>4918</v>
      </c>
      <c r="M1371" s="23" t="s">
        <v>3096</v>
      </c>
      <c r="N1371" s="24" t="s">
        <v>457</v>
      </c>
      <c r="O1371" s="18"/>
      <c r="P1371" s="24"/>
      <c r="Q1371" s="25">
        <v>46063</v>
      </c>
      <c r="R1371" s="13">
        <v>0</v>
      </c>
      <c r="S1371" s="26" t="str">
        <f>VLOOKUP(C1371,'[3]May-26'!$B$5:$H$89,7,0)</f>
        <v>51390020160114610019</v>
      </c>
      <c r="T1371" s="25" t="s">
        <v>32</v>
      </c>
      <c r="U1371" s="25" t="s">
        <v>2727</v>
      </c>
      <c r="V1371" s="25" t="s">
        <v>405</v>
      </c>
      <c r="W1371" s="27" t="s">
        <v>4919</v>
      </c>
      <c r="X1371" s="28" t="s">
        <v>4920</v>
      </c>
      <c r="Y1371" s="28"/>
      <c r="Z1371" s="29" t="s">
        <v>3390</v>
      </c>
    </row>
    <row r="1372" spans="1:26" ht="30" customHeight="1" thickBot="1" x14ac:dyDescent="0.25">
      <c r="A1372" s="17">
        <f t="shared" si="43"/>
        <v>1371</v>
      </c>
      <c r="B1372" s="18" t="s">
        <v>25</v>
      </c>
      <c r="C1372" s="19">
        <v>3540161245207</v>
      </c>
      <c r="D1372" s="19"/>
      <c r="E1372" s="20">
        <v>43768</v>
      </c>
      <c r="F1372" s="20">
        <v>47421</v>
      </c>
      <c r="G1372" s="21">
        <v>37062</v>
      </c>
      <c r="H1372" s="22">
        <f t="shared" ca="1" si="42"/>
        <v>24</v>
      </c>
      <c r="I1372" s="19" t="s">
        <v>26</v>
      </c>
      <c r="J1372" s="18" t="s">
        <v>27</v>
      </c>
      <c r="K1372" s="18"/>
      <c r="L1372" s="23" t="s">
        <v>934</v>
      </c>
      <c r="M1372" s="23" t="s">
        <v>4921</v>
      </c>
      <c r="N1372" s="24" t="s">
        <v>457</v>
      </c>
      <c r="O1372" s="18"/>
      <c r="P1372" s="24"/>
      <c r="Q1372" s="25">
        <v>46054</v>
      </c>
      <c r="R1372" s="13">
        <v>0</v>
      </c>
      <c r="S1372" s="26" t="str">
        <f>VLOOKUP(C1372,'[1]Bazaar Salary'!$B$6:$J$1193,9,0)</f>
        <v>05220010121655630016</v>
      </c>
      <c r="T1372" s="25" t="s">
        <v>32</v>
      </c>
      <c r="U1372" s="25" t="s">
        <v>2727</v>
      </c>
      <c r="V1372" s="25" t="s">
        <v>4922</v>
      </c>
      <c r="W1372" s="27" t="s">
        <v>4923</v>
      </c>
      <c r="X1372" s="28" t="s">
        <v>4924</v>
      </c>
      <c r="Y1372" s="28"/>
      <c r="Z1372" s="29" t="s">
        <v>37</v>
      </c>
    </row>
    <row r="1373" spans="1:26" ht="30" customHeight="1" thickBot="1" x14ac:dyDescent="0.25">
      <c r="A1373" s="17">
        <f t="shared" si="43"/>
        <v>1372</v>
      </c>
      <c r="B1373" s="18" t="s">
        <v>25</v>
      </c>
      <c r="C1373" s="19">
        <v>3510262918349</v>
      </c>
      <c r="D1373" s="19"/>
      <c r="E1373" s="20">
        <v>42661</v>
      </c>
      <c r="F1373" s="20">
        <v>46313</v>
      </c>
      <c r="G1373" s="21">
        <v>32847</v>
      </c>
      <c r="H1373" s="22">
        <f t="shared" ca="1" si="42"/>
        <v>36</v>
      </c>
      <c r="I1373" s="19" t="s">
        <v>912</v>
      </c>
      <c r="J1373" s="18" t="s">
        <v>27</v>
      </c>
      <c r="K1373" s="18"/>
      <c r="L1373" s="23" t="s">
        <v>4925</v>
      </c>
      <c r="M1373" s="23" t="s">
        <v>4926</v>
      </c>
      <c r="N1373" s="23" t="s">
        <v>1488</v>
      </c>
      <c r="O1373" s="18"/>
      <c r="P1373" s="24"/>
      <c r="Q1373" s="25">
        <v>46134</v>
      </c>
      <c r="R1373" s="13">
        <v>0</v>
      </c>
      <c r="S1373" s="26" t="str">
        <f>VLOOKUP(C1373,'[1]Bazaar Salary'!$B$6:$J$1193,9,0)</f>
        <v>05980010163710990012</v>
      </c>
      <c r="T1373" s="25" t="s">
        <v>32</v>
      </c>
      <c r="U1373" s="25" t="s">
        <v>2727</v>
      </c>
      <c r="V1373" s="25"/>
      <c r="W1373" s="27" t="s">
        <v>4927</v>
      </c>
      <c r="X1373" s="28" t="s">
        <v>4928</v>
      </c>
      <c r="Y1373" s="28"/>
      <c r="Z1373" s="29" t="s">
        <v>37</v>
      </c>
    </row>
    <row r="1374" spans="1:26" ht="30" customHeight="1" thickBot="1" x14ac:dyDescent="0.25">
      <c r="A1374" s="17">
        <f t="shared" si="43"/>
        <v>1373</v>
      </c>
      <c r="B1374" s="18" t="s">
        <v>25</v>
      </c>
      <c r="C1374" s="19">
        <v>3520181665611</v>
      </c>
      <c r="D1374" s="19"/>
      <c r="E1374" s="20">
        <v>43913</v>
      </c>
      <c r="F1374" s="20">
        <v>47565</v>
      </c>
      <c r="G1374" s="21">
        <v>29974</v>
      </c>
      <c r="H1374" s="22">
        <f t="shared" ca="1" si="42"/>
        <v>44</v>
      </c>
      <c r="I1374" s="19" t="s">
        <v>912</v>
      </c>
      <c r="J1374" s="18" t="s">
        <v>27</v>
      </c>
      <c r="K1374" s="18"/>
      <c r="L1374" s="23" t="s">
        <v>3484</v>
      </c>
      <c r="M1374" s="23" t="s">
        <v>4929</v>
      </c>
      <c r="N1374" s="23" t="s">
        <v>1488</v>
      </c>
      <c r="O1374" s="18"/>
      <c r="P1374" s="24"/>
      <c r="Q1374" s="25">
        <v>46068</v>
      </c>
      <c r="R1374" s="13">
        <v>0</v>
      </c>
      <c r="S1374" s="26" t="str">
        <f>VLOOKUP(C1374,'[4]Daily Wages '!$B$6:$G$197,6,0)</f>
        <v>05980010162087170018</v>
      </c>
      <c r="T1374" s="25" t="s">
        <v>32</v>
      </c>
      <c r="U1374" s="25" t="s">
        <v>2727</v>
      </c>
      <c r="V1374" s="25"/>
      <c r="W1374" s="27" t="s">
        <v>4930</v>
      </c>
      <c r="X1374" s="28" t="s">
        <v>4931</v>
      </c>
      <c r="Y1374" s="28"/>
      <c r="Z1374" s="29" t="s">
        <v>3390</v>
      </c>
    </row>
    <row r="1375" spans="1:26" ht="30" customHeight="1" thickBot="1" x14ac:dyDescent="0.25">
      <c r="A1375" s="17">
        <f t="shared" si="43"/>
        <v>1374</v>
      </c>
      <c r="B1375" s="18" t="s">
        <v>25</v>
      </c>
      <c r="C1375" s="19">
        <v>3520224068759</v>
      </c>
      <c r="D1375" s="19"/>
      <c r="E1375" s="20">
        <v>44133</v>
      </c>
      <c r="F1375" s="20">
        <v>47785</v>
      </c>
      <c r="G1375" s="21">
        <v>35074</v>
      </c>
      <c r="H1375" s="22">
        <f t="shared" ca="1" si="42"/>
        <v>30</v>
      </c>
      <c r="I1375" s="19" t="s">
        <v>912</v>
      </c>
      <c r="J1375" s="18" t="s">
        <v>27</v>
      </c>
      <c r="K1375" s="18"/>
      <c r="L1375" s="23" t="s">
        <v>4932</v>
      </c>
      <c r="M1375" s="23" t="s">
        <v>2943</v>
      </c>
      <c r="N1375" s="23" t="s">
        <v>1488</v>
      </c>
      <c r="O1375" s="18"/>
      <c r="P1375" s="24"/>
      <c r="Q1375" s="25">
        <v>46076</v>
      </c>
      <c r="R1375" s="13">
        <v>0</v>
      </c>
      <c r="S1375" s="26" t="str">
        <f>VLOOKUP(C1375,'[4]Daily Wages '!$B$6:$G$197,6,0)</f>
        <v>05980010160981400018</v>
      </c>
      <c r="T1375" s="25" t="s">
        <v>32</v>
      </c>
      <c r="U1375" s="25" t="s">
        <v>2727</v>
      </c>
      <c r="V1375" s="25"/>
      <c r="W1375" s="27" t="s">
        <v>4933</v>
      </c>
      <c r="X1375" s="28" t="s">
        <v>4934</v>
      </c>
      <c r="Y1375" s="28"/>
      <c r="Z1375" s="29" t="s">
        <v>3390</v>
      </c>
    </row>
    <row r="1376" spans="1:26" ht="30" customHeight="1" thickBot="1" x14ac:dyDescent="0.25">
      <c r="A1376" s="17">
        <f t="shared" si="43"/>
        <v>1375</v>
      </c>
      <c r="B1376" s="18" t="s">
        <v>25</v>
      </c>
      <c r="C1376" s="19">
        <v>3520216152093</v>
      </c>
      <c r="D1376" s="19"/>
      <c r="E1376" s="20">
        <v>45883</v>
      </c>
      <c r="F1376" s="20">
        <v>49535</v>
      </c>
      <c r="G1376" s="21">
        <v>39278</v>
      </c>
      <c r="H1376" s="22">
        <f t="shared" ca="1" si="42"/>
        <v>18</v>
      </c>
      <c r="I1376" s="19" t="s">
        <v>26</v>
      </c>
      <c r="J1376" s="18" t="s">
        <v>27</v>
      </c>
      <c r="K1376" s="18"/>
      <c r="L1376" s="23" t="s">
        <v>1940</v>
      </c>
      <c r="M1376" s="23" t="s">
        <v>491</v>
      </c>
      <c r="N1376" s="23" t="s">
        <v>1499</v>
      </c>
      <c r="O1376" s="18"/>
      <c r="P1376" s="24"/>
      <c r="Q1376" s="25">
        <v>46069</v>
      </c>
      <c r="R1376" s="13">
        <v>0</v>
      </c>
      <c r="S1376" s="26" t="str">
        <f>VLOOKUP(C1376,'[4]Daily Wages '!$B$6:$G$197,6,0)</f>
        <v>51470020154008170019</v>
      </c>
      <c r="T1376" s="25" t="s">
        <v>32</v>
      </c>
      <c r="U1376" s="25" t="s">
        <v>2727</v>
      </c>
      <c r="V1376" s="25"/>
      <c r="W1376" s="27" t="s">
        <v>4935</v>
      </c>
      <c r="X1376" s="28" t="s">
        <v>4936</v>
      </c>
      <c r="Y1376" s="28"/>
      <c r="Z1376" s="29" t="s">
        <v>3390</v>
      </c>
    </row>
    <row r="1377" spans="1:26" ht="30" customHeight="1" thickBot="1" x14ac:dyDescent="0.25">
      <c r="A1377" s="17">
        <f t="shared" si="43"/>
        <v>1376</v>
      </c>
      <c r="B1377" s="18" t="s">
        <v>25</v>
      </c>
      <c r="C1377" s="19">
        <v>3520234089267</v>
      </c>
      <c r="D1377" s="19"/>
      <c r="E1377" s="20">
        <v>45531</v>
      </c>
      <c r="F1377" s="20">
        <v>49183</v>
      </c>
      <c r="G1377" s="21">
        <v>32587</v>
      </c>
      <c r="H1377" s="22">
        <f t="shared" ca="1" si="42"/>
        <v>37</v>
      </c>
      <c r="I1377" s="19" t="s">
        <v>26</v>
      </c>
      <c r="J1377" s="18" t="s">
        <v>27</v>
      </c>
      <c r="K1377" s="18"/>
      <c r="L1377" s="23" t="s">
        <v>1242</v>
      </c>
      <c r="M1377" s="23" t="s">
        <v>1258</v>
      </c>
      <c r="N1377" s="23" t="s">
        <v>1499</v>
      </c>
      <c r="O1377" s="18"/>
      <c r="P1377" s="24"/>
      <c r="Q1377" s="25">
        <v>46069</v>
      </c>
      <c r="R1377" s="13">
        <v>0</v>
      </c>
      <c r="S1377" s="26" t="str">
        <f>VLOOKUP(C1377,'[4]Daily Wages '!$B$6:$G$197,6,0)</f>
        <v>05980010160550680017</v>
      </c>
      <c r="T1377" s="25" t="s">
        <v>32</v>
      </c>
      <c r="U1377" s="25" t="s">
        <v>2727</v>
      </c>
      <c r="V1377" s="25"/>
      <c r="W1377" s="27" t="s">
        <v>4937</v>
      </c>
      <c r="X1377" s="28" t="s">
        <v>3527</v>
      </c>
      <c r="Y1377" s="28"/>
      <c r="Z1377" s="29" t="s">
        <v>3390</v>
      </c>
    </row>
    <row r="1378" spans="1:26" ht="30" customHeight="1" thickBot="1" x14ac:dyDescent="0.25">
      <c r="A1378" s="17">
        <f t="shared" si="43"/>
        <v>1377</v>
      </c>
      <c r="B1378" s="18" t="s">
        <v>25</v>
      </c>
      <c r="C1378" s="19">
        <v>3520221980369</v>
      </c>
      <c r="D1378" s="19"/>
      <c r="E1378" s="20"/>
      <c r="F1378" s="20"/>
      <c r="G1378" s="21">
        <v>34808</v>
      </c>
      <c r="H1378" s="22">
        <f t="shared" ca="1" si="42"/>
        <v>31</v>
      </c>
      <c r="I1378" s="19" t="s">
        <v>26</v>
      </c>
      <c r="J1378" s="18" t="s">
        <v>27</v>
      </c>
      <c r="K1378" s="18"/>
      <c r="L1378" s="23" t="s">
        <v>258</v>
      </c>
      <c r="M1378" s="23" t="s">
        <v>1158</v>
      </c>
      <c r="N1378" s="23" t="s">
        <v>1499</v>
      </c>
      <c r="O1378" s="18"/>
      <c r="P1378" s="24"/>
      <c r="Q1378" s="25">
        <v>46069</v>
      </c>
      <c r="R1378" s="13">
        <v>0</v>
      </c>
      <c r="S1378" s="26" t="str">
        <f>VLOOKUP(C1378,'[4]Daily Wages '!$B$6:$G$197,6,0)</f>
        <v>09440010160452390017</v>
      </c>
      <c r="T1378" s="25" t="s">
        <v>32</v>
      </c>
      <c r="U1378" s="25" t="s">
        <v>2727</v>
      </c>
      <c r="V1378" s="25"/>
      <c r="W1378" s="27" t="s">
        <v>4938</v>
      </c>
      <c r="X1378" s="28" t="s">
        <v>4939</v>
      </c>
      <c r="Y1378" s="28"/>
      <c r="Z1378" s="29" t="s">
        <v>3390</v>
      </c>
    </row>
    <row r="1379" spans="1:26" ht="30" customHeight="1" thickBot="1" x14ac:dyDescent="0.25">
      <c r="A1379" s="17">
        <f t="shared" si="43"/>
        <v>1378</v>
      </c>
      <c r="B1379" s="18" t="s">
        <v>25</v>
      </c>
      <c r="C1379" s="19">
        <v>3530117046439</v>
      </c>
      <c r="D1379" s="19"/>
      <c r="E1379" s="20">
        <v>44836</v>
      </c>
      <c r="F1379" s="20">
        <v>48489</v>
      </c>
      <c r="G1379" s="21">
        <v>31036</v>
      </c>
      <c r="H1379" s="22">
        <f t="shared" ca="1" si="42"/>
        <v>41</v>
      </c>
      <c r="I1379" s="19" t="s">
        <v>26</v>
      </c>
      <c r="J1379" s="18" t="s">
        <v>27</v>
      </c>
      <c r="K1379" s="18"/>
      <c r="L1379" s="23" t="s">
        <v>4940</v>
      </c>
      <c r="M1379" s="23" t="s">
        <v>4941</v>
      </c>
      <c r="N1379" s="23" t="s">
        <v>1499</v>
      </c>
      <c r="O1379" s="18"/>
      <c r="P1379" s="24"/>
      <c r="Q1379" s="25">
        <v>46069</v>
      </c>
      <c r="R1379" s="13">
        <v>0</v>
      </c>
      <c r="S1379" s="26" t="str">
        <f>VLOOKUP(C1379,'[4]Daily Wages '!$B$6:$G$197,6,0)</f>
        <v>05980010052869070021</v>
      </c>
      <c r="T1379" s="25" t="s">
        <v>32</v>
      </c>
      <c r="U1379" s="25" t="s">
        <v>2727</v>
      </c>
      <c r="V1379" s="25"/>
      <c r="W1379" s="27" t="s">
        <v>4942</v>
      </c>
      <c r="X1379" s="28" t="s">
        <v>4943</v>
      </c>
      <c r="Y1379" s="28"/>
      <c r="Z1379" s="29" t="s">
        <v>3390</v>
      </c>
    </row>
    <row r="1380" spans="1:26" ht="30" customHeight="1" thickBot="1" x14ac:dyDescent="0.25">
      <c r="A1380" s="17">
        <f t="shared" si="43"/>
        <v>1379</v>
      </c>
      <c r="B1380" s="18" t="s">
        <v>25</v>
      </c>
      <c r="C1380" s="19">
        <v>3410376850661</v>
      </c>
      <c r="D1380" s="19">
        <v>1889</v>
      </c>
      <c r="E1380" s="20">
        <v>43689</v>
      </c>
      <c r="F1380" s="20">
        <v>47342</v>
      </c>
      <c r="G1380" s="21">
        <v>36806</v>
      </c>
      <c r="H1380" s="22">
        <f t="shared" ca="1" si="42"/>
        <v>25</v>
      </c>
      <c r="I1380" s="19" t="s">
        <v>26</v>
      </c>
      <c r="J1380" s="18" t="s">
        <v>27</v>
      </c>
      <c r="K1380" s="18"/>
      <c r="L1380" s="23" t="s">
        <v>4944</v>
      </c>
      <c r="M1380" s="23" t="s">
        <v>4945</v>
      </c>
      <c r="N1380" s="23" t="s">
        <v>1295</v>
      </c>
      <c r="O1380" s="18"/>
      <c r="P1380" s="24"/>
      <c r="Q1380" s="25">
        <v>45992</v>
      </c>
      <c r="R1380" s="13">
        <v>0</v>
      </c>
      <c r="S1380" s="26" t="str">
        <f>VLOOKUP(C1380,'[1]Bazaar Salary'!$B$6:$J$1193,9,0)</f>
        <v>10430010145916350013</v>
      </c>
      <c r="T1380" s="25" t="s">
        <v>32</v>
      </c>
      <c r="U1380" s="25" t="s">
        <v>2732</v>
      </c>
      <c r="V1380" s="25" t="s">
        <v>4946</v>
      </c>
      <c r="W1380" s="27" t="s">
        <v>1985</v>
      </c>
      <c r="X1380" s="28" t="s">
        <v>4947</v>
      </c>
      <c r="Y1380" s="28"/>
      <c r="Z1380" s="29" t="s">
        <v>37</v>
      </c>
    </row>
    <row r="1381" spans="1:26" ht="30" customHeight="1" thickBot="1" x14ac:dyDescent="0.25">
      <c r="A1381" s="17">
        <f t="shared" si="43"/>
        <v>1380</v>
      </c>
      <c r="B1381" s="18" t="s">
        <v>25</v>
      </c>
      <c r="C1381" s="19">
        <v>3410316939639</v>
      </c>
      <c r="D1381" s="19">
        <v>1881</v>
      </c>
      <c r="E1381" s="20">
        <v>43888</v>
      </c>
      <c r="F1381" s="20">
        <v>47541</v>
      </c>
      <c r="G1381" s="21">
        <v>32541</v>
      </c>
      <c r="H1381" s="22">
        <f t="shared" ca="1" si="42"/>
        <v>37</v>
      </c>
      <c r="I1381" s="19" t="s">
        <v>26</v>
      </c>
      <c r="J1381" s="18" t="s">
        <v>27</v>
      </c>
      <c r="K1381" s="18"/>
      <c r="L1381" s="23" t="s">
        <v>4948</v>
      </c>
      <c r="M1381" s="23" t="s">
        <v>4949</v>
      </c>
      <c r="N1381" s="24" t="s">
        <v>457</v>
      </c>
      <c r="O1381" s="18"/>
      <c r="P1381" s="24"/>
      <c r="Q1381" s="25">
        <v>46023</v>
      </c>
      <c r="R1381" s="13">
        <v>0</v>
      </c>
      <c r="S1381" s="26" t="str">
        <f>VLOOKUP(C1381,'[1]Bazaar Salary'!$B$6:$J$1193,9,0)</f>
        <v>51870020146599930014</v>
      </c>
      <c r="T1381" s="25" t="s">
        <v>32</v>
      </c>
      <c r="U1381" s="25" t="s">
        <v>2732</v>
      </c>
      <c r="V1381" s="25" t="s">
        <v>265</v>
      </c>
      <c r="W1381" s="27" t="s">
        <v>4950</v>
      </c>
      <c r="X1381" s="28" t="s">
        <v>4951</v>
      </c>
      <c r="Y1381" s="28"/>
      <c r="Z1381" s="29" t="s">
        <v>37</v>
      </c>
    </row>
    <row r="1382" spans="1:26" ht="30" customHeight="1" thickBot="1" x14ac:dyDescent="0.25">
      <c r="A1382" s="17">
        <f t="shared" si="43"/>
        <v>1381</v>
      </c>
      <c r="B1382" s="18" t="s">
        <v>25</v>
      </c>
      <c r="C1382" s="19">
        <v>3410389298843</v>
      </c>
      <c r="D1382" s="19"/>
      <c r="E1382" s="20"/>
      <c r="F1382" s="20"/>
      <c r="G1382" s="21">
        <v>35212</v>
      </c>
      <c r="H1382" s="22">
        <f t="shared" ca="1" si="42"/>
        <v>30</v>
      </c>
      <c r="I1382" s="19" t="s">
        <v>26</v>
      </c>
      <c r="J1382" s="18" t="s">
        <v>27</v>
      </c>
      <c r="K1382" s="18"/>
      <c r="L1382" s="23" t="s">
        <v>4952</v>
      </c>
      <c r="M1382" s="23" t="s">
        <v>4953</v>
      </c>
      <c r="N1382" s="24" t="s">
        <v>468</v>
      </c>
      <c r="O1382" s="18"/>
      <c r="P1382" s="24"/>
      <c r="Q1382" s="25">
        <v>46023</v>
      </c>
      <c r="R1382" s="13">
        <v>0</v>
      </c>
      <c r="S1382" s="26" t="str">
        <f>VLOOKUP(C1382,'[1]Bazaar Salary'!$B$6:$J$1193,9,0)</f>
        <v>51590020045186690018</v>
      </c>
      <c r="T1382" s="25" t="s">
        <v>32</v>
      </c>
      <c r="U1382" s="25" t="s">
        <v>2732</v>
      </c>
      <c r="V1382" s="25"/>
      <c r="W1382" s="27" t="s">
        <v>4954</v>
      </c>
      <c r="X1382" s="28" t="s">
        <v>4955</v>
      </c>
      <c r="Y1382" s="28"/>
      <c r="Z1382" s="29" t="s">
        <v>37</v>
      </c>
    </row>
    <row r="1383" spans="1:26" ht="30" customHeight="1" thickBot="1" x14ac:dyDescent="0.25">
      <c r="A1383" s="17">
        <f t="shared" si="43"/>
        <v>1382</v>
      </c>
      <c r="B1383" s="18" t="s">
        <v>25</v>
      </c>
      <c r="C1383" s="19">
        <v>3410301568515</v>
      </c>
      <c r="D1383" s="19"/>
      <c r="E1383" s="20">
        <v>45973</v>
      </c>
      <c r="F1383" s="20">
        <v>49625</v>
      </c>
      <c r="G1383" s="21">
        <v>37983</v>
      </c>
      <c r="H1383" s="22">
        <f t="shared" ca="1" si="42"/>
        <v>22</v>
      </c>
      <c r="I1383" s="19" t="s">
        <v>912</v>
      </c>
      <c r="J1383" s="18" t="s">
        <v>27</v>
      </c>
      <c r="K1383" s="18"/>
      <c r="L1383" s="23" t="s">
        <v>4956</v>
      </c>
      <c r="M1383" s="23" t="s">
        <v>4957</v>
      </c>
      <c r="N1383" s="23" t="s">
        <v>1488</v>
      </c>
      <c r="O1383" s="18"/>
      <c r="P1383" s="24"/>
      <c r="Q1383" s="25">
        <v>46024</v>
      </c>
      <c r="R1383" s="13">
        <v>0</v>
      </c>
      <c r="S1383" s="26" t="str">
        <f>VLOOKUP(C1383,'[1]Bazaar Salary'!$B$6:$J$1193,9,0)</f>
        <v>02900010158086940014</v>
      </c>
      <c r="T1383" s="25" t="s">
        <v>32</v>
      </c>
      <c r="U1383" s="25" t="s">
        <v>2732</v>
      </c>
      <c r="V1383" s="25"/>
      <c r="W1383" s="27" t="s">
        <v>4958</v>
      </c>
      <c r="X1383" s="28" t="s">
        <v>4959</v>
      </c>
      <c r="Y1383" s="28"/>
      <c r="Z1383" s="29" t="s">
        <v>37</v>
      </c>
    </row>
    <row r="1384" spans="1:26" ht="30" customHeight="1" thickBot="1" x14ac:dyDescent="0.25">
      <c r="A1384" s="17">
        <f t="shared" si="43"/>
        <v>1383</v>
      </c>
      <c r="B1384" s="18" t="s">
        <v>25</v>
      </c>
      <c r="C1384" s="19">
        <v>3410311316271</v>
      </c>
      <c r="D1384" s="19"/>
      <c r="E1384" s="20">
        <v>44881</v>
      </c>
      <c r="F1384" s="20">
        <v>48534</v>
      </c>
      <c r="G1384" s="21">
        <v>32017</v>
      </c>
      <c r="H1384" s="22">
        <f t="shared" ca="1" si="42"/>
        <v>38</v>
      </c>
      <c r="I1384" s="19" t="s">
        <v>912</v>
      </c>
      <c r="J1384" s="18" t="s">
        <v>27</v>
      </c>
      <c r="K1384" s="18"/>
      <c r="L1384" s="23" t="s">
        <v>4960</v>
      </c>
      <c r="M1384" s="23" t="s">
        <v>4961</v>
      </c>
      <c r="N1384" s="23" t="s">
        <v>1488</v>
      </c>
      <c r="O1384" s="18"/>
      <c r="P1384" s="24"/>
      <c r="Q1384" s="25">
        <v>45992</v>
      </c>
      <c r="R1384" s="13">
        <v>0</v>
      </c>
      <c r="S1384" s="26" t="str">
        <f>VLOOKUP(C1384,'[1]Bazaar Salary'!$B$6:$J$1193,9,0)</f>
        <v>02900010149813910014</v>
      </c>
      <c r="T1384" s="25" t="s">
        <v>32</v>
      </c>
      <c r="U1384" s="25" t="s">
        <v>2732</v>
      </c>
      <c r="V1384" s="25"/>
      <c r="W1384" s="27" t="s">
        <v>4036</v>
      </c>
      <c r="X1384" s="28" t="s">
        <v>4962</v>
      </c>
      <c r="Y1384" s="28"/>
      <c r="Z1384" s="29" t="s">
        <v>37</v>
      </c>
    </row>
    <row r="1385" spans="1:26" ht="30" customHeight="1" thickBot="1" x14ac:dyDescent="0.25">
      <c r="A1385" s="17">
        <f t="shared" si="43"/>
        <v>1384</v>
      </c>
      <c r="B1385" s="18" t="s">
        <v>25</v>
      </c>
      <c r="C1385" s="19">
        <v>3410374029267</v>
      </c>
      <c r="D1385" s="19">
        <v>1869</v>
      </c>
      <c r="E1385" s="20">
        <v>44176</v>
      </c>
      <c r="F1385" s="20">
        <v>47828</v>
      </c>
      <c r="G1385" s="21">
        <v>37417</v>
      </c>
      <c r="H1385" s="22">
        <f t="shared" ca="1" si="42"/>
        <v>24</v>
      </c>
      <c r="I1385" s="19" t="s">
        <v>912</v>
      </c>
      <c r="J1385" s="18" t="s">
        <v>27</v>
      </c>
      <c r="K1385" s="18"/>
      <c r="L1385" s="23" t="s">
        <v>4929</v>
      </c>
      <c r="M1385" s="23" t="s">
        <v>4961</v>
      </c>
      <c r="N1385" s="23" t="s">
        <v>1488</v>
      </c>
      <c r="O1385" s="18"/>
      <c r="P1385" s="24"/>
      <c r="Q1385" s="25">
        <v>45992</v>
      </c>
      <c r="R1385" s="13">
        <v>0</v>
      </c>
      <c r="S1385" s="26" t="str">
        <f>VLOOKUP(C1385,'[1]Bazaar Salary'!$B$6:$J$1193,9,0)</f>
        <v>07940010145047210013</v>
      </c>
      <c r="T1385" s="25" t="s">
        <v>32</v>
      </c>
      <c r="U1385" s="25" t="s">
        <v>2732</v>
      </c>
      <c r="V1385" s="25"/>
      <c r="W1385" s="27" t="s">
        <v>4032</v>
      </c>
      <c r="X1385" s="28" t="s">
        <v>4963</v>
      </c>
      <c r="Y1385" s="28"/>
      <c r="Z1385" s="29" t="s">
        <v>37</v>
      </c>
    </row>
    <row r="1386" spans="1:26" ht="30" customHeight="1" thickBot="1" x14ac:dyDescent="0.25">
      <c r="A1386" s="17">
        <f t="shared" si="43"/>
        <v>1385</v>
      </c>
      <c r="B1386" s="18" t="s">
        <v>25</v>
      </c>
      <c r="C1386" s="19">
        <v>3410198034725</v>
      </c>
      <c r="D1386" s="19">
        <v>1876</v>
      </c>
      <c r="E1386" s="20">
        <v>45580</v>
      </c>
      <c r="F1386" s="20">
        <v>49232</v>
      </c>
      <c r="G1386" s="21">
        <v>32752</v>
      </c>
      <c r="H1386" s="22">
        <f t="shared" ca="1" si="42"/>
        <v>36</v>
      </c>
      <c r="I1386" s="19" t="s">
        <v>26</v>
      </c>
      <c r="J1386" s="18" t="s">
        <v>27</v>
      </c>
      <c r="K1386" s="18"/>
      <c r="L1386" s="23" t="s">
        <v>4964</v>
      </c>
      <c r="M1386" s="23" t="s">
        <v>2534</v>
      </c>
      <c r="N1386" s="23" t="s">
        <v>1499</v>
      </c>
      <c r="O1386" s="18"/>
      <c r="P1386" s="24"/>
      <c r="Q1386" s="25">
        <v>45992</v>
      </c>
      <c r="R1386" s="13">
        <v>0</v>
      </c>
      <c r="S1386" s="26" t="str">
        <f>VLOOKUP(C1386,'[1]Bazaar Salary'!$B$6:$J$1193,9,0)</f>
        <v>51870020145220770013</v>
      </c>
      <c r="T1386" s="25" t="s">
        <v>32</v>
      </c>
      <c r="U1386" s="25" t="s">
        <v>2732</v>
      </c>
      <c r="V1386" s="25"/>
      <c r="W1386" s="27" t="s">
        <v>4965</v>
      </c>
      <c r="X1386" s="28" t="s">
        <v>4966</v>
      </c>
      <c r="Y1386" s="28"/>
      <c r="Z1386" s="29" t="s">
        <v>37</v>
      </c>
    </row>
    <row r="1387" spans="1:26" ht="30" customHeight="1" thickBot="1" x14ac:dyDescent="0.25">
      <c r="A1387" s="17">
        <f t="shared" si="43"/>
        <v>1386</v>
      </c>
      <c r="B1387" s="18" t="s">
        <v>25</v>
      </c>
      <c r="C1387" s="19">
        <v>3410191260945</v>
      </c>
      <c r="D1387" s="19">
        <v>1877</v>
      </c>
      <c r="E1387" s="20">
        <v>43851</v>
      </c>
      <c r="F1387" s="20">
        <v>47504</v>
      </c>
      <c r="G1387" s="21">
        <v>30991</v>
      </c>
      <c r="H1387" s="22">
        <f t="shared" ca="1" si="42"/>
        <v>41</v>
      </c>
      <c r="I1387" s="19" t="s">
        <v>26</v>
      </c>
      <c r="J1387" s="18" t="s">
        <v>27</v>
      </c>
      <c r="K1387" s="18"/>
      <c r="L1387" s="23" t="s">
        <v>1549</v>
      </c>
      <c r="M1387" s="23" t="s">
        <v>707</v>
      </c>
      <c r="N1387" s="23" t="s">
        <v>1499</v>
      </c>
      <c r="O1387" s="18"/>
      <c r="P1387" s="24"/>
      <c r="Q1387" s="25">
        <v>45992</v>
      </c>
      <c r="R1387" s="13">
        <v>0</v>
      </c>
      <c r="S1387" s="26" t="str">
        <f>VLOOKUP(C1387,'[1]Bazaar Salary'!$B$6:$J$1193,9,0)</f>
        <v>51870020144998020019</v>
      </c>
      <c r="T1387" s="25" t="s">
        <v>32</v>
      </c>
      <c r="U1387" s="25" t="s">
        <v>2732</v>
      </c>
      <c r="V1387" s="25"/>
      <c r="W1387" s="27" t="s">
        <v>4967</v>
      </c>
      <c r="X1387" s="28" t="s">
        <v>4968</v>
      </c>
      <c r="Y1387" s="28"/>
      <c r="Z1387" s="29" t="s">
        <v>37</v>
      </c>
    </row>
    <row r="1388" spans="1:26" ht="30" customHeight="1" thickBot="1" x14ac:dyDescent="0.25">
      <c r="A1388" s="17">
        <f t="shared" si="43"/>
        <v>1387</v>
      </c>
      <c r="B1388" s="18" t="s">
        <v>25</v>
      </c>
      <c r="C1388" s="19">
        <v>3410319174067</v>
      </c>
      <c r="D1388" s="19"/>
      <c r="E1388" s="20">
        <v>44881</v>
      </c>
      <c r="F1388" s="20">
        <v>48534</v>
      </c>
      <c r="G1388" s="21">
        <v>31685</v>
      </c>
      <c r="H1388" s="22">
        <f t="shared" ca="1" si="42"/>
        <v>39</v>
      </c>
      <c r="I1388" s="19" t="s">
        <v>26</v>
      </c>
      <c r="J1388" s="18" t="s">
        <v>27</v>
      </c>
      <c r="K1388" s="18"/>
      <c r="L1388" s="23" t="s">
        <v>614</v>
      </c>
      <c r="M1388" s="23" t="s">
        <v>1867</v>
      </c>
      <c r="N1388" s="23" t="s">
        <v>1499</v>
      </c>
      <c r="O1388" s="18"/>
      <c r="P1388" s="24"/>
      <c r="Q1388" s="25">
        <v>45992</v>
      </c>
      <c r="R1388" s="13">
        <v>0</v>
      </c>
      <c r="S1388" s="26" t="str">
        <f>VLOOKUP(C1388,'[1]Bazaar Salary'!$B$6:$J$1193,9,0)</f>
        <v>02900010149807770013</v>
      </c>
      <c r="T1388" s="25" t="s">
        <v>32</v>
      </c>
      <c r="U1388" s="25" t="s">
        <v>2732</v>
      </c>
      <c r="V1388" s="25"/>
      <c r="W1388" s="27" t="s">
        <v>4036</v>
      </c>
      <c r="X1388" s="28" t="s">
        <v>4969</v>
      </c>
      <c r="Y1388" s="28"/>
      <c r="Z1388" s="29" t="s">
        <v>37</v>
      </c>
    </row>
    <row r="1389" spans="1:26" ht="30" customHeight="1" thickBot="1" x14ac:dyDescent="0.25">
      <c r="A1389" s="17">
        <f t="shared" si="43"/>
        <v>1388</v>
      </c>
      <c r="B1389" s="18" t="s">
        <v>25</v>
      </c>
      <c r="C1389" s="19">
        <v>3410181528531</v>
      </c>
      <c r="D1389" s="19">
        <v>1878</v>
      </c>
      <c r="E1389" s="20">
        <v>45458</v>
      </c>
      <c r="F1389" s="20">
        <v>49110</v>
      </c>
      <c r="G1389" s="21">
        <v>29865</v>
      </c>
      <c r="H1389" s="22">
        <f t="shared" ca="1" si="42"/>
        <v>44</v>
      </c>
      <c r="I1389" s="19" t="s">
        <v>26</v>
      </c>
      <c r="J1389" s="18" t="s">
        <v>27</v>
      </c>
      <c r="K1389" s="18"/>
      <c r="L1389" s="23" t="s">
        <v>2277</v>
      </c>
      <c r="M1389" s="23" t="s">
        <v>4970</v>
      </c>
      <c r="N1389" s="23" t="s">
        <v>1499</v>
      </c>
      <c r="O1389" s="18"/>
      <c r="P1389" s="24"/>
      <c r="Q1389" s="25">
        <v>45992</v>
      </c>
      <c r="R1389" s="13">
        <v>0</v>
      </c>
      <c r="S1389" s="26" t="str">
        <f>VLOOKUP(C1389,'[1]Bazaar Salary'!$B$6:$J$1193,9,0)</f>
        <v>05070010117472140010</v>
      </c>
      <c r="T1389" s="25" t="s">
        <v>32</v>
      </c>
      <c r="U1389" s="25" t="s">
        <v>2732</v>
      </c>
      <c r="V1389" s="25"/>
      <c r="W1389" s="27" t="s">
        <v>4971</v>
      </c>
      <c r="X1389" s="28" t="s">
        <v>4972</v>
      </c>
      <c r="Y1389" s="28"/>
      <c r="Z1389" s="29" t="s">
        <v>37</v>
      </c>
    </row>
    <row r="1390" spans="1:26" ht="30" customHeight="1" thickBot="1" x14ac:dyDescent="0.25">
      <c r="A1390" s="17">
        <f t="shared" si="43"/>
        <v>1389</v>
      </c>
      <c r="B1390" s="18" t="s">
        <v>25</v>
      </c>
      <c r="C1390" s="19">
        <v>3530266341800</v>
      </c>
      <c r="D1390" s="19"/>
      <c r="E1390" s="20">
        <v>44677</v>
      </c>
      <c r="F1390" s="20">
        <v>48330</v>
      </c>
      <c r="G1390" s="21">
        <v>34331</v>
      </c>
      <c r="H1390" s="22">
        <f t="shared" ca="1" si="42"/>
        <v>32</v>
      </c>
      <c r="I1390" s="19" t="s">
        <v>26</v>
      </c>
      <c r="J1390" s="18" t="s">
        <v>66</v>
      </c>
      <c r="K1390" s="18"/>
      <c r="L1390" s="23" t="s">
        <v>4973</v>
      </c>
      <c r="M1390" s="23" t="s">
        <v>1562</v>
      </c>
      <c r="N1390" s="23" t="s">
        <v>1295</v>
      </c>
      <c r="O1390" s="18"/>
      <c r="P1390" s="24"/>
      <c r="Q1390" s="25">
        <v>45992</v>
      </c>
      <c r="R1390" s="13">
        <v>0</v>
      </c>
      <c r="S1390" s="26" t="str">
        <f>VLOOKUP(C1390,'[1]Bazaar Salary'!$B$6:$J$1193,9,0)</f>
        <v>09740010153274040014</v>
      </c>
      <c r="T1390" s="25" t="s">
        <v>32</v>
      </c>
      <c r="U1390" s="25" t="s">
        <v>242</v>
      </c>
      <c r="V1390" s="25"/>
      <c r="W1390" s="27" t="s">
        <v>4974</v>
      </c>
      <c r="X1390" s="28" t="s">
        <v>4975</v>
      </c>
      <c r="Y1390" s="28"/>
      <c r="Z1390" s="29" t="s">
        <v>37</v>
      </c>
    </row>
    <row r="1391" spans="1:26" ht="30" customHeight="1" thickBot="1" x14ac:dyDescent="0.25">
      <c r="A1391" s="17">
        <f t="shared" si="43"/>
        <v>1390</v>
      </c>
      <c r="B1391" s="18" t="s">
        <v>25</v>
      </c>
      <c r="C1391" s="19">
        <v>3530375213986</v>
      </c>
      <c r="D1391" s="19"/>
      <c r="E1391" s="20">
        <v>43296</v>
      </c>
      <c r="F1391" s="20">
        <v>46949</v>
      </c>
      <c r="G1391" s="21">
        <v>31079</v>
      </c>
      <c r="H1391" s="22">
        <f t="shared" ca="1" si="42"/>
        <v>41</v>
      </c>
      <c r="I1391" s="19" t="s">
        <v>26</v>
      </c>
      <c r="J1391" s="18" t="s">
        <v>66</v>
      </c>
      <c r="K1391" s="18"/>
      <c r="L1391" s="23" t="s">
        <v>4976</v>
      </c>
      <c r="M1391" s="23" t="s">
        <v>4977</v>
      </c>
      <c r="N1391" s="23" t="s">
        <v>1295</v>
      </c>
      <c r="O1391" s="18"/>
      <c r="P1391" s="24"/>
      <c r="Q1391" s="25">
        <v>45992</v>
      </c>
      <c r="R1391" s="13">
        <v>0</v>
      </c>
      <c r="S1391" s="26"/>
      <c r="T1391" s="25"/>
      <c r="U1391" s="25" t="s">
        <v>242</v>
      </c>
      <c r="V1391" s="25" t="s">
        <v>293</v>
      </c>
      <c r="W1391" s="27" t="s">
        <v>4978</v>
      </c>
      <c r="X1391" s="28" t="s">
        <v>4979</v>
      </c>
      <c r="Y1391" s="28"/>
      <c r="Z1391" s="29" t="s">
        <v>37</v>
      </c>
    </row>
    <row r="1392" spans="1:26" ht="30" customHeight="1" thickBot="1" x14ac:dyDescent="0.25">
      <c r="A1392" s="17">
        <f t="shared" si="43"/>
        <v>1391</v>
      </c>
      <c r="B1392" s="18" t="s">
        <v>25</v>
      </c>
      <c r="C1392" s="19">
        <v>3650243657851</v>
      </c>
      <c r="D1392" s="19">
        <v>1882</v>
      </c>
      <c r="E1392" s="20">
        <v>44687</v>
      </c>
      <c r="F1392" s="20">
        <v>48340</v>
      </c>
      <c r="G1392" s="21">
        <v>35434</v>
      </c>
      <c r="H1392" s="22">
        <f t="shared" ca="1" si="42"/>
        <v>29</v>
      </c>
      <c r="I1392" s="19" t="s">
        <v>26</v>
      </c>
      <c r="J1392" s="18" t="s">
        <v>27</v>
      </c>
      <c r="K1392" s="18"/>
      <c r="L1392" s="23" t="s">
        <v>1182</v>
      </c>
      <c r="M1392" s="23" t="s">
        <v>4980</v>
      </c>
      <c r="N1392" s="23" t="s">
        <v>457</v>
      </c>
      <c r="O1392" s="18"/>
      <c r="P1392" s="24"/>
      <c r="Q1392" s="25">
        <v>46023</v>
      </c>
      <c r="R1392" s="13">
        <v>0</v>
      </c>
      <c r="S1392" s="26" t="str">
        <f>VLOOKUP(C1392,'[1]Bazaar Salary'!$B$6:$J$1193,9,0)</f>
        <v>05300010046800920013</v>
      </c>
      <c r="T1392" s="25" t="s">
        <v>32</v>
      </c>
      <c r="U1392" s="25" t="s">
        <v>242</v>
      </c>
      <c r="V1392" s="25" t="s">
        <v>3688</v>
      </c>
      <c r="W1392" s="27" t="s">
        <v>4981</v>
      </c>
      <c r="X1392" s="28" t="s">
        <v>4982</v>
      </c>
      <c r="Y1392" s="28"/>
      <c r="Z1392" s="29" t="s">
        <v>37</v>
      </c>
    </row>
    <row r="1393" spans="1:26" ht="30" customHeight="1" thickBot="1" x14ac:dyDescent="0.25">
      <c r="A1393" s="17">
        <f t="shared" si="43"/>
        <v>1392</v>
      </c>
      <c r="B1393" s="18" t="s">
        <v>25</v>
      </c>
      <c r="C1393" s="19">
        <v>3650264350807</v>
      </c>
      <c r="D1393" s="19"/>
      <c r="E1393" s="20">
        <v>44448</v>
      </c>
      <c r="F1393" s="20">
        <v>48100</v>
      </c>
      <c r="G1393" s="21">
        <v>35845</v>
      </c>
      <c r="H1393" s="22">
        <f t="shared" ca="1" si="42"/>
        <v>28</v>
      </c>
      <c r="I1393" s="19" t="s">
        <v>912</v>
      </c>
      <c r="J1393" s="18" t="s">
        <v>27</v>
      </c>
      <c r="K1393" s="18"/>
      <c r="L1393" s="23" t="s">
        <v>4983</v>
      </c>
      <c r="M1393" s="23" t="s">
        <v>4984</v>
      </c>
      <c r="N1393" s="23" t="s">
        <v>1488</v>
      </c>
      <c r="O1393" s="18"/>
      <c r="P1393" s="24"/>
      <c r="Q1393" s="25">
        <v>45992</v>
      </c>
      <c r="R1393" s="13">
        <v>0</v>
      </c>
      <c r="S1393" s="26" t="str">
        <f>VLOOKUP(C1393,'[1]Bazaar Salary'!$B$6:$J$1193,9,0)</f>
        <v>07310010064993930013</v>
      </c>
      <c r="T1393" s="25" t="s">
        <v>32</v>
      </c>
      <c r="U1393" s="25" t="s">
        <v>242</v>
      </c>
      <c r="V1393" s="25"/>
      <c r="W1393" s="27" t="s">
        <v>4985</v>
      </c>
      <c r="X1393" s="28" t="s">
        <v>4986</v>
      </c>
      <c r="Y1393" s="28"/>
      <c r="Z1393" s="29" t="s">
        <v>37</v>
      </c>
    </row>
    <row r="1394" spans="1:26" ht="30" customHeight="1" thickBot="1" x14ac:dyDescent="0.25">
      <c r="A1394" s="17">
        <f t="shared" si="43"/>
        <v>1393</v>
      </c>
      <c r="B1394" s="18" t="s">
        <v>25</v>
      </c>
      <c r="C1394" s="19">
        <v>3530274813353</v>
      </c>
      <c r="D1394" s="19"/>
      <c r="E1394" s="20">
        <v>44871</v>
      </c>
      <c r="F1394" s="20">
        <v>48524</v>
      </c>
      <c r="G1394" s="21">
        <v>37485</v>
      </c>
      <c r="H1394" s="22">
        <f t="shared" ca="1" si="42"/>
        <v>23</v>
      </c>
      <c r="I1394" s="19" t="s">
        <v>912</v>
      </c>
      <c r="J1394" s="18" t="s">
        <v>27</v>
      </c>
      <c r="K1394" s="18"/>
      <c r="L1394" s="23" t="s">
        <v>4987</v>
      </c>
      <c r="M1394" s="23" t="s">
        <v>4589</v>
      </c>
      <c r="N1394" s="23" t="s">
        <v>1488</v>
      </c>
      <c r="O1394" s="18"/>
      <c r="P1394" s="24"/>
      <c r="Q1394" s="25">
        <v>45992</v>
      </c>
      <c r="R1394" s="13">
        <v>0</v>
      </c>
      <c r="S1394" s="26" t="str">
        <f>VLOOKUP(C1394,'[1]Bazaar Salary'!$B$6:$J$1193,9,0)</f>
        <v>53470020143978790011</v>
      </c>
      <c r="T1394" s="25" t="s">
        <v>32</v>
      </c>
      <c r="U1394" s="25" t="s">
        <v>242</v>
      </c>
      <c r="V1394" s="25"/>
      <c r="W1394" s="27" t="s">
        <v>4988</v>
      </c>
      <c r="X1394" s="28" t="s">
        <v>4989</v>
      </c>
      <c r="Y1394" s="28"/>
      <c r="Z1394" s="29" t="s">
        <v>37</v>
      </c>
    </row>
    <row r="1395" spans="1:26" ht="30" customHeight="1" thickBot="1" x14ac:dyDescent="0.25">
      <c r="A1395" s="17">
        <f t="shared" si="43"/>
        <v>1394</v>
      </c>
      <c r="B1395" s="18" t="s">
        <v>25</v>
      </c>
      <c r="C1395" s="19">
        <v>3650292329919</v>
      </c>
      <c r="D1395" s="19"/>
      <c r="E1395" s="20">
        <v>44789</v>
      </c>
      <c r="F1395" s="20">
        <v>48442</v>
      </c>
      <c r="G1395" s="21">
        <v>37290</v>
      </c>
      <c r="H1395" s="22">
        <f t="shared" ca="1" si="42"/>
        <v>24</v>
      </c>
      <c r="I1395" s="19" t="s">
        <v>912</v>
      </c>
      <c r="J1395" s="18" t="s">
        <v>27</v>
      </c>
      <c r="K1395" s="18"/>
      <c r="L1395" s="23" t="s">
        <v>4990</v>
      </c>
      <c r="M1395" s="23" t="s">
        <v>4984</v>
      </c>
      <c r="N1395" s="23" t="s">
        <v>1488</v>
      </c>
      <c r="O1395" s="18"/>
      <c r="P1395" s="24"/>
      <c r="Q1395" s="25">
        <v>45992</v>
      </c>
      <c r="R1395" s="13">
        <v>0</v>
      </c>
      <c r="S1395" s="26" t="str">
        <f>VLOOKUP(C1395,'[1]Bazaar Salary'!$B$6:$J$1193,9,0)</f>
        <v>53470020155149360016</v>
      </c>
      <c r="T1395" s="25" t="s">
        <v>32</v>
      </c>
      <c r="U1395" s="25" t="s">
        <v>242</v>
      </c>
      <c r="V1395" s="25"/>
      <c r="W1395" s="27" t="s">
        <v>4985</v>
      </c>
      <c r="X1395" s="28" t="s">
        <v>4991</v>
      </c>
      <c r="Y1395" s="28"/>
      <c r="Z1395" s="29" t="s">
        <v>37</v>
      </c>
    </row>
    <row r="1396" spans="1:26" ht="30" customHeight="1" thickBot="1" x14ac:dyDescent="0.25">
      <c r="A1396" s="17">
        <f t="shared" si="43"/>
        <v>1395</v>
      </c>
      <c r="B1396" s="18" t="s">
        <v>25</v>
      </c>
      <c r="C1396" s="19">
        <v>3650203023417</v>
      </c>
      <c r="D1396" s="19"/>
      <c r="E1396" s="20">
        <v>43098</v>
      </c>
      <c r="F1396" s="20">
        <v>46750</v>
      </c>
      <c r="G1396" s="21">
        <v>36282</v>
      </c>
      <c r="H1396" s="22">
        <f t="shared" ca="1" si="42"/>
        <v>27</v>
      </c>
      <c r="I1396" s="19" t="s">
        <v>26</v>
      </c>
      <c r="J1396" s="18" t="s">
        <v>27</v>
      </c>
      <c r="K1396" s="18"/>
      <c r="L1396" s="23" t="s">
        <v>4992</v>
      </c>
      <c r="M1396" s="23" t="s">
        <v>654</v>
      </c>
      <c r="N1396" s="23" t="s">
        <v>1499</v>
      </c>
      <c r="O1396" s="18"/>
      <c r="P1396" s="24"/>
      <c r="Q1396" s="25">
        <v>45992</v>
      </c>
      <c r="R1396" s="13">
        <v>0</v>
      </c>
      <c r="S1396" s="26" t="str">
        <f>VLOOKUP(C1396,'[1]Bazaar Salary'!$B$6:$J$1193,9,0)</f>
        <v>09740010154970280011</v>
      </c>
      <c r="T1396" s="25" t="s">
        <v>32</v>
      </c>
      <c r="U1396" s="25" t="s">
        <v>242</v>
      </c>
      <c r="V1396" s="25"/>
      <c r="W1396" s="27" t="s">
        <v>4993</v>
      </c>
      <c r="X1396" s="28" t="s">
        <v>4994</v>
      </c>
      <c r="Y1396" s="28"/>
      <c r="Z1396" s="29" t="s">
        <v>37</v>
      </c>
    </row>
    <row r="1397" spans="1:26" ht="30" customHeight="1" thickBot="1" x14ac:dyDescent="0.25">
      <c r="A1397" s="17">
        <f t="shared" si="43"/>
        <v>1396</v>
      </c>
      <c r="B1397" s="18" t="s">
        <v>25</v>
      </c>
      <c r="C1397" s="19">
        <v>3530304842315</v>
      </c>
      <c r="D1397" s="19"/>
      <c r="E1397" s="20">
        <v>43558</v>
      </c>
      <c r="F1397" s="20">
        <v>47211</v>
      </c>
      <c r="G1397" s="21">
        <v>36800</v>
      </c>
      <c r="H1397" s="22">
        <f t="shared" ca="1" si="42"/>
        <v>25</v>
      </c>
      <c r="I1397" s="19" t="s">
        <v>26</v>
      </c>
      <c r="J1397" s="18" t="s">
        <v>27</v>
      </c>
      <c r="K1397" s="18"/>
      <c r="L1397" s="23" t="s">
        <v>3607</v>
      </c>
      <c r="M1397" s="23" t="s">
        <v>4995</v>
      </c>
      <c r="N1397" s="23" t="s">
        <v>1499</v>
      </c>
      <c r="O1397" s="18"/>
      <c r="P1397" s="24"/>
      <c r="Q1397" s="25">
        <v>45992</v>
      </c>
      <c r="R1397" s="13">
        <v>0</v>
      </c>
      <c r="S1397" s="26" t="str">
        <f>VLOOKUP(C1397,'[1]Bazaar Salary'!$B$6:$J$1193,9,0)</f>
        <v>09740010154133530015</v>
      </c>
      <c r="T1397" s="25" t="s">
        <v>32</v>
      </c>
      <c r="U1397" s="25" t="s">
        <v>242</v>
      </c>
      <c r="V1397" s="25" t="s">
        <v>1356</v>
      </c>
      <c r="W1397" s="27" t="s">
        <v>4996</v>
      </c>
      <c r="X1397" s="28" t="s">
        <v>4997</v>
      </c>
      <c r="Y1397" s="28"/>
      <c r="Z1397" s="29" t="s">
        <v>37</v>
      </c>
    </row>
    <row r="1398" spans="1:26" ht="30" customHeight="1" thickBot="1" x14ac:dyDescent="0.25">
      <c r="A1398" s="17">
        <f t="shared" si="43"/>
        <v>1397</v>
      </c>
      <c r="B1398" s="18" t="s">
        <v>25</v>
      </c>
      <c r="C1398" s="19">
        <v>3530174374803</v>
      </c>
      <c r="D1398" s="19"/>
      <c r="E1398" s="20">
        <v>42822</v>
      </c>
      <c r="F1398" s="20">
        <v>46474</v>
      </c>
      <c r="G1398" s="21">
        <v>36196</v>
      </c>
      <c r="H1398" s="22">
        <f t="shared" ca="1" si="42"/>
        <v>27</v>
      </c>
      <c r="I1398" s="19" t="s">
        <v>26</v>
      </c>
      <c r="J1398" s="18" t="s">
        <v>27</v>
      </c>
      <c r="K1398" s="18"/>
      <c r="L1398" s="23" t="s">
        <v>4998</v>
      </c>
      <c r="M1398" s="23" t="s">
        <v>4999</v>
      </c>
      <c r="N1398" s="23" t="s">
        <v>1499</v>
      </c>
      <c r="O1398" s="18"/>
      <c r="P1398" s="24"/>
      <c r="Q1398" s="25">
        <v>45992</v>
      </c>
      <c r="R1398" s="13">
        <v>0</v>
      </c>
      <c r="S1398" s="26" t="str">
        <f>VLOOKUP(C1398,'[1]Bazaar Salary'!$B$6:$J$1193,9,0)</f>
        <v>02880010139260490015</v>
      </c>
      <c r="T1398" s="25" t="s">
        <v>32</v>
      </c>
      <c r="U1398" s="25" t="s">
        <v>242</v>
      </c>
      <c r="V1398" s="25"/>
      <c r="W1398" s="27" t="s">
        <v>5000</v>
      </c>
      <c r="X1398" s="28" t="s">
        <v>5001</v>
      </c>
      <c r="Y1398" s="28"/>
      <c r="Z1398" s="29" t="s">
        <v>37</v>
      </c>
    </row>
    <row r="1399" spans="1:26" ht="30" customHeight="1" thickBot="1" x14ac:dyDescent="0.25">
      <c r="A1399" s="17">
        <f t="shared" si="43"/>
        <v>1398</v>
      </c>
      <c r="B1399" s="18" t="s">
        <v>25</v>
      </c>
      <c r="C1399" s="19">
        <v>3510153510553</v>
      </c>
      <c r="D1399" s="19"/>
      <c r="E1399" s="20">
        <v>45707</v>
      </c>
      <c r="F1399" s="20">
        <v>49359</v>
      </c>
      <c r="G1399" s="21">
        <v>27273</v>
      </c>
      <c r="H1399" s="22">
        <f t="shared" ca="1" si="42"/>
        <v>51</v>
      </c>
      <c r="I1399" s="19" t="s">
        <v>26</v>
      </c>
      <c r="J1399" s="18" t="s">
        <v>27</v>
      </c>
      <c r="K1399" s="18"/>
      <c r="L1399" s="23" t="s">
        <v>1709</v>
      </c>
      <c r="M1399" s="23" t="s">
        <v>3561</v>
      </c>
      <c r="N1399" s="23" t="s">
        <v>1499</v>
      </c>
      <c r="O1399" s="18"/>
      <c r="P1399" s="24"/>
      <c r="Q1399" s="25">
        <v>45992</v>
      </c>
      <c r="R1399" s="13">
        <v>0</v>
      </c>
      <c r="S1399" s="26" t="str">
        <f>VLOOKUP(C1399,'[1]Bazaar Salary'!$B$6:$J$1193,9,0)</f>
        <v>09740010153344210018</v>
      </c>
      <c r="T1399" s="25" t="s">
        <v>32</v>
      </c>
      <c r="U1399" s="25" t="s">
        <v>242</v>
      </c>
      <c r="V1399" s="25"/>
      <c r="W1399" s="27" t="s">
        <v>5002</v>
      </c>
      <c r="X1399" s="28" t="s">
        <v>5003</v>
      </c>
      <c r="Y1399" s="28"/>
      <c r="Z1399" s="29" t="s">
        <v>37</v>
      </c>
    </row>
    <row r="1400" spans="1:26" ht="30" customHeight="1" thickBot="1" x14ac:dyDescent="0.25">
      <c r="A1400" s="17">
        <f t="shared" si="43"/>
        <v>1399</v>
      </c>
      <c r="B1400" s="18" t="s">
        <v>25</v>
      </c>
      <c r="C1400" s="19">
        <v>3110111313865</v>
      </c>
      <c r="D1400" s="19">
        <v>1879</v>
      </c>
      <c r="E1400" s="20">
        <v>44705</v>
      </c>
      <c r="F1400" s="20">
        <v>48358</v>
      </c>
      <c r="G1400" s="21">
        <v>37289</v>
      </c>
      <c r="H1400" s="22">
        <f t="shared" ca="1" si="42"/>
        <v>24</v>
      </c>
      <c r="I1400" s="19" t="s">
        <v>26</v>
      </c>
      <c r="J1400" s="18" t="s">
        <v>27</v>
      </c>
      <c r="K1400" s="18"/>
      <c r="L1400" s="23" t="s">
        <v>1598</v>
      </c>
      <c r="M1400" s="23" t="s">
        <v>5004</v>
      </c>
      <c r="N1400" s="23" t="s">
        <v>1499</v>
      </c>
      <c r="O1400" s="18"/>
      <c r="P1400" s="24"/>
      <c r="Q1400" s="25">
        <v>45992</v>
      </c>
      <c r="R1400" s="13">
        <v>0</v>
      </c>
      <c r="S1400" s="26" t="str">
        <f>VLOOKUP(C1400,'[1]Bazaar Salary'!$B$6:$J$1193,9,0)</f>
        <v>51870020144631330015</v>
      </c>
      <c r="T1400" s="25" t="s">
        <v>32</v>
      </c>
      <c r="U1400" s="25" t="s">
        <v>242</v>
      </c>
      <c r="V1400" s="25"/>
      <c r="W1400" s="27" t="s">
        <v>5005</v>
      </c>
      <c r="X1400" s="28" t="s">
        <v>5006</v>
      </c>
      <c r="Y1400" s="28"/>
      <c r="Z1400" s="29" t="s">
        <v>37</v>
      </c>
    </row>
    <row r="1401" spans="1:26" ht="30" customHeight="1" thickBot="1" x14ac:dyDescent="0.25">
      <c r="A1401" s="17">
        <f t="shared" si="43"/>
        <v>1400</v>
      </c>
      <c r="B1401" s="18" t="s">
        <v>25</v>
      </c>
      <c r="C1401" s="19">
        <v>3510194822537</v>
      </c>
      <c r="D1401" s="19"/>
      <c r="E1401" s="20">
        <v>44371</v>
      </c>
      <c r="F1401" s="20">
        <v>48023</v>
      </c>
      <c r="G1401" s="21">
        <v>37681</v>
      </c>
      <c r="H1401" s="22">
        <f t="shared" ca="1" si="42"/>
        <v>23</v>
      </c>
      <c r="I1401" s="19" t="s">
        <v>26</v>
      </c>
      <c r="J1401" s="18" t="s">
        <v>27</v>
      </c>
      <c r="K1401" s="18"/>
      <c r="L1401" s="23" t="s">
        <v>1940</v>
      </c>
      <c r="M1401" s="23" t="s">
        <v>695</v>
      </c>
      <c r="N1401" s="23" t="s">
        <v>1295</v>
      </c>
      <c r="O1401" s="18"/>
      <c r="P1401" s="24"/>
      <c r="Q1401" s="25">
        <v>46117</v>
      </c>
      <c r="R1401" s="13">
        <v>0</v>
      </c>
      <c r="S1401" s="26" t="str">
        <f>VLOOKUP(C1401,'[3]May-26'!$B$5:$H$89,7,0)</f>
        <v>09740010162271480010</v>
      </c>
      <c r="T1401" s="25" t="s">
        <v>32</v>
      </c>
      <c r="U1401" s="25" t="s">
        <v>242</v>
      </c>
      <c r="V1401" s="25" t="s">
        <v>3391</v>
      </c>
      <c r="W1401" s="27" t="s">
        <v>5007</v>
      </c>
      <c r="X1401" s="28" t="s">
        <v>5008</v>
      </c>
      <c r="Y1401" s="28"/>
      <c r="Z1401" s="29" t="s">
        <v>3390</v>
      </c>
    </row>
    <row r="1402" spans="1:26" ht="30" customHeight="1" thickBot="1" x14ac:dyDescent="0.25">
      <c r="A1402" s="17">
        <f t="shared" si="43"/>
        <v>1401</v>
      </c>
      <c r="B1402" s="18" t="s">
        <v>25</v>
      </c>
      <c r="C1402" s="19">
        <v>3530212859893</v>
      </c>
      <c r="D1402" s="19"/>
      <c r="E1402" s="20">
        <v>45973</v>
      </c>
      <c r="F1402" s="20">
        <v>49625</v>
      </c>
      <c r="G1402" s="21">
        <v>33724</v>
      </c>
      <c r="H1402" s="22">
        <f t="shared" ca="1" si="42"/>
        <v>34</v>
      </c>
      <c r="I1402" s="19" t="s">
        <v>26</v>
      </c>
      <c r="J1402" s="18" t="s">
        <v>27</v>
      </c>
      <c r="K1402" s="18"/>
      <c r="L1402" s="23" t="s">
        <v>5009</v>
      </c>
      <c r="M1402" s="23" t="s">
        <v>5010</v>
      </c>
      <c r="N1402" s="23" t="s">
        <v>457</v>
      </c>
      <c r="O1402" s="18"/>
      <c r="P1402" s="24"/>
      <c r="Q1402" s="25">
        <v>46112</v>
      </c>
      <c r="R1402" s="13">
        <v>0</v>
      </c>
      <c r="S1402" s="26" t="str">
        <f>VLOOKUP(C1402,'[3]May-26'!$B$5:$H$89,7,0)</f>
        <v>09740010161753030012</v>
      </c>
      <c r="T1402" s="25" t="s">
        <v>32</v>
      </c>
      <c r="U1402" s="25" t="s">
        <v>242</v>
      </c>
      <c r="V1402" s="25"/>
      <c r="W1402" s="27" t="s">
        <v>5011</v>
      </c>
      <c r="X1402" s="28" t="s">
        <v>5012</v>
      </c>
      <c r="Y1402" s="28"/>
      <c r="Z1402" s="29" t="s">
        <v>3390</v>
      </c>
    </row>
    <row r="1403" spans="1:26" ht="30" customHeight="1" thickBot="1" x14ac:dyDescent="0.25">
      <c r="A1403" s="17">
        <f t="shared" si="43"/>
        <v>1402</v>
      </c>
      <c r="B1403" s="18" t="s">
        <v>25</v>
      </c>
      <c r="C1403" s="19">
        <v>3530243705593</v>
      </c>
      <c r="D1403" s="19"/>
      <c r="E1403" s="20">
        <v>45418</v>
      </c>
      <c r="F1403" s="20">
        <v>49070</v>
      </c>
      <c r="G1403" s="21">
        <v>38758</v>
      </c>
      <c r="H1403" s="22">
        <f t="shared" ca="1" si="42"/>
        <v>20</v>
      </c>
      <c r="I1403" s="19" t="s">
        <v>26</v>
      </c>
      <c r="J1403" s="18" t="s">
        <v>27</v>
      </c>
      <c r="K1403" s="18"/>
      <c r="L1403" s="23" t="s">
        <v>3607</v>
      </c>
      <c r="M1403" s="23" t="s">
        <v>5013</v>
      </c>
      <c r="N1403" s="23" t="s">
        <v>1488</v>
      </c>
      <c r="O1403" s="18"/>
      <c r="P1403" s="24"/>
      <c r="Q1403" s="25">
        <v>46023</v>
      </c>
      <c r="R1403" s="13">
        <v>0</v>
      </c>
      <c r="S1403" s="26" t="str">
        <f>VLOOKUP(C1403,'[1]Bazaar Salary'!$B$6:$J$1193,9,0)</f>
        <v>09740010151712760016</v>
      </c>
      <c r="T1403" s="25" t="s">
        <v>32</v>
      </c>
      <c r="U1403" s="25" t="s">
        <v>242</v>
      </c>
      <c r="V1403" s="25"/>
      <c r="W1403" s="27" t="s">
        <v>5014</v>
      </c>
      <c r="X1403" s="28" t="s">
        <v>5015</v>
      </c>
      <c r="Y1403" s="28"/>
      <c r="Z1403" s="29" t="s">
        <v>37</v>
      </c>
    </row>
    <row r="1404" spans="1:26" ht="30" customHeight="1" thickBot="1" x14ac:dyDescent="0.25">
      <c r="A1404" s="17">
        <f t="shared" si="43"/>
        <v>1403</v>
      </c>
      <c r="B1404" s="18" t="s">
        <v>25</v>
      </c>
      <c r="C1404" s="19">
        <v>3530219452843</v>
      </c>
      <c r="D1404" s="19"/>
      <c r="E1404" s="20">
        <v>45180</v>
      </c>
      <c r="F1404" s="20" t="s">
        <v>196</v>
      </c>
      <c r="G1404" s="21">
        <v>24654</v>
      </c>
      <c r="H1404" s="22">
        <f t="shared" ca="1" si="42"/>
        <v>58</v>
      </c>
      <c r="I1404" s="19" t="s">
        <v>26</v>
      </c>
      <c r="J1404" s="18" t="s">
        <v>27</v>
      </c>
      <c r="K1404" s="18"/>
      <c r="L1404" s="23" t="s">
        <v>1169</v>
      </c>
      <c r="M1404" s="23" t="s">
        <v>894</v>
      </c>
      <c r="N1404" s="23" t="s">
        <v>1499</v>
      </c>
      <c r="O1404" s="18"/>
      <c r="P1404" s="24"/>
      <c r="Q1404" s="25">
        <v>46074</v>
      </c>
      <c r="R1404" s="13">
        <v>0</v>
      </c>
      <c r="S1404" s="26" t="str">
        <f>VLOOKUP(C1404,'[4]Daily Wages '!$B$6:$G$197,6,0)</f>
        <v>09740010160602690014</v>
      </c>
      <c r="T1404" s="25" t="s">
        <v>32</v>
      </c>
      <c r="U1404" s="25" t="s">
        <v>242</v>
      </c>
      <c r="V1404" s="25"/>
      <c r="W1404" s="27" t="s">
        <v>4496</v>
      </c>
      <c r="X1404" s="28" t="s">
        <v>5016</v>
      </c>
      <c r="Y1404" s="28"/>
      <c r="Z1404" s="29" t="s">
        <v>3390</v>
      </c>
    </row>
    <row r="1405" spans="1:26" ht="30" customHeight="1" thickBot="1" x14ac:dyDescent="0.25">
      <c r="A1405" s="17">
        <f t="shared" si="43"/>
        <v>1404</v>
      </c>
      <c r="B1405" s="18" t="s">
        <v>25</v>
      </c>
      <c r="C1405" s="19">
        <v>3530172000201</v>
      </c>
      <c r="D1405" s="19"/>
      <c r="E1405" s="20"/>
      <c r="F1405" s="20"/>
      <c r="G1405" s="21"/>
      <c r="H1405" s="22">
        <f t="shared" ca="1" si="42"/>
        <v>126</v>
      </c>
      <c r="I1405" s="19" t="s">
        <v>26</v>
      </c>
      <c r="J1405" s="18" t="s">
        <v>27</v>
      </c>
      <c r="K1405" s="18"/>
      <c r="L1405" s="23" t="s">
        <v>4999</v>
      </c>
      <c r="M1405" s="23" t="s">
        <v>2664</v>
      </c>
      <c r="N1405" s="23" t="s">
        <v>1499</v>
      </c>
      <c r="O1405" s="18"/>
      <c r="P1405" s="24"/>
      <c r="Q1405" s="25">
        <v>46112</v>
      </c>
      <c r="R1405" s="13">
        <v>0</v>
      </c>
      <c r="S1405" s="26" t="str">
        <f>VLOOKUP(C1405,'[4]Daily Wages '!$B$6:$G$197,6,0)</f>
        <v>09740010161751480010</v>
      </c>
      <c r="T1405" s="25" t="s">
        <v>32</v>
      </c>
      <c r="U1405" s="25" t="s">
        <v>242</v>
      </c>
      <c r="V1405" s="25"/>
      <c r="W1405" s="27" t="s">
        <v>5017</v>
      </c>
      <c r="X1405" s="28" t="s">
        <v>5018</v>
      </c>
      <c r="Y1405" s="28"/>
      <c r="Z1405" s="29" t="s">
        <v>3390</v>
      </c>
    </row>
    <row r="1406" spans="1:26" ht="30" customHeight="1" thickBot="1" x14ac:dyDescent="0.25">
      <c r="A1406" s="17">
        <f t="shared" si="43"/>
        <v>1405</v>
      </c>
      <c r="B1406" s="18" t="s">
        <v>25</v>
      </c>
      <c r="C1406" s="19">
        <v>3530235277921</v>
      </c>
      <c r="D1406" s="19"/>
      <c r="E1406" s="20">
        <v>45368</v>
      </c>
      <c r="F1406" s="20">
        <v>49020</v>
      </c>
      <c r="G1406" s="21">
        <v>38766</v>
      </c>
      <c r="H1406" s="22">
        <f t="shared" ca="1" si="42"/>
        <v>20</v>
      </c>
      <c r="I1406" s="19" t="s">
        <v>26</v>
      </c>
      <c r="J1406" s="18" t="s">
        <v>27</v>
      </c>
      <c r="K1406" s="18"/>
      <c r="L1406" s="23" t="s">
        <v>5019</v>
      </c>
      <c r="M1406" s="23" t="s">
        <v>5020</v>
      </c>
      <c r="N1406" s="23" t="s">
        <v>1499</v>
      </c>
      <c r="O1406" s="18"/>
      <c r="P1406" s="24"/>
      <c r="Q1406" s="25">
        <v>46129</v>
      </c>
      <c r="R1406" s="13">
        <v>0</v>
      </c>
      <c r="S1406" s="26" t="str">
        <f>VLOOKUP(C1406,'[4]Daily Wages '!$B$6:$G$197,6,0)</f>
        <v>02930010162795660011</v>
      </c>
      <c r="T1406" s="25" t="s">
        <v>32</v>
      </c>
      <c r="U1406" s="25" t="s">
        <v>242</v>
      </c>
      <c r="V1406" s="25"/>
      <c r="W1406" s="27" t="s">
        <v>5021</v>
      </c>
      <c r="X1406" s="28" t="s">
        <v>5022</v>
      </c>
      <c r="Y1406" s="28"/>
      <c r="Z1406" s="29" t="s">
        <v>3390</v>
      </c>
    </row>
    <row r="1407" spans="1:26" ht="30" customHeight="1" thickBot="1" x14ac:dyDescent="0.25">
      <c r="A1407" s="17">
        <f t="shared" si="43"/>
        <v>1406</v>
      </c>
      <c r="B1407" s="18" t="s">
        <v>25</v>
      </c>
      <c r="C1407" s="19">
        <v>3620295112513</v>
      </c>
      <c r="D1407" s="19"/>
      <c r="E1407" s="20">
        <v>43508</v>
      </c>
      <c r="F1407" s="20">
        <v>47161</v>
      </c>
      <c r="G1407" s="21">
        <v>36219</v>
      </c>
      <c r="H1407" s="22">
        <f t="shared" ca="1" si="42"/>
        <v>27</v>
      </c>
      <c r="I1407" s="19" t="s">
        <v>26</v>
      </c>
      <c r="J1407" s="18" t="s">
        <v>27</v>
      </c>
      <c r="K1407" s="18"/>
      <c r="L1407" s="23" t="s">
        <v>5023</v>
      </c>
      <c r="M1407" s="23" t="s">
        <v>1708</v>
      </c>
      <c r="N1407" s="24" t="s">
        <v>1295</v>
      </c>
      <c r="O1407" s="18"/>
      <c r="P1407" s="24"/>
      <c r="Q1407" s="25">
        <v>45999</v>
      </c>
      <c r="R1407" s="13">
        <v>0</v>
      </c>
      <c r="S1407" s="26" t="str">
        <f>VLOOKUP(C1407,'[1]Bazaar Salary'!$B$6:$J$1193,9,0)</f>
        <v>02980010156465900010</v>
      </c>
      <c r="T1407" s="25" t="s">
        <v>32</v>
      </c>
      <c r="U1407" s="25" t="s">
        <v>410</v>
      </c>
      <c r="V1407" s="25"/>
      <c r="W1407" s="27" t="s">
        <v>5024</v>
      </c>
      <c r="X1407" s="28" t="s">
        <v>5025</v>
      </c>
      <c r="Y1407" s="28"/>
      <c r="Z1407" s="29" t="s">
        <v>37</v>
      </c>
    </row>
    <row r="1408" spans="1:26" ht="30" customHeight="1" thickBot="1" x14ac:dyDescent="0.25">
      <c r="A1408" s="17">
        <f t="shared" si="43"/>
        <v>1407</v>
      </c>
      <c r="B1408" s="18" t="s">
        <v>25</v>
      </c>
      <c r="C1408" s="19">
        <v>3640270305807</v>
      </c>
      <c r="D1408" s="19"/>
      <c r="E1408" s="20">
        <v>45866</v>
      </c>
      <c r="F1408" s="20">
        <v>49518</v>
      </c>
      <c r="G1408" s="21">
        <v>39252</v>
      </c>
      <c r="H1408" s="22">
        <f t="shared" ca="1" si="42"/>
        <v>18</v>
      </c>
      <c r="I1408" s="19" t="s">
        <v>26</v>
      </c>
      <c r="J1408" s="18" t="s">
        <v>27</v>
      </c>
      <c r="K1408" s="18"/>
      <c r="L1408" s="23" t="s">
        <v>5026</v>
      </c>
      <c r="M1408" s="23" t="s">
        <v>5027</v>
      </c>
      <c r="N1408" s="23" t="s">
        <v>1488</v>
      </c>
      <c r="O1408" s="18"/>
      <c r="P1408" s="24"/>
      <c r="Q1408" s="25">
        <v>46015</v>
      </c>
      <c r="R1408" s="13">
        <v>0</v>
      </c>
      <c r="S1408" s="26" t="str">
        <f>VLOOKUP(C1408,'[1]Bazaar Salary'!$B$6:$J$1193,9,0)</f>
        <v>02980010157370900019</v>
      </c>
      <c r="T1408" s="25" t="s">
        <v>32</v>
      </c>
      <c r="U1408" s="25" t="s">
        <v>410</v>
      </c>
      <c r="V1408" s="25"/>
      <c r="W1408" s="27" t="s">
        <v>5028</v>
      </c>
      <c r="X1408" s="28" t="s">
        <v>5029</v>
      </c>
      <c r="Y1408" s="28"/>
      <c r="Z1408" s="29" t="s">
        <v>37</v>
      </c>
    </row>
    <row r="1409" spans="1:26" ht="30" customHeight="1" thickBot="1" x14ac:dyDescent="0.25">
      <c r="A1409" s="17">
        <f t="shared" si="43"/>
        <v>1408</v>
      </c>
      <c r="B1409" s="18" t="s">
        <v>25</v>
      </c>
      <c r="C1409" s="19">
        <v>3530352203181</v>
      </c>
      <c r="D1409" s="19">
        <v>1927</v>
      </c>
      <c r="E1409" s="20">
        <v>45231</v>
      </c>
      <c r="F1409" s="20">
        <v>48884</v>
      </c>
      <c r="G1409" s="21">
        <v>31138</v>
      </c>
      <c r="H1409" s="22">
        <f t="shared" ca="1" si="42"/>
        <v>41</v>
      </c>
      <c r="I1409" s="19" t="s">
        <v>26</v>
      </c>
      <c r="J1409" s="18" t="s">
        <v>27</v>
      </c>
      <c r="K1409" s="18"/>
      <c r="L1409" s="23" t="s">
        <v>5030</v>
      </c>
      <c r="M1409" s="23" t="s">
        <v>1640</v>
      </c>
      <c r="N1409" s="23" t="s">
        <v>1499</v>
      </c>
      <c r="O1409" s="18"/>
      <c r="P1409" s="24"/>
      <c r="Q1409" s="25">
        <v>45992</v>
      </c>
      <c r="R1409" s="13">
        <v>0</v>
      </c>
      <c r="S1409" s="26" t="str">
        <f>VLOOKUP(C1409,'[1]Bazaar Salary'!$B$6:$J$1193,9,0)</f>
        <v>03000010017884670028</v>
      </c>
      <c r="T1409" s="25" t="s">
        <v>32</v>
      </c>
      <c r="U1409" s="25" t="s">
        <v>410</v>
      </c>
      <c r="V1409" s="25"/>
      <c r="W1409" s="27" t="s">
        <v>5031</v>
      </c>
      <c r="X1409" s="28" t="s">
        <v>5032</v>
      </c>
      <c r="Y1409" s="28"/>
      <c r="Z1409" s="29" t="s">
        <v>37</v>
      </c>
    </row>
    <row r="1410" spans="1:26" ht="30" customHeight="1" thickBot="1" x14ac:dyDescent="0.25">
      <c r="A1410" s="17">
        <f t="shared" si="43"/>
        <v>1409</v>
      </c>
      <c r="B1410" s="18" t="s">
        <v>25</v>
      </c>
      <c r="C1410" s="19">
        <v>3110119946631</v>
      </c>
      <c r="D1410" s="19">
        <v>1894</v>
      </c>
      <c r="E1410" s="20">
        <v>45645</v>
      </c>
      <c r="F1410" s="20">
        <v>49297</v>
      </c>
      <c r="G1410" s="21">
        <v>38722</v>
      </c>
      <c r="H1410" s="22">
        <f t="shared" ref="H1410:H1473" ca="1" si="44">INT((TODAY()-G1410)/365)</f>
        <v>20</v>
      </c>
      <c r="I1410" s="19" t="s">
        <v>26</v>
      </c>
      <c r="J1410" s="18" t="s">
        <v>27</v>
      </c>
      <c r="K1410" s="18"/>
      <c r="L1410" s="23" t="s">
        <v>3044</v>
      </c>
      <c r="M1410" s="23" t="s">
        <v>5033</v>
      </c>
      <c r="N1410" s="23" t="s">
        <v>1499</v>
      </c>
      <c r="O1410" s="18"/>
      <c r="P1410" s="24"/>
      <c r="Q1410" s="25">
        <v>45992</v>
      </c>
      <c r="R1410" s="13">
        <v>0</v>
      </c>
      <c r="S1410" s="26" t="str">
        <f>VLOOKUP(C1410,'[1]Bazaar Salary'!$B$6:$J$1193,9,0)</f>
        <v>52710020144558610013</v>
      </c>
      <c r="T1410" s="25" t="s">
        <v>32</v>
      </c>
      <c r="U1410" s="25" t="s">
        <v>410</v>
      </c>
      <c r="V1410" s="25"/>
      <c r="W1410" s="27" t="s">
        <v>5034</v>
      </c>
      <c r="X1410" s="28" t="s">
        <v>5035</v>
      </c>
      <c r="Y1410" s="28"/>
      <c r="Z1410" s="29" t="s">
        <v>37</v>
      </c>
    </row>
    <row r="1411" spans="1:26" ht="30" customHeight="1" thickBot="1" x14ac:dyDescent="0.25">
      <c r="A1411" s="17">
        <f t="shared" si="43"/>
        <v>1410</v>
      </c>
      <c r="B1411" s="18" t="s">
        <v>25</v>
      </c>
      <c r="C1411" s="19">
        <v>3220393110641</v>
      </c>
      <c r="D1411" s="19"/>
      <c r="E1411" s="20">
        <v>43565</v>
      </c>
      <c r="F1411" s="20">
        <v>47218</v>
      </c>
      <c r="G1411" s="21">
        <v>36526</v>
      </c>
      <c r="H1411" s="22">
        <f t="shared" ca="1" si="44"/>
        <v>26</v>
      </c>
      <c r="I1411" s="19" t="s">
        <v>26</v>
      </c>
      <c r="J1411" s="18" t="s">
        <v>27</v>
      </c>
      <c r="K1411" s="18"/>
      <c r="L1411" s="23" t="s">
        <v>5036</v>
      </c>
      <c r="M1411" s="23" t="s">
        <v>1142</v>
      </c>
      <c r="N1411" s="23" t="s">
        <v>1488</v>
      </c>
      <c r="O1411" s="18"/>
      <c r="P1411" s="24"/>
      <c r="Q1411" s="25">
        <v>46073</v>
      </c>
      <c r="R1411" s="13">
        <v>0</v>
      </c>
      <c r="S1411" s="26" t="str">
        <f>VLOOKUP(C1411,'[4]Daily Wages '!$B$6:$G$197,6,0)</f>
        <v>00430010160328880014</v>
      </c>
      <c r="T1411" s="25" t="s">
        <v>32</v>
      </c>
      <c r="U1411" s="25" t="s">
        <v>410</v>
      </c>
      <c r="V1411" s="25" t="s">
        <v>5037</v>
      </c>
      <c r="W1411" s="27" t="s">
        <v>5038</v>
      </c>
      <c r="X1411" s="28" t="s">
        <v>5039</v>
      </c>
      <c r="Y1411" s="28"/>
      <c r="Z1411" s="29" t="s">
        <v>3390</v>
      </c>
    </row>
    <row r="1412" spans="1:26" ht="30" customHeight="1" thickBot="1" x14ac:dyDescent="0.25">
      <c r="A1412" s="17">
        <f t="shared" ref="A1412:A1475" si="45">A1411+1</f>
        <v>1411</v>
      </c>
      <c r="B1412" s="18" t="s">
        <v>25</v>
      </c>
      <c r="C1412" s="19">
        <v>3650184047165</v>
      </c>
      <c r="D1412" s="19"/>
      <c r="E1412" s="20"/>
      <c r="F1412" s="20"/>
      <c r="G1412" s="21">
        <v>39263</v>
      </c>
      <c r="H1412" s="22">
        <f t="shared" ca="1" si="44"/>
        <v>18</v>
      </c>
      <c r="I1412" s="19" t="s">
        <v>26</v>
      </c>
      <c r="J1412" s="18" t="s">
        <v>27</v>
      </c>
      <c r="K1412" s="18"/>
      <c r="L1412" s="23" t="s">
        <v>3607</v>
      </c>
      <c r="M1412" s="23" t="s">
        <v>761</v>
      </c>
      <c r="N1412" s="23" t="s">
        <v>1499</v>
      </c>
      <c r="O1412" s="18"/>
      <c r="P1412" s="24"/>
      <c r="Q1412" s="25">
        <v>46068</v>
      </c>
      <c r="R1412" s="13">
        <v>0</v>
      </c>
      <c r="S1412" s="26" t="str">
        <f>VLOOKUP(C1412,'[4]Daily Wages '!$B$6:$G$197,6,0)</f>
        <v>00430010160184230013</v>
      </c>
      <c r="T1412" s="25" t="s">
        <v>32</v>
      </c>
      <c r="U1412" s="25" t="s">
        <v>410</v>
      </c>
      <c r="V1412" s="25"/>
      <c r="W1412" s="27" t="s">
        <v>5040</v>
      </c>
      <c r="X1412" s="28" t="s">
        <v>5041</v>
      </c>
      <c r="Y1412" s="28"/>
      <c r="Z1412" s="29" t="s">
        <v>3390</v>
      </c>
    </row>
    <row r="1413" spans="1:26" ht="30" customHeight="1" thickBot="1" x14ac:dyDescent="0.25">
      <c r="A1413" s="17">
        <f t="shared" si="45"/>
        <v>1412</v>
      </c>
      <c r="B1413" s="18" t="s">
        <v>25</v>
      </c>
      <c r="C1413" s="19">
        <v>3510376974029</v>
      </c>
      <c r="D1413" s="19">
        <v>1893</v>
      </c>
      <c r="E1413" s="20">
        <v>44827</v>
      </c>
      <c r="F1413" s="20">
        <v>48480</v>
      </c>
      <c r="G1413" s="21">
        <v>37816</v>
      </c>
      <c r="H1413" s="22">
        <f t="shared" ca="1" si="44"/>
        <v>22</v>
      </c>
      <c r="I1413" s="19" t="s">
        <v>26</v>
      </c>
      <c r="J1413" s="18" t="s">
        <v>27</v>
      </c>
      <c r="K1413" s="18"/>
      <c r="L1413" s="23" t="s">
        <v>5042</v>
      </c>
      <c r="M1413" s="23" t="s">
        <v>5043</v>
      </c>
      <c r="N1413" s="24" t="s">
        <v>1295</v>
      </c>
      <c r="O1413" s="18"/>
      <c r="P1413" s="24"/>
      <c r="Q1413" s="25">
        <v>45992</v>
      </c>
      <c r="R1413" s="13">
        <v>0</v>
      </c>
      <c r="S1413" s="26" t="str">
        <f>VLOOKUP(C1413,'[1]Bazaar Salary'!$B$6:$J$1193,9,0)</f>
        <v>03900010146054890010</v>
      </c>
      <c r="T1413" s="25" t="s">
        <v>32</v>
      </c>
      <c r="U1413" s="25" t="s">
        <v>1166</v>
      </c>
      <c r="V1413" s="25" t="s">
        <v>3391</v>
      </c>
      <c r="W1413" s="27" t="s">
        <v>869</v>
      </c>
      <c r="X1413" s="28" t="s">
        <v>5044</v>
      </c>
      <c r="Y1413" s="28"/>
      <c r="Z1413" s="29" t="s">
        <v>37</v>
      </c>
    </row>
    <row r="1414" spans="1:26" ht="30" customHeight="1" thickBot="1" x14ac:dyDescent="0.25">
      <c r="A1414" s="17">
        <f t="shared" si="45"/>
        <v>1413</v>
      </c>
      <c r="B1414" s="18" t="s">
        <v>25</v>
      </c>
      <c r="C1414" s="19">
        <v>1350161947855</v>
      </c>
      <c r="D1414" s="19"/>
      <c r="E1414" s="20">
        <v>45937</v>
      </c>
      <c r="F1414" s="20">
        <v>49589</v>
      </c>
      <c r="G1414" s="21">
        <v>38358</v>
      </c>
      <c r="H1414" s="22">
        <f t="shared" ca="1" si="44"/>
        <v>21</v>
      </c>
      <c r="I1414" s="19" t="s">
        <v>26</v>
      </c>
      <c r="J1414" s="18" t="s">
        <v>27</v>
      </c>
      <c r="K1414" s="18"/>
      <c r="L1414" s="23" t="s">
        <v>2872</v>
      </c>
      <c r="M1414" s="23" t="s">
        <v>3096</v>
      </c>
      <c r="N1414" s="24" t="s">
        <v>1295</v>
      </c>
      <c r="O1414" s="18"/>
      <c r="P1414" s="24"/>
      <c r="Q1414" s="25">
        <v>46004</v>
      </c>
      <c r="R1414" s="13">
        <v>0</v>
      </c>
      <c r="S1414" s="26" t="str">
        <f>VLOOKUP(C1414,'[1]Bazaar Salary'!$B$6:$J$1193,9,0)</f>
        <v>03000010156846230016</v>
      </c>
      <c r="T1414" s="25" t="s">
        <v>32</v>
      </c>
      <c r="U1414" s="25" t="s">
        <v>1166</v>
      </c>
      <c r="V1414" s="25"/>
      <c r="W1414" s="27" t="s">
        <v>5045</v>
      </c>
      <c r="X1414" s="28" t="s">
        <v>3650</v>
      </c>
      <c r="Y1414" s="28"/>
      <c r="Z1414" s="29" t="s">
        <v>37</v>
      </c>
    </row>
    <row r="1415" spans="1:26" ht="30" customHeight="1" thickBot="1" x14ac:dyDescent="0.25">
      <c r="A1415" s="17">
        <f t="shared" si="45"/>
        <v>1414</v>
      </c>
      <c r="B1415" s="18" t="s">
        <v>25</v>
      </c>
      <c r="C1415" s="19">
        <v>3510362627653</v>
      </c>
      <c r="D1415" s="19"/>
      <c r="E1415" s="20">
        <v>45166</v>
      </c>
      <c r="F1415" s="20">
        <v>48819</v>
      </c>
      <c r="G1415" s="21">
        <v>33943</v>
      </c>
      <c r="H1415" s="22">
        <f t="shared" ca="1" si="44"/>
        <v>33</v>
      </c>
      <c r="I1415" s="19" t="s">
        <v>26</v>
      </c>
      <c r="J1415" s="18" t="s">
        <v>27</v>
      </c>
      <c r="K1415" s="18"/>
      <c r="L1415" s="23" t="s">
        <v>5046</v>
      </c>
      <c r="M1415" s="23" t="s">
        <v>5047</v>
      </c>
      <c r="N1415" s="23" t="s">
        <v>457</v>
      </c>
      <c r="O1415" s="18"/>
      <c r="P1415" s="24"/>
      <c r="Q1415" s="25">
        <v>46023</v>
      </c>
      <c r="R1415" s="13">
        <v>0</v>
      </c>
      <c r="S1415" s="26" t="str">
        <f>VLOOKUP(C1415,'[1]Bazaar Salary'!$B$6:$J$1193,9,0)</f>
        <v>03000010153945110010</v>
      </c>
      <c r="T1415" s="25" t="s">
        <v>32</v>
      </c>
      <c r="U1415" s="25" t="s">
        <v>1166</v>
      </c>
      <c r="V1415" s="25" t="s">
        <v>265</v>
      </c>
      <c r="W1415" s="27" t="s">
        <v>5048</v>
      </c>
      <c r="X1415" s="28" t="s">
        <v>5049</v>
      </c>
      <c r="Y1415" s="28"/>
      <c r="Z1415" s="29" t="s">
        <v>37</v>
      </c>
    </row>
    <row r="1416" spans="1:26" ht="30" customHeight="1" thickBot="1" x14ac:dyDescent="0.25">
      <c r="A1416" s="17">
        <f t="shared" si="45"/>
        <v>1415</v>
      </c>
      <c r="B1416" s="18" t="s">
        <v>25</v>
      </c>
      <c r="C1416" s="19">
        <v>3510315279885</v>
      </c>
      <c r="D1416" s="19">
        <v>1887</v>
      </c>
      <c r="E1416" s="20">
        <v>42685</v>
      </c>
      <c r="F1416" s="20">
        <v>46337</v>
      </c>
      <c r="G1416" s="21">
        <v>35972</v>
      </c>
      <c r="H1416" s="22">
        <f t="shared" ca="1" si="44"/>
        <v>27</v>
      </c>
      <c r="I1416" s="19" t="s">
        <v>26</v>
      </c>
      <c r="J1416" s="18" t="s">
        <v>27</v>
      </c>
      <c r="K1416" s="18"/>
      <c r="L1416" s="23" t="s">
        <v>5050</v>
      </c>
      <c r="M1416" s="23" t="s">
        <v>350</v>
      </c>
      <c r="N1416" s="23" t="s">
        <v>457</v>
      </c>
      <c r="O1416" s="18"/>
      <c r="P1416" s="24"/>
      <c r="Q1416" s="25">
        <v>46023</v>
      </c>
      <c r="R1416" s="13">
        <v>0</v>
      </c>
      <c r="S1416" s="26" t="str">
        <f>VLOOKUP(C1416,'[1]Bazaar Salary'!$B$6:$J$1193,9,0)</f>
        <v>01530010045472470024</v>
      </c>
      <c r="T1416" s="25" t="s">
        <v>32</v>
      </c>
      <c r="U1416" s="25" t="s">
        <v>1166</v>
      </c>
      <c r="V1416" s="25" t="s">
        <v>5051</v>
      </c>
      <c r="W1416" s="27" t="s">
        <v>5045</v>
      </c>
      <c r="X1416" s="28" t="s">
        <v>5052</v>
      </c>
      <c r="Y1416" s="28"/>
      <c r="Z1416" s="29" t="s">
        <v>37</v>
      </c>
    </row>
    <row r="1417" spans="1:26" ht="30" customHeight="1" thickBot="1" x14ac:dyDescent="0.25">
      <c r="A1417" s="17">
        <f t="shared" si="45"/>
        <v>1416</v>
      </c>
      <c r="B1417" s="18" t="s">
        <v>25</v>
      </c>
      <c r="C1417" s="19">
        <v>3510360387437</v>
      </c>
      <c r="D1417" s="19"/>
      <c r="E1417" s="20">
        <v>44815</v>
      </c>
      <c r="F1417" s="20">
        <v>48468</v>
      </c>
      <c r="G1417" s="21">
        <v>35419</v>
      </c>
      <c r="H1417" s="22">
        <f t="shared" ca="1" si="44"/>
        <v>29</v>
      </c>
      <c r="I1417" s="19" t="s">
        <v>26</v>
      </c>
      <c r="J1417" s="18" t="s">
        <v>27</v>
      </c>
      <c r="K1417" s="18"/>
      <c r="L1417" s="23" t="s">
        <v>5053</v>
      </c>
      <c r="M1417" s="23" t="s">
        <v>5054</v>
      </c>
      <c r="N1417" s="24" t="s">
        <v>468</v>
      </c>
      <c r="O1417" s="18"/>
      <c r="P1417" s="24"/>
      <c r="Q1417" s="25">
        <v>46023</v>
      </c>
      <c r="R1417" s="13">
        <v>0</v>
      </c>
      <c r="S1417" s="26" t="str">
        <f>VLOOKUP(C1417,'[1]Bazaar Salary'!$B$6:$J$1193,9,0)</f>
        <v>03000010153952400013</v>
      </c>
      <c r="T1417" s="25" t="s">
        <v>32</v>
      </c>
      <c r="U1417" s="25" t="s">
        <v>1166</v>
      </c>
      <c r="V1417" s="25" t="s">
        <v>3688</v>
      </c>
      <c r="W1417" s="27" t="s">
        <v>3832</v>
      </c>
      <c r="X1417" s="28" t="s">
        <v>5055</v>
      </c>
      <c r="Y1417" s="28"/>
      <c r="Z1417" s="29" t="s">
        <v>37</v>
      </c>
    </row>
    <row r="1418" spans="1:26" ht="30" customHeight="1" thickBot="1" x14ac:dyDescent="0.25">
      <c r="A1418" s="17">
        <f t="shared" si="45"/>
        <v>1417</v>
      </c>
      <c r="B1418" s="18" t="s">
        <v>25</v>
      </c>
      <c r="C1418" s="19">
        <v>3510334278033</v>
      </c>
      <c r="D1418" s="19"/>
      <c r="E1418" s="20">
        <v>43818</v>
      </c>
      <c r="F1418" s="20">
        <v>47471</v>
      </c>
      <c r="G1418" s="21">
        <v>36691</v>
      </c>
      <c r="H1418" s="22">
        <f t="shared" ca="1" si="44"/>
        <v>26</v>
      </c>
      <c r="I1418" s="19" t="s">
        <v>912</v>
      </c>
      <c r="J1418" s="18" t="s">
        <v>27</v>
      </c>
      <c r="K1418" s="18"/>
      <c r="L1418" s="23" t="s">
        <v>5056</v>
      </c>
      <c r="M1418" s="23" t="s">
        <v>3815</v>
      </c>
      <c r="N1418" s="23" t="s">
        <v>1488</v>
      </c>
      <c r="O1418" s="18"/>
      <c r="P1418" s="24"/>
      <c r="Q1418" s="25">
        <v>45992</v>
      </c>
      <c r="R1418" s="13">
        <v>0</v>
      </c>
      <c r="S1418" s="26" t="str">
        <f>VLOOKUP(C1418,'[1]Bazaar Salary'!$B$6:$J$1193,9,0)</f>
        <v>03000010155960130019</v>
      </c>
      <c r="T1418" s="25" t="s">
        <v>32</v>
      </c>
      <c r="U1418" s="25" t="s">
        <v>1166</v>
      </c>
      <c r="V1418" s="25"/>
      <c r="W1418" s="27" t="s">
        <v>5057</v>
      </c>
      <c r="X1418" s="28" t="s">
        <v>5058</v>
      </c>
      <c r="Y1418" s="28"/>
      <c r="Z1418" s="29" t="s">
        <v>37</v>
      </c>
    </row>
    <row r="1419" spans="1:26" ht="30" customHeight="1" thickBot="1" x14ac:dyDescent="0.25">
      <c r="A1419" s="17">
        <f t="shared" si="45"/>
        <v>1418</v>
      </c>
      <c r="B1419" s="18" t="s">
        <v>25</v>
      </c>
      <c r="C1419" s="19">
        <v>3510324656325</v>
      </c>
      <c r="D1419" s="19"/>
      <c r="E1419" s="20">
        <v>43181</v>
      </c>
      <c r="F1419" s="20">
        <v>46834</v>
      </c>
      <c r="G1419" s="21">
        <v>36161</v>
      </c>
      <c r="H1419" s="22">
        <f t="shared" ca="1" si="44"/>
        <v>27</v>
      </c>
      <c r="I1419" s="19" t="s">
        <v>912</v>
      </c>
      <c r="J1419" s="18" t="s">
        <v>27</v>
      </c>
      <c r="K1419" s="18"/>
      <c r="L1419" s="23" t="s">
        <v>2178</v>
      </c>
      <c r="M1419" s="23" t="s">
        <v>1791</v>
      </c>
      <c r="N1419" s="23" t="s">
        <v>1488</v>
      </c>
      <c r="O1419" s="18"/>
      <c r="P1419" s="24"/>
      <c r="Q1419" s="25">
        <v>45992</v>
      </c>
      <c r="R1419" s="13">
        <v>0</v>
      </c>
      <c r="S1419" s="26" t="str">
        <f>VLOOKUP(C1419,'[1]Bazaar Salary'!$B$6:$J$1193,9,0)</f>
        <v>03000010155353960013</v>
      </c>
      <c r="T1419" s="25" t="s">
        <v>32</v>
      </c>
      <c r="U1419" s="25" t="s">
        <v>1166</v>
      </c>
      <c r="V1419" s="25"/>
      <c r="W1419" s="27" t="s">
        <v>5059</v>
      </c>
      <c r="X1419" s="28" t="s">
        <v>5060</v>
      </c>
      <c r="Y1419" s="28"/>
      <c r="Z1419" s="29" t="s">
        <v>37</v>
      </c>
    </row>
    <row r="1420" spans="1:26" ht="30" customHeight="1" thickBot="1" x14ac:dyDescent="0.25">
      <c r="A1420" s="17">
        <f t="shared" si="45"/>
        <v>1419</v>
      </c>
      <c r="B1420" s="18" t="s">
        <v>25</v>
      </c>
      <c r="C1420" s="19">
        <v>3510374481791</v>
      </c>
      <c r="D1420" s="19"/>
      <c r="E1420" s="20">
        <v>45954</v>
      </c>
      <c r="F1420" s="20">
        <v>49606</v>
      </c>
      <c r="G1420" s="21">
        <v>35271</v>
      </c>
      <c r="H1420" s="22">
        <f t="shared" ca="1" si="44"/>
        <v>29</v>
      </c>
      <c r="I1420" s="19" t="s">
        <v>912</v>
      </c>
      <c r="J1420" s="18" t="s">
        <v>27</v>
      </c>
      <c r="K1420" s="18"/>
      <c r="L1420" s="23" t="s">
        <v>2953</v>
      </c>
      <c r="M1420" s="23" t="s">
        <v>3210</v>
      </c>
      <c r="N1420" s="23" t="s">
        <v>1488</v>
      </c>
      <c r="O1420" s="18"/>
      <c r="P1420" s="24"/>
      <c r="Q1420" s="25">
        <v>45992</v>
      </c>
      <c r="R1420" s="13">
        <v>0</v>
      </c>
      <c r="S1420" s="26" t="str">
        <f>VLOOKUP(C1420,'[1]Bazaar Salary'!$B$6:$J$1193,9,0)</f>
        <v>03000010058709940021</v>
      </c>
      <c r="T1420" s="25" t="s">
        <v>32</v>
      </c>
      <c r="U1420" s="25" t="s">
        <v>1166</v>
      </c>
      <c r="V1420" s="25"/>
      <c r="W1420" s="27" t="s">
        <v>5061</v>
      </c>
      <c r="X1420" s="28" t="s">
        <v>5062</v>
      </c>
      <c r="Y1420" s="28"/>
      <c r="Z1420" s="29" t="s">
        <v>37</v>
      </c>
    </row>
    <row r="1421" spans="1:26" ht="30" customHeight="1" thickBot="1" x14ac:dyDescent="0.25">
      <c r="A1421" s="17">
        <f t="shared" si="45"/>
        <v>1420</v>
      </c>
      <c r="B1421" s="18" t="s">
        <v>25</v>
      </c>
      <c r="C1421" s="19">
        <v>3510349516669</v>
      </c>
      <c r="D1421" s="19"/>
      <c r="E1421" s="20">
        <v>42445</v>
      </c>
      <c r="F1421" s="20">
        <v>46097</v>
      </c>
      <c r="G1421" s="21">
        <v>35841</v>
      </c>
      <c r="H1421" s="22">
        <f t="shared" ca="1" si="44"/>
        <v>28</v>
      </c>
      <c r="I1421" s="19" t="s">
        <v>26</v>
      </c>
      <c r="J1421" s="18" t="s">
        <v>27</v>
      </c>
      <c r="K1421" s="18"/>
      <c r="L1421" s="23" t="s">
        <v>4034</v>
      </c>
      <c r="M1421" s="23" t="s">
        <v>1305</v>
      </c>
      <c r="N1421" s="23" t="s">
        <v>1499</v>
      </c>
      <c r="O1421" s="18"/>
      <c r="P1421" s="24"/>
      <c r="Q1421" s="25">
        <v>45992</v>
      </c>
      <c r="R1421" s="13">
        <v>0</v>
      </c>
      <c r="S1421" s="26" t="str">
        <f>VLOOKUP(C1421,'[1]Bazaar Salary'!$B$6:$J$1193,9,0)</f>
        <v>03900010152180890018</v>
      </c>
      <c r="T1421" s="25" t="s">
        <v>32</v>
      </c>
      <c r="U1421" s="25" t="s">
        <v>1166</v>
      </c>
      <c r="V1421" s="25"/>
      <c r="W1421" s="27" t="s">
        <v>869</v>
      </c>
      <c r="X1421" s="28" t="s">
        <v>5063</v>
      </c>
      <c r="Y1421" s="28"/>
      <c r="Z1421" s="29" t="s">
        <v>37</v>
      </c>
    </row>
    <row r="1422" spans="1:26" ht="30" customHeight="1" thickBot="1" x14ac:dyDescent="0.25">
      <c r="A1422" s="17">
        <f t="shared" si="45"/>
        <v>1421</v>
      </c>
      <c r="B1422" s="18" t="s">
        <v>25</v>
      </c>
      <c r="C1422" s="19">
        <v>3510357709281</v>
      </c>
      <c r="D1422" s="19"/>
      <c r="E1422" s="20">
        <v>43470</v>
      </c>
      <c r="F1422" s="20">
        <v>47123</v>
      </c>
      <c r="G1422" s="21">
        <v>32143</v>
      </c>
      <c r="H1422" s="22">
        <f t="shared" ca="1" si="44"/>
        <v>38</v>
      </c>
      <c r="I1422" s="19" t="s">
        <v>26</v>
      </c>
      <c r="J1422" s="18" t="s">
        <v>27</v>
      </c>
      <c r="K1422" s="18"/>
      <c r="L1422" s="23" t="s">
        <v>5064</v>
      </c>
      <c r="M1422" s="23" t="s">
        <v>5065</v>
      </c>
      <c r="N1422" s="23" t="s">
        <v>1499</v>
      </c>
      <c r="O1422" s="18"/>
      <c r="P1422" s="24"/>
      <c r="Q1422" s="25">
        <v>45992</v>
      </c>
      <c r="R1422" s="13">
        <v>0</v>
      </c>
      <c r="S1422" s="26" t="str">
        <f>VLOOKUP(C1422,'[1]Bazaar Salary'!$B$6:$J$1193,9,0)</f>
        <v>03000010154843450019</v>
      </c>
      <c r="T1422" s="25" t="s">
        <v>32</v>
      </c>
      <c r="U1422" s="25" t="s">
        <v>1166</v>
      </c>
      <c r="V1422" s="25"/>
      <c r="W1422" s="27" t="s">
        <v>5066</v>
      </c>
      <c r="X1422" s="28" t="s">
        <v>3947</v>
      </c>
      <c r="Y1422" s="28"/>
      <c r="Z1422" s="29" t="s">
        <v>37</v>
      </c>
    </row>
    <row r="1423" spans="1:26" ht="30" customHeight="1" thickBot="1" x14ac:dyDescent="0.25">
      <c r="A1423" s="17">
        <f t="shared" si="45"/>
        <v>1422</v>
      </c>
      <c r="B1423" s="18" t="s">
        <v>25</v>
      </c>
      <c r="C1423" s="19">
        <v>3530342741241</v>
      </c>
      <c r="D1423" s="19"/>
      <c r="E1423" s="20">
        <v>44913</v>
      </c>
      <c r="F1423" s="20">
        <v>48566</v>
      </c>
      <c r="G1423" s="21">
        <v>33970</v>
      </c>
      <c r="H1423" s="22">
        <f t="shared" ca="1" si="44"/>
        <v>33</v>
      </c>
      <c r="I1423" s="19" t="s">
        <v>26</v>
      </c>
      <c r="J1423" s="18" t="s">
        <v>27</v>
      </c>
      <c r="K1423" s="18"/>
      <c r="L1423" s="23" t="s">
        <v>5067</v>
      </c>
      <c r="M1423" s="23" t="s">
        <v>5068</v>
      </c>
      <c r="N1423" s="23" t="s">
        <v>1499</v>
      </c>
      <c r="O1423" s="18"/>
      <c r="P1423" s="24"/>
      <c r="Q1423" s="25">
        <v>45992</v>
      </c>
      <c r="R1423" s="13">
        <v>0</v>
      </c>
      <c r="S1423" s="26" t="str">
        <f>VLOOKUP(C1423,'[1]Bazaar Salary'!$B$6:$J$1193,9,0)</f>
        <v>03000010152597350018</v>
      </c>
      <c r="T1423" s="25" t="s">
        <v>32</v>
      </c>
      <c r="U1423" s="25" t="s">
        <v>1166</v>
      </c>
      <c r="V1423" s="25"/>
      <c r="W1423" s="27" t="s">
        <v>5069</v>
      </c>
      <c r="X1423" s="28" t="s">
        <v>5070</v>
      </c>
      <c r="Y1423" s="28"/>
      <c r="Z1423" s="29" t="s">
        <v>37</v>
      </c>
    </row>
    <row r="1424" spans="1:26" ht="30" customHeight="1" thickBot="1" x14ac:dyDescent="0.25">
      <c r="A1424" s="17">
        <f t="shared" si="45"/>
        <v>1423</v>
      </c>
      <c r="B1424" s="18" t="s">
        <v>25</v>
      </c>
      <c r="C1424" s="19">
        <v>3510359192103</v>
      </c>
      <c r="D1424" s="19"/>
      <c r="E1424" s="20">
        <v>45916</v>
      </c>
      <c r="F1424" s="20">
        <v>49568</v>
      </c>
      <c r="G1424" s="21">
        <v>34079</v>
      </c>
      <c r="H1424" s="22">
        <f t="shared" ca="1" si="44"/>
        <v>33</v>
      </c>
      <c r="I1424" s="19" t="s">
        <v>26</v>
      </c>
      <c r="J1424" s="18" t="s">
        <v>27</v>
      </c>
      <c r="K1424" s="18"/>
      <c r="L1424" s="23" t="s">
        <v>5071</v>
      </c>
      <c r="M1424" s="23" t="s">
        <v>3519</v>
      </c>
      <c r="N1424" s="23" t="s">
        <v>1295</v>
      </c>
      <c r="O1424" s="18"/>
      <c r="P1424" s="24"/>
      <c r="Q1424" s="25">
        <v>46157</v>
      </c>
      <c r="R1424" s="13">
        <v>0</v>
      </c>
      <c r="S1424" s="26" t="str">
        <f>VLOOKUP(C1424,'[3]May-26'!$B$5:$H$89,7,0)</f>
        <v>03000010164318750010</v>
      </c>
      <c r="T1424" s="25" t="s">
        <v>32</v>
      </c>
      <c r="U1424" s="25" t="s">
        <v>1166</v>
      </c>
      <c r="V1424" s="25" t="s">
        <v>3391</v>
      </c>
      <c r="W1424" s="27" t="s">
        <v>5072</v>
      </c>
      <c r="X1424" s="28" t="s">
        <v>5073</v>
      </c>
      <c r="Y1424" s="28"/>
      <c r="Z1424" s="29" t="s">
        <v>3390</v>
      </c>
    </row>
    <row r="1425" spans="1:26" ht="30" customHeight="1" thickBot="1" x14ac:dyDescent="0.25">
      <c r="A1425" s="17">
        <f t="shared" si="45"/>
        <v>1424</v>
      </c>
      <c r="B1425" s="18" t="s">
        <v>25</v>
      </c>
      <c r="C1425" s="19">
        <v>3520284305261</v>
      </c>
      <c r="D1425" s="19"/>
      <c r="E1425" s="20">
        <v>45804</v>
      </c>
      <c r="F1425" s="20">
        <v>49456</v>
      </c>
      <c r="G1425" s="21">
        <v>39194</v>
      </c>
      <c r="H1425" s="22">
        <f t="shared" ca="1" si="44"/>
        <v>19</v>
      </c>
      <c r="I1425" s="19" t="s">
        <v>912</v>
      </c>
      <c r="J1425" s="18" t="s">
        <v>27</v>
      </c>
      <c r="K1425" s="18"/>
      <c r="L1425" s="23" t="s">
        <v>5074</v>
      </c>
      <c r="M1425" s="23" t="s">
        <v>4589</v>
      </c>
      <c r="N1425" s="23" t="s">
        <v>1488</v>
      </c>
      <c r="O1425" s="18"/>
      <c r="P1425" s="24"/>
      <c r="Q1425" s="25">
        <v>46050</v>
      </c>
      <c r="R1425" s="13">
        <v>0</v>
      </c>
      <c r="S1425" s="26" t="str">
        <f>VLOOKUP(C1425,'[1]Bazaar Salary'!$B$6:$J$1193,9,0)</f>
        <v>03910010159051120027</v>
      </c>
      <c r="T1425" s="25" t="s">
        <v>32</v>
      </c>
      <c r="U1425" s="25" t="s">
        <v>415</v>
      </c>
      <c r="V1425" s="25"/>
      <c r="W1425" s="27" t="s">
        <v>5075</v>
      </c>
      <c r="X1425" s="28" t="s">
        <v>5076</v>
      </c>
      <c r="Y1425" s="28"/>
      <c r="Z1425" s="29" t="s">
        <v>37</v>
      </c>
    </row>
    <row r="1426" spans="1:26" ht="30" customHeight="1" thickBot="1" x14ac:dyDescent="0.25">
      <c r="A1426" s="17">
        <f t="shared" si="45"/>
        <v>1425</v>
      </c>
      <c r="B1426" s="18" t="s">
        <v>25</v>
      </c>
      <c r="C1426" s="19">
        <v>3520289863218</v>
      </c>
      <c r="D1426" s="19"/>
      <c r="E1426" s="20">
        <v>44407</v>
      </c>
      <c r="F1426" s="20">
        <v>48059</v>
      </c>
      <c r="G1426" s="21">
        <v>37231</v>
      </c>
      <c r="H1426" s="22">
        <f t="shared" ca="1" si="44"/>
        <v>24</v>
      </c>
      <c r="I1426" s="19" t="s">
        <v>26</v>
      </c>
      <c r="J1426" s="18" t="s">
        <v>66</v>
      </c>
      <c r="K1426" s="18"/>
      <c r="L1426" s="23" t="s">
        <v>5077</v>
      </c>
      <c r="M1426" s="23" t="s">
        <v>2573</v>
      </c>
      <c r="N1426" s="23" t="s">
        <v>457</v>
      </c>
      <c r="O1426" s="18"/>
      <c r="P1426" s="24"/>
      <c r="Q1426" s="25">
        <v>46085</v>
      </c>
      <c r="R1426" s="13">
        <v>0</v>
      </c>
      <c r="S1426" s="26" t="str">
        <f>VLOOKUP(C1426,'[3]May-26'!$B$5:$H$89,7,0)</f>
        <v>93910010160678420010</v>
      </c>
      <c r="T1426" s="25" t="s">
        <v>32</v>
      </c>
      <c r="U1426" s="25" t="s">
        <v>415</v>
      </c>
      <c r="V1426" s="25" t="s">
        <v>5078</v>
      </c>
      <c r="W1426" s="27" t="s">
        <v>5079</v>
      </c>
      <c r="X1426" s="28" t="s">
        <v>5080</v>
      </c>
      <c r="Y1426" s="28"/>
      <c r="Z1426" s="29" t="s">
        <v>3390</v>
      </c>
    </row>
    <row r="1427" spans="1:26" ht="30" customHeight="1" thickBot="1" x14ac:dyDescent="0.25">
      <c r="A1427" s="17">
        <f t="shared" si="45"/>
        <v>1426</v>
      </c>
      <c r="B1427" s="18" t="s">
        <v>25</v>
      </c>
      <c r="C1427" s="19">
        <v>3520403755329</v>
      </c>
      <c r="D1427" s="19"/>
      <c r="E1427" s="20">
        <v>43466</v>
      </c>
      <c r="F1427" s="20">
        <v>47119</v>
      </c>
      <c r="G1427" s="21">
        <v>36566</v>
      </c>
      <c r="H1427" s="22">
        <f t="shared" ca="1" si="44"/>
        <v>26</v>
      </c>
      <c r="I1427" s="19" t="s">
        <v>26</v>
      </c>
      <c r="J1427" s="18" t="s">
        <v>27</v>
      </c>
      <c r="K1427" s="18"/>
      <c r="L1427" s="23" t="s">
        <v>5081</v>
      </c>
      <c r="M1427" s="23" t="s">
        <v>1384</v>
      </c>
      <c r="N1427" s="23" t="s">
        <v>5082</v>
      </c>
      <c r="O1427" s="18"/>
      <c r="P1427" s="24"/>
      <c r="Q1427" s="25">
        <v>46086</v>
      </c>
      <c r="R1427" s="13">
        <v>0</v>
      </c>
      <c r="S1427" s="26" t="str">
        <f>VLOOKUP(C1427,'[4]Daily Wages '!$B$6:$G$197,6,0)</f>
        <v>10790010160785680014</v>
      </c>
      <c r="T1427" s="25" t="s">
        <v>32</v>
      </c>
      <c r="U1427" s="25" t="s">
        <v>415</v>
      </c>
      <c r="V1427" s="25"/>
      <c r="W1427" s="27" t="s">
        <v>5083</v>
      </c>
      <c r="X1427" s="28" t="s">
        <v>5084</v>
      </c>
      <c r="Y1427" s="28"/>
      <c r="Z1427" s="29" t="s">
        <v>3390</v>
      </c>
    </row>
    <row r="1428" spans="1:26" ht="30" customHeight="1" thickBot="1" x14ac:dyDescent="0.25">
      <c r="A1428" s="17">
        <f t="shared" si="45"/>
        <v>1427</v>
      </c>
      <c r="B1428" s="18" t="s">
        <v>25</v>
      </c>
      <c r="C1428" s="19">
        <v>3520280209909</v>
      </c>
      <c r="D1428" s="19"/>
      <c r="E1428" s="20">
        <v>42689</v>
      </c>
      <c r="F1428" s="20">
        <v>46341</v>
      </c>
      <c r="G1428" s="21">
        <v>31048</v>
      </c>
      <c r="H1428" s="22">
        <f t="shared" ca="1" si="44"/>
        <v>41</v>
      </c>
      <c r="I1428" s="19" t="s">
        <v>26</v>
      </c>
      <c r="J1428" s="18" t="s">
        <v>27</v>
      </c>
      <c r="K1428" s="18"/>
      <c r="L1428" s="23" t="s">
        <v>2273</v>
      </c>
      <c r="M1428" s="23" t="s">
        <v>285</v>
      </c>
      <c r="N1428" s="23" t="s">
        <v>1488</v>
      </c>
      <c r="O1428" s="18"/>
      <c r="P1428" s="24"/>
      <c r="Q1428" s="25">
        <v>46038</v>
      </c>
      <c r="R1428" s="13">
        <v>0</v>
      </c>
      <c r="S1428" s="26" t="str">
        <f>VLOOKUP(C1428,'[1]Bazaar Salary'!$B$6:$J$1193,9,0)</f>
        <v>03910010159568830019</v>
      </c>
      <c r="T1428" s="25" t="s">
        <v>32</v>
      </c>
      <c r="U1428" s="25" t="s">
        <v>839</v>
      </c>
      <c r="V1428" s="25"/>
      <c r="W1428" s="27" t="s">
        <v>5085</v>
      </c>
      <c r="X1428" s="28" t="s">
        <v>5086</v>
      </c>
      <c r="Y1428" s="28"/>
      <c r="Z1428" s="29" t="s">
        <v>37</v>
      </c>
    </row>
    <row r="1429" spans="1:26" ht="30" customHeight="1" thickBot="1" x14ac:dyDescent="0.25">
      <c r="A1429" s="17">
        <f t="shared" si="45"/>
        <v>1428</v>
      </c>
      <c r="B1429" s="18" t="s">
        <v>25</v>
      </c>
      <c r="C1429" s="19">
        <v>3520404343891</v>
      </c>
      <c r="D1429" s="19"/>
      <c r="E1429" s="20">
        <v>44864</v>
      </c>
      <c r="F1429" s="20">
        <v>48517</v>
      </c>
      <c r="G1429" s="21">
        <v>33420</v>
      </c>
      <c r="H1429" s="22">
        <f t="shared" ca="1" si="44"/>
        <v>34</v>
      </c>
      <c r="I1429" s="19" t="s">
        <v>912</v>
      </c>
      <c r="J1429" s="18" t="s">
        <v>27</v>
      </c>
      <c r="K1429" s="18"/>
      <c r="L1429" s="23" t="s">
        <v>5087</v>
      </c>
      <c r="M1429" s="23" t="s">
        <v>5088</v>
      </c>
      <c r="N1429" s="23" t="s">
        <v>1488</v>
      </c>
      <c r="O1429" s="18"/>
      <c r="P1429" s="24"/>
      <c r="Q1429" s="25">
        <v>46013</v>
      </c>
      <c r="R1429" s="13">
        <v>0</v>
      </c>
      <c r="S1429" s="26" t="str">
        <f>VLOOKUP(C1429,'[1]Bazaar Salary'!$B$6:$J$1193,9,0)</f>
        <v>03910010157685800017</v>
      </c>
      <c r="T1429" s="25" t="s">
        <v>32</v>
      </c>
      <c r="U1429" s="25" t="s">
        <v>839</v>
      </c>
      <c r="V1429" s="25"/>
      <c r="W1429" s="27" t="s">
        <v>5089</v>
      </c>
      <c r="X1429" s="28" t="s">
        <v>5090</v>
      </c>
      <c r="Y1429" s="28"/>
      <c r="Z1429" s="29" t="s">
        <v>37</v>
      </c>
    </row>
    <row r="1430" spans="1:26" ht="30" customHeight="1" thickBot="1" x14ac:dyDescent="0.25">
      <c r="A1430" s="17">
        <f t="shared" si="45"/>
        <v>1429</v>
      </c>
      <c r="B1430" s="18" t="s">
        <v>25</v>
      </c>
      <c r="C1430" s="19">
        <v>3520241658501</v>
      </c>
      <c r="D1430" s="19"/>
      <c r="E1430" s="20">
        <v>45112</v>
      </c>
      <c r="F1430" s="20">
        <v>48765</v>
      </c>
      <c r="G1430" s="21">
        <v>34618</v>
      </c>
      <c r="H1430" s="22">
        <f t="shared" ca="1" si="44"/>
        <v>31</v>
      </c>
      <c r="I1430" s="19" t="s">
        <v>26</v>
      </c>
      <c r="J1430" s="18" t="s">
        <v>27</v>
      </c>
      <c r="K1430" s="18"/>
      <c r="L1430" s="23" t="s">
        <v>5091</v>
      </c>
      <c r="M1430" s="23" t="s">
        <v>5092</v>
      </c>
      <c r="N1430" s="23" t="s">
        <v>1499</v>
      </c>
      <c r="O1430" s="18"/>
      <c r="P1430" s="24"/>
      <c r="Q1430" s="25">
        <v>46012</v>
      </c>
      <c r="R1430" s="13">
        <v>0</v>
      </c>
      <c r="S1430" s="26" t="str">
        <f>VLOOKUP(C1430,'[1]Bazaar Salary'!$B$6:$J$1193,9,0)</f>
        <v>03910010114105650019</v>
      </c>
      <c r="T1430" s="25" t="s">
        <v>32</v>
      </c>
      <c r="U1430" s="25" t="s">
        <v>839</v>
      </c>
      <c r="V1430" s="25"/>
      <c r="W1430" s="27" t="s">
        <v>5093</v>
      </c>
      <c r="X1430" s="28" t="s">
        <v>5094</v>
      </c>
      <c r="Y1430" s="28"/>
      <c r="Z1430" s="29" t="s">
        <v>37</v>
      </c>
    </row>
    <row r="1431" spans="1:26" ht="30" customHeight="1" thickBot="1" x14ac:dyDescent="0.25">
      <c r="A1431" s="17">
        <f t="shared" si="45"/>
        <v>1430</v>
      </c>
      <c r="B1431" s="18" t="s">
        <v>25</v>
      </c>
      <c r="C1431" s="19">
        <v>3520285130515</v>
      </c>
      <c r="D1431" s="19"/>
      <c r="E1431" s="20">
        <v>44904</v>
      </c>
      <c r="F1431" s="20">
        <v>48557</v>
      </c>
      <c r="G1431" s="21">
        <v>33114</v>
      </c>
      <c r="H1431" s="22">
        <f t="shared" ca="1" si="44"/>
        <v>35</v>
      </c>
      <c r="I1431" s="19" t="s">
        <v>26</v>
      </c>
      <c r="J1431" s="18" t="s">
        <v>27</v>
      </c>
      <c r="K1431" s="18"/>
      <c r="L1431" s="23" t="s">
        <v>5095</v>
      </c>
      <c r="M1431" s="23" t="s">
        <v>414</v>
      </c>
      <c r="N1431" s="23" t="s">
        <v>1499</v>
      </c>
      <c r="O1431" s="18"/>
      <c r="P1431" s="24"/>
      <c r="Q1431" s="25">
        <v>46013</v>
      </c>
      <c r="R1431" s="13">
        <v>0</v>
      </c>
      <c r="S1431" s="26" t="str">
        <f>VLOOKUP(C1431,'[1]Bazaar Salary'!$B$6:$J$1193,9,0)</f>
        <v>03910010157529540014</v>
      </c>
      <c r="T1431" s="25" t="s">
        <v>32</v>
      </c>
      <c r="U1431" s="25" t="s">
        <v>839</v>
      </c>
      <c r="V1431" s="25"/>
      <c r="W1431" s="27" t="s">
        <v>5096</v>
      </c>
      <c r="X1431" s="28" t="s">
        <v>5097</v>
      </c>
      <c r="Y1431" s="28"/>
      <c r="Z1431" s="29" t="s">
        <v>37</v>
      </c>
    </row>
    <row r="1432" spans="1:26" ht="30" customHeight="1" thickBot="1" x14ac:dyDescent="0.25">
      <c r="A1432" s="17">
        <f t="shared" si="45"/>
        <v>1431</v>
      </c>
      <c r="B1432" s="18" t="s">
        <v>25</v>
      </c>
      <c r="C1432" s="19">
        <v>3510266916825</v>
      </c>
      <c r="D1432" s="19"/>
      <c r="E1432" s="20">
        <v>43326</v>
      </c>
      <c r="F1432" s="20">
        <v>46979</v>
      </c>
      <c r="G1432" s="21">
        <v>32805</v>
      </c>
      <c r="H1432" s="22">
        <f t="shared" ca="1" si="44"/>
        <v>36</v>
      </c>
      <c r="I1432" s="19" t="s">
        <v>26</v>
      </c>
      <c r="J1432" s="18" t="s">
        <v>27</v>
      </c>
      <c r="K1432" s="18"/>
      <c r="L1432" s="23" t="s">
        <v>5098</v>
      </c>
      <c r="M1432" s="23" t="s">
        <v>5099</v>
      </c>
      <c r="N1432" s="24" t="s">
        <v>457</v>
      </c>
      <c r="O1432" s="18"/>
      <c r="P1432" s="24"/>
      <c r="Q1432" s="25">
        <v>46054</v>
      </c>
      <c r="R1432" s="13">
        <v>0</v>
      </c>
      <c r="S1432" s="26" t="str">
        <f>VLOOKUP(C1432,'[1]Bazaar Salary'!$B$6:$J$1193,9,0)</f>
        <v>05700010160794630012</v>
      </c>
      <c r="T1432" s="25" t="s">
        <v>32</v>
      </c>
      <c r="U1432" s="25" t="s">
        <v>421</v>
      </c>
      <c r="V1432" s="25" t="s">
        <v>293</v>
      </c>
      <c r="W1432" s="27" t="s">
        <v>5100</v>
      </c>
      <c r="X1432" s="28" t="s">
        <v>5101</v>
      </c>
      <c r="Y1432" s="28"/>
      <c r="Z1432" s="29" t="s">
        <v>37</v>
      </c>
    </row>
    <row r="1433" spans="1:26" ht="30" customHeight="1" thickBot="1" x14ac:dyDescent="0.25">
      <c r="A1433" s="17">
        <f t="shared" si="45"/>
        <v>1432</v>
      </c>
      <c r="B1433" s="18" t="s">
        <v>25</v>
      </c>
      <c r="C1433" s="19">
        <v>3740514551191</v>
      </c>
      <c r="D1433" s="19"/>
      <c r="E1433" s="20">
        <v>43334</v>
      </c>
      <c r="F1433" s="20">
        <v>46987</v>
      </c>
      <c r="G1433" s="21">
        <v>36442</v>
      </c>
      <c r="H1433" s="22">
        <f t="shared" ca="1" si="44"/>
        <v>26</v>
      </c>
      <c r="I1433" s="19" t="s">
        <v>912</v>
      </c>
      <c r="J1433" s="18" t="s">
        <v>27</v>
      </c>
      <c r="K1433" s="18"/>
      <c r="L1433" s="23" t="s">
        <v>5102</v>
      </c>
      <c r="M1433" s="23" t="s">
        <v>5103</v>
      </c>
      <c r="N1433" s="23" t="s">
        <v>1488</v>
      </c>
      <c r="O1433" s="18"/>
      <c r="P1433" s="24"/>
      <c r="Q1433" s="25">
        <v>46149</v>
      </c>
      <c r="R1433" s="13">
        <v>0</v>
      </c>
      <c r="S1433" s="26" t="str">
        <f>VLOOKUP(C1433,'[4]Daily Wages '!$B$6:$G$197,6,0)</f>
        <v>07750010162120950010</v>
      </c>
      <c r="T1433" s="25" t="s">
        <v>32</v>
      </c>
      <c r="U1433" s="25" t="s">
        <v>421</v>
      </c>
      <c r="V1433" s="25"/>
      <c r="W1433" s="27" t="s">
        <v>5104</v>
      </c>
      <c r="X1433" s="28" t="s">
        <v>5105</v>
      </c>
      <c r="Y1433" s="28"/>
      <c r="Z1433" s="29" t="s">
        <v>3390</v>
      </c>
    </row>
    <row r="1434" spans="1:26" ht="30" customHeight="1" thickBot="1" x14ac:dyDescent="0.25">
      <c r="A1434" s="17">
        <f t="shared" si="45"/>
        <v>1433</v>
      </c>
      <c r="B1434" s="18" t="s">
        <v>25</v>
      </c>
      <c r="C1434" s="19">
        <v>6110147708963</v>
      </c>
      <c r="D1434" s="19"/>
      <c r="E1434" s="20">
        <v>45019</v>
      </c>
      <c r="F1434" s="20">
        <v>48672</v>
      </c>
      <c r="G1434" s="21">
        <v>38213</v>
      </c>
      <c r="H1434" s="22">
        <f t="shared" ca="1" si="44"/>
        <v>21</v>
      </c>
      <c r="I1434" s="19" t="s">
        <v>26</v>
      </c>
      <c r="J1434" s="18" t="s">
        <v>27</v>
      </c>
      <c r="K1434" s="18"/>
      <c r="L1434" s="23" t="s">
        <v>3607</v>
      </c>
      <c r="M1434" s="23" t="s">
        <v>3260</v>
      </c>
      <c r="N1434" s="23" t="s">
        <v>1499</v>
      </c>
      <c r="O1434" s="18"/>
      <c r="P1434" s="24"/>
      <c r="Q1434" s="25">
        <v>46156</v>
      </c>
      <c r="R1434" s="13">
        <v>0</v>
      </c>
      <c r="S1434" s="26" t="str">
        <f>VLOOKUP(C1434,'[4]Daily Wages '!$B$6:$G$197,6,0)</f>
        <v>05700010164536220017</v>
      </c>
      <c r="T1434" s="25" t="s">
        <v>32</v>
      </c>
      <c r="U1434" s="25" t="s">
        <v>421</v>
      </c>
      <c r="V1434" s="25"/>
      <c r="W1434" s="27" t="s">
        <v>5106</v>
      </c>
      <c r="X1434" s="28" t="s">
        <v>5107</v>
      </c>
      <c r="Y1434" s="28"/>
      <c r="Z1434" s="29" t="s">
        <v>3390</v>
      </c>
    </row>
    <row r="1435" spans="1:26" ht="30" customHeight="1" thickBot="1" x14ac:dyDescent="0.25">
      <c r="A1435" s="17">
        <f t="shared" si="45"/>
        <v>1434</v>
      </c>
      <c r="B1435" s="18" t="s">
        <v>25</v>
      </c>
      <c r="C1435" s="19">
        <v>3520296699745</v>
      </c>
      <c r="D1435" s="19"/>
      <c r="E1435" s="20">
        <v>44365</v>
      </c>
      <c r="F1435" s="20">
        <v>48017</v>
      </c>
      <c r="G1435" s="21">
        <v>37384</v>
      </c>
      <c r="H1435" s="22">
        <f t="shared" ca="1" si="44"/>
        <v>24</v>
      </c>
      <c r="I1435" s="19" t="s">
        <v>912</v>
      </c>
      <c r="J1435" s="18" t="s">
        <v>27</v>
      </c>
      <c r="K1435" s="18"/>
      <c r="L1435" s="23" t="s">
        <v>5108</v>
      </c>
      <c r="M1435" s="23" t="s">
        <v>5109</v>
      </c>
      <c r="N1435" s="24" t="s">
        <v>1295</v>
      </c>
      <c r="O1435" s="18"/>
      <c r="P1435" s="24"/>
      <c r="Q1435" s="25">
        <v>46038</v>
      </c>
      <c r="R1435" s="13">
        <v>0</v>
      </c>
      <c r="S1435" s="26" t="str">
        <f>VLOOKUP(C1435,'[1]Bazaar Salary'!$B$6:$J$1193,9,0)</f>
        <v>06880010107304710016</v>
      </c>
      <c r="T1435" s="25" t="s">
        <v>32</v>
      </c>
      <c r="U1435" s="25" t="s">
        <v>430</v>
      </c>
      <c r="V1435" s="25"/>
      <c r="W1435" s="27" t="s">
        <v>5110</v>
      </c>
      <c r="X1435" s="28" t="s">
        <v>5111</v>
      </c>
      <c r="Y1435" s="28"/>
      <c r="Z1435" s="29" t="s">
        <v>37</v>
      </c>
    </row>
    <row r="1436" spans="1:26" ht="30" customHeight="1" thickBot="1" x14ac:dyDescent="0.25">
      <c r="A1436" s="17">
        <f t="shared" si="45"/>
        <v>1435</v>
      </c>
      <c r="B1436" s="18" t="s">
        <v>25</v>
      </c>
      <c r="C1436" s="19">
        <v>3520274474273</v>
      </c>
      <c r="D1436" s="19"/>
      <c r="E1436" s="20">
        <v>43059</v>
      </c>
      <c r="F1436" s="20">
        <v>46711</v>
      </c>
      <c r="G1436" s="21">
        <v>36083</v>
      </c>
      <c r="H1436" s="22">
        <f t="shared" ca="1" si="44"/>
        <v>27</v>
      </c>
      <c r="I1436" s="19" t="s">
        <v>26</v>
      </c>
      <c r="J1436" s="18" t="s">
        <v>27</v>
      </c>
      <c r="K1436" s="18"/>
      <c r="L1436" s="23" t="s">
        <v>5112</v>
      </c>
      <c r="M1436" s="23" t="s">
        <v>2570</v>
      </c>
      <c r="N1436" s="23" t="s">
        <v>1295</v>
      </c>
      <c r="O1436" s="18"/>
      <c r="P1436" s="24"/>
      <c r="Q1436" s="25">
        <v>46080</v>
      </c>
      <c r="R1436" s="13">
        <v>0</v>
      </c>
      <c r="S1436" s="26" t="str">
        <f>VLOOKUP(C1436,'[3]May-26'!$B$5:$H$89,7,0)</f>
        <v>09410010160620350017</v>
      </c>
      <c r="T1436" s="25" t="s">
        <v>32</v>
      </c>
      <c r="U1436" s="25" t="s">
        <v>430</v>
      </c>
      <c r="V1436" s="25" t="s">
        <v>884</v>
      </c>
      <c r="W1436" s="27" t="s">
        <v>4503</v>
      </c>
      <c r="X1436" s="28" t="s">
        <v>5113</v>
      </c>
      <c r="Y1436" s="28"/>
      <c r="Z1436" s="29" t="s">
        <v>3390</v>
      </c>
    </row>
    <row r="1437" spans="1:26" ht="30" customHeight="1" thickBot="1" x14ac:dyDescent="0.25">
      <c r="A1437" s="17">
        <f t="shared" si="45"/>
        <v>1436</v>
      </c>
      <c r="B1437" s="18" t="s">
        <v>25</v>
      </c>
      <c r="C1437" s="19">
        <v>3520287549869</v>
      </c>
      <c r="D1437" s="19"/>
      <c r="E1437" s="20">
        <v>43482</v>
      </c>
      <c r="F1437" s="20">
        <v>47135</v>
      </c>
      <c r="G1437" s="21">
        <v>36862</v>
      </c>
      <c r="H1437" s="22">
        <f t="shared" ca="1" si="44"/>
        <v>25</v>
      </c>
      <c r="I1437" s="19" t="s">
        <v>26</v>
      </c>
      <c r="J1437" s="18" t="s">
        <v>27</v>
      </c>
      <c r="K1437" s="18"/>
      <c r="L1437" s="23" t="s">
        <v>5114</v>
      </c>
      <c r="M1437" s="23" t="s">
        <v>5115</v>
      </c>
      <c r="N1437" s="23" t="s">
        <v>1499</v>
      </c>
      <c r="O1437" s="18"/>
      <c r="P1437" s="24"/>
      <c r="Q1437" s="25">
        <v>46079</v>
      </c>
      <c r="R1437" s="13">
        <v>0</v>
      </c>
      <c r="S1437" s="26" t="str">
        <f>VLOOKUP(C1437,'[4]Daily Wages '!$B$6:$G$197,6,0)</f>
        <v>07890010074744350014</v>
      </c>
      <c r="T1437" s="25" t="s">
        <v>32</v>
      </c>
      <c r="U1437" s="25" t="s">
        <v>430</v>
      </c>
      <c r="V1437" s="25"/>
      <c r="W1437" s="27" t="s">
        <v>5116</v>
      </c>
      <c r="X1437" s="28" t="s">
        <v>5117</v>
      </c>
      <c r="Y1437" s="28"/>
      <c r="Z1437" s="29" t="s">
        <v>3390</v>
      </c>
    </row>
    <row r="1438" spans="1:26" ht="30" customHeight="1" thickBot="1" x14ac:dyDescent="0.25">
      <c r="A1438" s="17">
        <f t="shared" si="45"/>
        <v>1437</v>
      </c>
      <c r="B1438" s="18" t="s">
        <v>25</v>
      </c>
      <c r="C1438" s="19">
        <v>3520290337175</v>
      </c>
      <c r="D1438" s="19"/>
      <c r="E1438" s="20">
        <v>45840</v>
      </c>
      <c r="F1438" s="20">
        <v>49492</v>
      </c>
      <c r="G1438" s="21">
        <v>39121</v>
      </c>
      <c r="H1438" s="22">
        <f t="shared" ca="1" si="44"/>
        <v>19</v>
      </c>
      <c r="I1438" s="19" t="s">
        <v>26</v>
      </c>
      <c r="J1438" s="18" t="s">
        <v>27</v>
      </c>
      <c r="K1438" s="18"/>
      <c r="L1438" s="23" t="s">
        <v>619</v>
      </c>
      <c r="M1438" s="23" t="s">
        <v>1640</v>
      </c>
      <c r="N1438" s="23" t="s">
        <v>5118</v>
      </c>
      <c r="O1438" s="18"/>
      <c r="P1438" s="24"/>
      <c r="Q1438" s="25">
        <v>46094</v>
      </c>
      <c r="R1438" s="13">
        <v>0</v>
      </c>
      <c r="S1438" s="26" t="str">
        <f>VLOOKUP(C1438,'[4]Daily Wages '!$B$6:$G$197,6,0)</f>
        <v>09410010161170210012</v>
      </c>
      <c r="T1438" s="25" t="s">
        <v>32</v>
      </c>
      <c r="U1438" s="25" t="s">
        <v>430</v>
      </c>
      <c r="V1438" s="25"/>
      <c r="W1438" s="27" t="s">
        <v>5119</v>
      </c>
      <c r="X1438" s="28" t="s">
        <v>5120</v>
      </c>
      <c r="Y1438" s="28"/>
      <c r="Z1438" s="29" t="s">
        <v>3390</v>
      </c>
    </row>
    <row r="1439" spans="1:26" ht="30" customHeight="1" thickBot="1" x14ac:dyDescent="0.25">
      <c r="A1439" s="17">
        <f t="shared" si="45"/>
        <v>1438</v>
      </c>
      <c r="B1439" s="18" t="s">
        <v>25</v>
      </c>
      <c r="C1439" s="19">
        <v>3220211179671</v>
      </c>
      <c r="D1439" s="19"/>
      <c r="E1439" s="20">
        <v>45713</v>
      </c>
      <c r="F1439" s="20">
        <v>49365</v>
      </c>
      <c r="G1439" s="21">
        <v>39110</v>
      </c>
      <c r="H1439" s="22">
        <f t="shared" ca="1" si="44"/>
        <v>19</v>
      </c>
      <c r="I1439" s="19" t="s">
        <v>26</v>
      </c>
      <c r="J1439" s="18" t="s">
        <v>27</v>
      </c>
      <c r="K1439" s="18"/>
      <c r="L1439" s="23" t="s">
        <v>1689</v>
      </c>
      <c r="M1439" s="23" t="s">
        <v>402</v>
      </c>
      <c r="N1439" s="23" t="s">
        <v>5121</v>
      </c>
      <c r="O1439" s="18"/>
      <c r="P1439" s="24"/>
      <c r="Q1439" s="25">
        <v>46150</v>
      </c>
      <c r="R1439" s="13">
        <v>0</v>
      </c>
      <c r="S1439" s="26" t="str">
        <f>VLOOKUP(C1439,'[4]Daily Wages '!$B$6:$G$197,6,0)</f>
        <v>09410010163817560016</v>
      </c>
      <c r="T1439" s="25" t="s">
        <v>32</v>
      </c>
      <c r="U1439" s="25" t="s">
        <v>430</v>
      </c>
      <c r="V1439" s="25"/>
      <c r="W1439" s="27" t="s">
        <v>5122</v>
      </c>
      <c r="X1439" s="28" t="s">
        <v>5123</v>
      </c>
      <c r="Y1439" s="28"/>
      <c r="Z1439" s="29" t="s">
        <v>3390</v>
      </c>
    </row>
    <row r="1440" spans="1:26" ht="30" customHeight="1" thickBot="1" x14ac:dyDescent="0.25">
      <c r="A1440" s="17">
        <f t="shared" si="45"/>
        <v>1439</v>
      </c>
      <c r="B1440" s="18" t="s">
        <v>25</v>
      </c>
      <c r="C1440" s="19">
        <v>3650190874987</v>
      </c>
      <c r="D1440" s="19"/>
      <c r="E1440" s="20">
        <v>43914</v>
      </c>
      <c r="F1440" s="20">
        <v>47566</v>
      </c>
      <c r="G1440" s="21">
        <v>37254</v>
      </c>
      <c r="H1440" s="22">
        <f t="shared" ca="1" si="44"/>
        <v>24</v>
      </c>
      <c r="I1440" s="19" t="s">
        <v>26</v>
      </c>
      <c r="J1440" s="18" t="s">
        <v>27</v>
      </c>
      <c r="K1440" s="18"/>
      <c r="L1440" s="23" t="s">
        <v>1379</v>
      </c>
      <c r="M1440" s="23" t="s">
        <v>5124</v>
      </c>
      <c r="N1440" s="24" t="s">
        <v>457</v>
      </c>
      <c r="O1440" s="18"/>
      <c r="P1440" s="24"/>
      <c r="Q1440" s="25">
        <v>46023</v>
      </c>
      <c r="R1440" s="13">
        <v>0</v>
      </c>
      <c r="S1440" s="26" t="str">
        <f>VLOOKUP(C1440,'[1]Bazaar Salary'!$B$6:$J$1193,9,0)</f>
        <v>00610010100407710014</v>
      </c>
      <c r="T1440" s="25" t="s">
        <v>32</v>
      </c>
      <c r="U1440" s="25" t="s">
        <v>858</v>
      </c>
      <c r="V1440" s="25" t="s">
        <v>5125</v>
      </c>
      <c r="W1440" s="27" t="s">
        <v>5126</v>
      </c>
      <c r="X1440" s="28" t="s">
        <v>5127</v>
      </c>
      <c r="Y1440" s="28"/>
      <c r="Z1440" s="29" t="s">
        <v>37</v>
      </c>
    </row>
    <row r="1441" spans="1:26" ht="30" customHeight="1" thickBot="1" x14ac:dyDescent="0.25">
      <c r="A1441" s="17">
        <f t="shared" si="45"/>
        <v>1440</v>
      </c>
      <c r="B1441" s="18" t="s">
        <v>25</v>
      </c>
      <c r="C1441" s="19">
        <v>3650219162355</v>
      </c>
      <c r="D1441" s="19">
        <v>1941</v>
      </c>
      <c r="E1441" s="20">
        <v>42765</v>
      </c>
      <c r="F1441" s="20">
        <v>46417</v>
      </c>
      <c r="G1441" s="21">
        <v>33325</v>
      </c>
      <c r="H1441" s="22">
        <f t="shared" ca="1" si="44"/>
        <v>35</v>
      </c>
      <c r="I1441" s="19" t="s">
        <v>26</v>
      </c>
      <c r="J1441" s="18" t="s">
        <v>27</v>
      </c>
      <c r="K1441" s="18"/>
      <c r="L1441" s="23" t="s">
        <v>5128</v>
      </c>
      <c r="M1441" s="23" t="s">
        <v>5129</v>
      </c>
      <c r="N1441" s="23" t="s">
        <v>1499</v>
      </c>
      <c r="O1441" s="18"/>
      <c r="P1441" s="24"/>
      <c r="Q1441" s="25">
        <v>45992</v>
      </c>
      <c r="R1441" s="13">
        <v>0</v>
      </c>
      <c r="S1441" s="26" t="str">
        <f>VLOOKUP(C1441,'[1]Bazaar Salary'!$B$6:$J$1193,9,0)</f>
        <v>12660010151349550018</v>
      </c>
      <c r="T1441" s="25" t="s">
        <v>32</v>
      </c>
      <c r="U1441" s="25" t="s">
        <v>858</v>
      </c>
      <c r="V1441" s="25"/>
      <c r="W1441" s="27" t="s">
        <v>5130</v>
      </c>
      <c r="X1441" s="28" t="s">
        <v>5131</v>
      </c>
      <c r="Y1441" s="28"/>
      <c r="Z1441" s="29" t="s">
        <v>37</v>
      </c>
    </row>
    <row r="1442" spans="1:26" ht="30" customHeight="1" thickBot="1" x14ac:dyDescent="0.25">
      <c r="A1442" s="17">
        <f t="shared" si="45"/>
        <v>1441</v>
      </c>
      <c r="B1442" s="18" t="s">
        <v>25</v>
      </c>
      <c r="C1442" s="19">
        <v>3530219658315</v>
      </c>
      <c r="D1442" s="19"/>
      <c r="E1442" s="20">
        <v>44056</v>
      </c>
      <c r="F1442" s="20">
        <v>47708</v>
      </c>
      <c r="G1442" s="21">
        <v>26796</v>
      </c>
      <c r="H1442" s="22">
        <f t="shared" ca="1" si="44"/>
        <v>53</v>
      </c>
      <c r="I1442" s="19" t="s">
        <v>26</v>
      </c>
      <c r="J1442" s="18" t="s">
        <v>27</v>
      </c>
      <c r="K1442" s="18" t="s">
        <v>5132</v>
      </c>
      <c r="L1442" s="23" t="s">
        <v>68</v>
      </c>
      <c r="M1442" s="23" t="s">
        <v>5133</v>
      </c>
      <c r="N1442" s="23" t="s">
        <v>1295</v>
      </c>
      <c r="O1442" s="18"/>
      <c r="P1442" s="24"/>
      <c r="Q1442" s="25">
        <v>46126</v>
      </c>
      <c r="R1442" s="13">
        <v>0</v>
      </c>
      <c r="S1442" s="26" t="str">
        <f>VLOOKUP(C1442,'[3]May-26'!$B$5:$H$89,7,0)</f>
        <v>03530010060233390024</v>
      </c>
      <c r="T1442" s="25" t="s">
        <v>32</v>
      </c>
      <c r="U1442" s="25" t="s">
        <v>858</v>
      </c>
      <c r="V1442" s="25"/>
      <c r="W1442" s="27" t="s">
        <v>5134</v>
      </c>
      <c r="X1442" s="28" t="s">
        <v>5135</v>
      </c>
      <c r="Y1442" s="28"/>
      <c r="Z1442" s="29" t="s">
        <v>3390</v>
      </c>
    </row>
    <row r="1443" spans="1:26" ht="30" customHeight="1" thickBot="1" x14ac:dyDescent="0.25">
      <c r="A1443" s="17">
        <f t="shared" si="45"/>
        <v>1442</v>
      </c>
      <c r="B1443" s="18" t="s">
        <v>25</v>
      </c>
      <c r="C1443" s="19">
        <v>3650245656061</v>
      </c>
      <c r="D1443" s="19"/>
      <c r="E1443" s="20">
        <v>46050</v>
      </c>
      <c r="F1443" s="20">
        <v>49702</v>
      </c>
      <c r="G1443" s="21">
        <v>39122</v>
      </c>
      <c r="H1443" s="22">
        <f t="shared" ca="1" si="44"/>
        <v>19</v>
      </c>
      <c r="I1443" s="19" t="s">
        <v>26</v>
      </c>
      <c r="J1443" s="18" t="s">
        <v>27</v>
      </c>
      <c r="K1443" s="18"/>
      <c r="L1443" s="23" t="s">
        <v>1298</v>
      </c>
      <c r="M1443" s="23" t="s">
        <v>785</v>
      </c>
      <c r="N1443" s="23" t="s">
        <v>1295</v>
      </c>
      <c r="O1443" s="18"/>
      <c r="P1443" s="24"/>
      <c r="Q1443" s="25">
        <v>46090</v>
      </c>
      <c r="R1443" s="13">
        <v>0</v>
      </c>
      <c r="S1443" s="26" t="str">
        <f>VLOOKUP(C1443,'[3]May-26'!$B$5:$H$89,7,0)</f>
        <v>03520010161020150015</v>
      </c>
      <c r="T1443" s="25" t="s">
        <v>32</v>
      </c>
      <c r="U1443" s="25" t="s">
        <v>858</v>
      </c>
      <c r="V1443" s="25" t="s">
        <v>884</v>
      </c>
      <c r="W1443" s="27" t="s">
        <v>5136</v>
      </c>
      <c r="X1443" s="28" t="s">
        <v>5137</v>
      </c>
      <c r="Y1443" s="28"/>
      <c r="Z1443" s="29" t="s">
        <v>3390</v>
      </c>
    </row>
    <row r="1444" spans="1:26" ht="30" customHeight="1" thickBot="1" x14ac:dyDescent="0.25">
      <c r="A1444" s="17">
        <f t="shared" si="45"/>
        <v>1443</v>
      </c>
      <c r="B1444" s="18" t="s">
        <v>25</v>
      </c>
      <c r="C1444" s="19">
        <v>3650266194547</v>
      </c>
      <c r="D1444" s="19"/>
      <c r="E1444" s="20">
        <v>43420</v>
      </c>
      <c r="F1444" s="20">
        <v>47073</v>
      </c>
      <c r="G1444" s="21">
        <v>32188</v>
      </c>
      <c r="H1444" s="22">
        <f t="shared" ca="1" si="44"/>
        <v>38</v>
      </c>
      <c r="I1444" s="19" t="s">
        <v>912</v>
      </c>
      <c r="J1444" s="18" t="s">
        <v>27</v>
      </c>
      <c r="K1444" s="18"/>
      <c r="L1444" s="23" t="s">
        <v>1557</v>
      </c>
      <c r="M1444" s="23" t="s">
        <v>2726</v>
      </c>
      <c r="N1444" s="23" t="s">
        <v>1488</v>
      </c>
      <c r="O1444" s="18"/>
      <c r="P1444" s="24"/>
      <c r="Q1444" s="25">
        <v>46068</v>
      </c>
      <c r="R1444" s="13">
        <v>0</v>
      </c>
      <c r="S1444" s="26" t="str">
        <f>VLOOKUP(C1444,'[4]Daily Wages '!$B$6:$G$197,6,0)</f>
        <v>03530010032955920023</v>
      </c>
      <c r="T1444" s="25" t="s">
        <v>32</v>
      </c>
      <c r="U1444" s="25" t="s">
        <v>858</v>
      </c>
      <c r="V1444" s="25"/>
      <c r="W1444" s="27" t="s">
        <v>5138</v>
      </c>
      <c r="X1444" s="28" t="s">
        <v>5139</v>
      </c>
      <c r="Y1444" s="28"/>
      <c r="Z1444" s="29" t="s">
        <v>3390</v>
      </c>
    </row>
    <row r="1445" spans="1:26" ht="30" customHeight="1" thickBot="1" x14ac:dyDescent="0.25">
      <c r="A1445" s="17">
        <f t="shared" si="45"/>
        <v>1444</v>
      </c>
      <c r="B1445" s="18" t="s">
        <v>25</v>
      </c>
      <c r="C1445" s="19">
        <v>3840372888129</v>
      </c>
      <c r="D1445" s="19"/>
      <c r="E1445" s="20">
        <v>45006</v>
      </c>
      <c r="F1445" s="20">
        <v>48659</v>
      </c>
      <c r="G1445" s="21">
        <v>30142</v>
      </c>
      <c r="H1445" s="22">
        <f t="shared" ca="1" si="44"/>
        <v>43</v>
      </c>
      <c r="I1445" s="19" t="s">
        <v>912</v>
      </c>
      <c r="J1445" s="18" t="s">
        <v>27</v>
      </c>
      <c r="K1445" s="18"/>
      <c r="L1445" s="23" t="s">
        <v>5140</v>
      </c>
      <c r="M1445" s="23" t="s">
        <v>5141</v>
      </c>
      <c r="N1445" s="23" t="s">
        <v>1488</v>
      </c>
      <c r="O1445" s="18"/>
      <c r="P1445" s="24"/>
      <c r="Q1445" s="25">
        <v>46042</v>
      </c>
      <c r="R1445" s="13">
        <v>0</v>
      </c>
      <c r="S1445" s="26" t="str">
        <f>VLOOKUP(C1445,'[1]Bazaar Salary'!$B$6:$J$1193,9,0)</f>
        <v>07980010158632010013</v>
      </c>
      <c r="T1445" s="25" t="s">
        <v>32</v>
      </c>
      <c r="U1445" s="25" t="s">
        <v>248</v>
      </c>
      <c r="V1445" s="25"/>
      <c r="W1445" s="27" t="s">
        <v>5142</v>
      </c>
      <c r="X1445" s="28" t="s">
        <v>5143</v>
      </c>
      <c r="Y1445" s="28"/>
      <c r="Z1445" s="29" t="s">
        <v>37</v>
      </c>
    </row>
    <row r="1446" spans="1:26" ht="30" customHeight="1" thickBot="1" x14ac:dyDescent="0.25">
      <c r="A1446" s="17">
        <f t="shared" si="45"/>
        <v>1445</v>
      </c>
      <c r="B1446" s="18" t="s">
        <v>25</v>
      </c>
      <c r="C1446" s="19">
        <v>3820113352075</v>
      </c>
      <c r="D1446" s="19"/>
      <c r="E1446" s="20">
        <v>44483</v>
      </c>
      <c r="F1446" s="20">
        <v>48135</v>
      </c>
      <c r="G1446" s="21">
        <v>32112</v>
      </c>
      <c r="H1446" s="22">
        <f t="shared" ca="1" si="44"/>
        <v>38</v>
      </c>
      <c r="I1446" s="19" t="s">
        <v>26</v>
      </c>
      <c r="J1446" s="18" t="s">
        <v>27</v>
      </c>
      <c r="K1446" s="18"/>
      <c r="L1446" s="23" t="s">
        <v>5144</v>
      </c>
      <c r="M1446" s="23" t="s">
        <v>1867</v>
      </c>
      <c r="N1446" s="23" t="s">
        <v>1499</v>
      </c>
      <c r="O1446" s="18"/>
      <c r="P1446" s="24"/>
      <c r="Q1446" s="25">
        <v>46022</v>
      </c>
      <c r="R1446" s="13">
        <v>0</v>
      </c>
      <c r="S1446" s="26" t="str">
        <f>VLOOKUP(C1446,'[1]Bazaar Salary'!$B$6:$J$1193,9,0)</f>
        <v>03660010129867270018</v>
      </c>
      <c r="T1446" s="25" t="s">
        <v>32</v>
      </c>
      <c r="U1446" s="25" t="s">
        <v>248</v>
      </c>
      <c r="V1446" s="25"/>
      <c r="W1446" s="27" t="s">
        <v>5145</v>
      </c>
      <c r="X1446" s="28" t="s">
        <v>5146</v>
      </c>
      <c r="Y1446" s="28"/>
      <c r="Z1446" s="29" t="s">
        <v>37</v>
      </c>
    </row>
    <row r="1447" spans="1:26" ht="30" customHeight="1" thickBot="1" x14ac:dyDescent="0.25">
      <c r="A1447" s="17">
        <f t="shared" si="45"/>
        <v>1446</v>
      </c>
      <c r="B1447" s="18" t="s">
        <v>25</v>
      </c>
      <c r="C1447" s="19">
        <v>3840401475467</v>
      </c>
      <c r="D1447" s="19"/>
      <c r="E1447" s="20">
        <v>45250</v>
      </c>
      <c r="F1447" s="20">
        <v>48903</v>
      </c>
      <c r="G1447" s="21">
        <v>38648</v>
      </c>
      <c r="H1447" s="22">
        <f t="shared" ca="1" si="44"/>
        <v>20</v>
      </c>
      <c r="I1447" s="19" t="s">
        <v>26</v>
      </c>
      <c r="J1447" s="18" t="s">
        <v>27</v>
      </c>
      <c r="K1447" s="18"/>
      <c r="L1447" s="23" t="s">
        <v>5147</v>
      </c>
      <c r="M1447" s="23" t="s">
        <v>638</v>
      </c>
      <c r="N1447" s="23" t="s">
        <v>1295</v>
      </c>
      <c r="O1447" s="18"/>
      <c r="P1447" s="24"/>
      <c r="Q1447" s="25">
        <v>46106</v>
      </c>
      <c r="R1447" s="13">
        <v>0</v>
      </c>
      <c r="S1447" s="26" t="str">
        <f>VLOOKUP(C1447,'[3]May-26'!$B$5:$H$89,7,0)</f>
        <v>51300020161895680016</v>
      </c>
      <c r="T1447" s="25" t="s">
        <v>32</v>
      </c>
      <c r="U1447" s="25" t="s">
        <v>248</v>
      </c>
      <c r="V1447" s="25" t="s">
        <v>4538</v>
      </c>
      <c r="W1447" s="27" t="s">
        <v>5148</v>
      </c>
      <c r="X1447" s="28" t="s">
        <v>5149</v>
      </c>
      <c r="Y1447" s="28"/>
      <c r="Z1447" s="29" t="s">
        <v>3390</v>
      </c>
    </row>
    <row r="1448" spans="1:26" ht="30" customHeight="1" thickBot="1" x14ac:dyDescent="0.25">
      <c r="A1448" s="17">
        <f t="shared" si="45"/>
        <v>1447</v>
      </c>
      <c r="B1448" s="18" t="s">
        <v>25</v>
      </c>
      <c r="C1448" s="19">
        <v>3840349628117</v>
      </c>
      <c r="D1448" s="19"/>
      <c r="E1448" s="20">
        <v>43782</v>
      </c>
      <c r="F1448" s="20">
        <v>47435</v>
      </c>
      <c r="G1448" s="21">
        <v>31868</v>
      </c>
      <c r="H1448" s="22">
        <f t="shared" ca="1" si="44"/>
        <v>39</v>
      </c>
      <c r="I1448" s="19" t="s">
        <v>26</v>
      </c>
      <c r="J1448" s="18" t="s">
        <v>27</v>
      </c>
      <c r="K1448" s="18"/>
      <c r="L1448" s="23" t="s">
        <v>890</v>
      </c>
      <c r="M1448" s="23" t="s">
        <v>1621</v>
      </c>
      <c r="N1448" s="23" t="s">
        <v>1488</v>
      </c>
      <c r="O1448" s="18"/>
      <c r="P1448" s="24"/>
      <c r="Q1448" s="25">
        <v>46076</v>
      </c>
      <c r="R1448" s="13">
        <v>0</v>
      </c>
      <c r="S1448" s="26" t="str">
        <f>VLOOKUP(C1448,'[4]Daily Wages '!$B$6:$G$197,6,0)</f>
        <v>51300020160526330016</v>
      </c>
      <c r="T1448" s="25" t="s">
        <v>32</v>
      </c>
      <c r="U1448" s="25" t="s">
        <v>248</v>
      </c>
      <c r="V1448" s="25"/>
      <c r="W1448" s="27" t="s">
        <v>5150</v>
      </c>
      <c r="X1448" s="28" t="s">
        <v>5151</v>
      </c>
      <c r="Y1448" s="28"/>
      <c r="Z1448" s="29" t="s">
        <v>3390</v>
      </c>
    </row>
    <row r="1449" spans="1:26" ht="30" customHeight="1" thickBot="1" x14ac:dyDescent="0.25">
      <c r="A1449" s="17">
        <f t="shared" si="45"/>
        <v>1448</v>
      </c>
      <c r="B1449" s="18" t="s">
        <v>25</v>
      </c>
      <c r="C1449" s="19">
        <v>3840397889057</v>
      </c>
      <c r="D1449" s="19"/>
      <c r="E1449" s="20">
        <v>45417</v>
      </c>
      <c r="F1449" s="20">
        <v>49069</v>
      </c>
      <c r="G1449" s="21">
        <v>38718</v>
      </c>
      <c r="H1449" s="22">
        <f t="shared" ca="1" si="44"/>
        <v>20</v>
      </c>
      <c r="I1449" s="19" t="s">
        <v>26</v>
      </c>
      <c r="J1449" s="18" t="s">
        <v>27</v>
      </c>
      <c r="K1449" s="18"/>
      <c r="L1449" s="23" t="s">
        <v>1380</v>
      </c>
      <c r="M1449" s="23" t="s">
        <v>4800</v>
      </c>
      <c r="N1449" s="23" t="s">
        <v>1488</v>
      </c>
      <c r="O1449" s="18"/>
      <c r="P1449" s="24"/>
      <c r="Q1449" s="25">
        <v>46083</v>
      </c>
      <c r="R1449" s="13">
        <v>0</v>
      </c>
      <c r="S1449" s="26" t="str">
        <f>VLOOKUP(C1449,'[4]Daily Wages '!$B$6:$G$197,6,0)</f>
        <v>51300020160583140015</v>
      </c>
      <c r="T1449" s="25" t="s">
        <v>32</v>
      </c>
      <c r="U1449" s="25" t="s">
        <v>248</v>
      </c>
      <c r="V1449" s="25"/>
      <c r="W1449" s="27" t="s">
        <v>5152</v>
      </c>
      <c r="X1449" s="28" t="s">
        <v>5153</v>
      </c>
      <c r="Y1449" s="28"/>
      <c r="Z1449" s="29" t="s">
        <v>3390</v>
      </c>
    </row>
    <row r="1450" spans="1:26" ht="30" customHeight="1" thickBot="1" x14ac:dyDescent="0.25">
      <c r="A1450" s="17">
        <f t="shared" si="45"/>
        <v>1449</v>
      </c>
      <c r="B1450" s="18" t="s">
        <v>25</v>
      </c>
      <c r="C1450" s="19">
        <v>3520280872785</v>
      </c>
      <c r="D1450" s="19"/>
      <c r="E1450" s="20"/>
      <c r="F1450" s="20"/>
      <c r="G1450" s="21"/>
      <c r="H1450" s="22">
        <f t="shared" ca="1" si="44"/>
        <v>126</v>
      </c>
      <c r="I1450" s="19" t="s">
        <v>26</v>
      </c>
      <c r="J1450" s="18" t="s">
        <v>27</v>
      </c>
      <c r="K1450" s="18"/>
      <c r="L1450" s="23" t="s">
        <v>5154</v>
      </c>
      <c r="M1450" s="23" t="s">
        <v>1242</v>
      </c>
      <c r="N1450" s="23" t="s">
        <v>1295</v>
      </c>
      <c r="O1450" s="18"/>
      <c r="P1450" s="24"/>
      <c r="Q1450" s="25">
        <v>46021</v>
      </c>
      <c r="R1450" s="13">
        <v>0</v>
      </c>
      <c r="S1450" s="26" t="str">
        <f>VLOOKUP(C1450,'[1]Bazaar Salary'!$B$6:$J$1193,9,0)</f>
        <v>05280010091924130014</v>
      </c>
      <c r="T1450" s="25" t="s">
        <v>32</v>
      </c>
      <c r="U1450" s="25" t="s">
        <v>867</v>
      </c>
      <c r="V1450" s="25"/>
      <c r="W1450" s="27" t="s">
        <v>869</v>
      </c>
      <c r="X1450" s="28" t="s">
        <v>5155</v>
      </c>
      <c r="Y1450" s="28"/>
      <c r="Z1450" s="29" t="s">
        <v>37</v>
      </c>
    </row>
    <row r="1451" spans="1:26" ht="30" customHeight="1" thickBot="1" x14ac:dyDescent="0.25">
      <c r="A1451" s="17">
        <f t="shared" si="45"/>
        <v>1450</v>
      </c>
      <c r="B1451" s="18" t="s">
        <v>25</v>
      </c>
      <c r="C1451" s="19">
        <v>3520291735337</v>
      </c>
      <c r="D1451" s="19"/>
      <c r="E1451" s="20">
        <v>44102</v>
      </c>
      <c r="F1451" s="20">
        <v>47754</v>
      </c>
      <c r="G1451" s="21">
        <v>36338</v>
      </c>
      <c r="H1451" s="22">
        <f t="shared" ca="1" si="44"/>
        <v>26</v>
      </c>
      <c r="I1451" s="19" t="s">
        <v>26</v>
      </c>
      <c r="J1451" s="18" t="s">
        <v>27</v>
      </c>
      <c r="K1451" s="18"/>
      <c r="L1451" s="23" t="s">
        <v>5156</v>
      </c>
      <c r="M1451" s="23" t="s">
        <v>695</v>
      </c>
      <c r="N1451" s="24" t="s">
        <v>457</v>
      </c>
      <c r="O1451" s="18"/>
      <c r="P1451" s="24"/>
      <c r="Q1451" s="25">
        <v>46039</v>
      </c>
      <c r="R1451" s="13">
        <v>0</v>
      </c>
      <c r="S1451" s="26" t="str">
        <f>VLOOKUP(C1451,'[1]Bazaar Salary'!$B$6:$J$1193,9,0)</f>
        <v>03910010158787570015</v>
      </c>
      <c r="T1451" s="25" t="s">
        <v>32</v>
      </c>
      <c r="U1451" s="25" t="s">
        <v>867</v>
      </c>
      <c r="V1451" s="25"/>
      <c r="W1451" s="27" t="s">
        <v>5157</v>
      </c>
      <c r="X1451" s="28" t="s">
        <v>5158</v>
      </c>
      <c r="Y1451" s="28"/>
      <c r="Z1451" s="29" t="s">
        <v>37</v>
      </c>
    </row>
    <row r="1452" spans="1:26" ht="30" customHeight="1" thickBot="1" x14ac:dyDescent="0.25">
      <c r="A1452" s="17">
        <f t="shared" si="45"/>
        <v>1451</v>
      </c>
      <c r="B1452" s="18" t="s">
        <v>25</v>
      </c>
      <c r="C1452" s="19">
        <v>3540118408897</v>
      </c>
      <c r="D1452" s="19"/>
      <c r="E1452" s="20">
        <v>43452</v>
      </c>
      <c r="F1452" s="20">
        <v>47105</v>
      </c>
      <c r="G1452" s="21">
        <v>26297</v>
      </c>
      <c r="H1452" s="22">
        <f t="shared" ca="1" si="44"/>
        <v>54</v>
      </c>
      <c r="I1452" s="19" t="s">
        <v>912</v>
      </c>
      <c r="J1452" s="18" t="s">
        <v>27</v>
      </c>
      <c r="K1452" s="18"/>
      <c r="L1452" s="23" t="s">
        <v>5159</v>
      </c>
      <c r="M1452" s="23" t="s">
        <v>3026</v>
      </c>
      <c r="N1452" s="23" t="s">
        <v>1488</v>
      </c>
      <c r="O1452" s="18"/>
      <c r="P1452" s="24"/>
      <c r="Q1452" s="25">
        <v>45992</v>
      </c>
      <c r="R1452" s="13">
        <v>0</v>
      </c>
      <c r="S1452" s="26" t="str">
        <f>VLOOKUP(C1452,'[1]Bazaar Salary'!$B$6:$J$1193,9,0)</f>
        <v>02270010156273670014</v>
      </c>
      <c r="T1452" s="25" t="s">
        <v>32</v>
      </c>
      <c r="U1452" s="25" t="s">
        <v>867</v>
      </c>
      <c r="V1452" s="25"/>
      <c r="W1452" s="27" t="s">
        <v>5160</v>
      </c>
      <c r="X1452" s="28" t="s">
        <v>5161</v>
      </c>
      <c r="Y1452" s="28"/>
      <c r="Z1452" s="29" t="s">
        <v>37</v>
      </c>
    </row>
    <row r="1453" spans="1:26" ht="30" customHeight="1" thickBot="1" x14ac:dyDescent="0.25">
      <c r="A1453" s="17">
        <f t="shared" si="45"/>
        <v>1452</v>
      </c>
      <c r="B1453" s="18" t="s">
        <v>25</v>
      </c>
      <c r="C1453" s="19">
        <v>3510257091749</v>
      </c>
      <c r="D1453" s="19"/>
      <c r="E1453" s="20">
        <v>46023</v>
      </c>
      <c r="F1453" s="20">
        <v>49675</v>
      </c>
      <c r="G1453" s="21">
        <v>31048</v>
      </c>
      <c r="H1453" s="22">
        <f t="shared" ca="1" si="44"/>
        <v>41</v>
      </c>
      <c r="I1453" s="19" t="s">
        <v>26</v>
      </c>
      <c r="J1453" s="18" t="s">
        <v>27</v>
      </c>
      <c r="K1453" s="18"/>
      <c r="L1453" s="23" t="s">
        <v>5162</v>
      </c>
      <c r="M1453" s="23" t="s">
        <v>5163</v>
      </c>
      <c r="N1453" s="23" t="s">
        <v>1488</v>
      </c>
      <c r="O1453" s="18"/>
      <c r="P1453" s="24"/>
      <c r="Q1453" s="25">
        <v>46012</v>
      </c>
      <c r="R1453" s="13">
        <v>0</v>
      </c>
      <c r="S1453" s="26" t="str">
        <f>VLOOKUP(C1453,'[1]Bazaar Salary'!$B$6:$J$1193,9,0)</f>
        <v>02270010158699560013</v>
      </c>
      <c r="T1453" s="25" t="s">
        <v>32</v>
      </c>
      <c r="U1453" s="25" t="s">
        <v>867</v>
      </c>
      <c r="V1453" s="25"/>
      <c r="W1453" s="27" t="s">
        <v>5164</v>
      </c>
      <c r="X1453" s="28" t="s">
        <v>5165</v>
      </c>
      <c r="Y1453" s="28"/>
      <c r="Z1453" s="29" t="s">
        <v>37</v>
      </c>
    </row>
    <row r="1454" spans="1:26" ht="30" customHeight="1" thickBot="1" x14ac:dyDescent="0.25">
      <c r="A1454" s="17">
        <f t="shared" si="45"/>
        <v>1453</v>
      </c>
      <c r="B1454" s="18" t="s">
        <v>25</v>
      </c>
      <c r="C1454" s="19">
        <v>3540136708413</v>
      </c>
      <c r="D1454" s="19"/>
      <c r="E1454" s="20">
        <v>45501</v>
      </c>
      <c r="F1454" s="20">
        <v>49153</v>
      </c>
      <c r="G1454" s="21">
        <v>33876</v>
      </c>
      <c r="H1454" s="22">
        <f t="shared" ca="1" si="44"/>
        <v>33</v>
      </c>
      <c r="I1454" s="19" t="s">
        <v>912</v>
      </c>
      <c r="J1454" s="18" t="s">
        <v>27</v>
      </c>
      <c r="K1454" s="18"/>
      <c r="L1454" s="23" t="s">
        <v>5166</v>
      </c>
      <c r="M1454" s="23" t="s">
        <v>3210</v>
      </c>
      <c r="N1454" s="23" t="s">
        <v>1488</v>
      </c>
      <c r="O1454" s="18"/>
      <c r="P1454" s="24"/>
      <c r="Q1454" s="25">
        <v>45992</v>
      </c>
      <c r="R1454" s="13">
        <v>0</v>
      </c>
      <c r="S1454" s="26" t="str">
        <f>VLOOKUP(C1454,'[1]Bazaar Salary'!$B$6:$J$1193,9,0)</f>
        <v>02270010156232850014</v>
      </c>
      <c r="T1454" s="25" t="s">
        <v>32</v>
      </c>
      <c r="U1454" s="25" t="s">
        <v>867</v>
      </c>
      <c r="V1454" s="25"/>
      <c r="W1454" s="27" t="s">
        <v>5167</v>
      </c>
      <c r="X1454" s="28" t="s">
        <v>5168</v>
      </c>
      <c r="Y1454" s="28"/>
      <c r="Z1454" s="29" t="s">
        <v>37</v>
      </c>
    </row>
    <row r="1455" spans="1:26" ht="30" customHeight="1" thickBot="1" x14ac:dyDescent="0.25">
      <c r="A1455" s="17">
        <f t="shared" si="45"/>
        <v>1454</v>
      </c>
      <c r="B1455" s="18" t="s">
        <v>25</v>
      </c>
      <c r="C1455" s="19">
        <v>3520208439327</v>
      </c>
      <c r="D1455" s="19"/>
      <c r="E1455" s="20">
        <v>44916</v>
      </c>
      <c r="F1455" s="20">
        <v>48569</v>
      </c>
      <c r="G1455" s="21">
        <v>31413</v>
      </c>
      <c r="H1455" s="22">
        <f t="shared" ca="1" si="44"/>
        <v>40</v>
      </c>
      <c r="I1455" s="19" t="s">
        <v>26</v>
      </c>
      <c r="J1455" s="18" t="s">
        <v>27</v>
      </c>
      <c r="K1455" s="18"/>
      <c r="L1455" s="23" t="s">
        <v>631</v>
      </c>
      <c r="M1455" s="23" t="s">
        <v>578</v>
      </c>
      <c r="N1455" s="23" t="s">
        <v>1499</v>
      </c>
      <c r="O1455" s="18"/>
      <c r="P1455" s="24"/>
      <c r="Q1455" s="25">
        <v>46024</v>
      </c>
      <c r="R1455" s="13">
        <v>0</v>
      </c>
      <c r="S1455" s="26" t="str">
        <f>VLOOKUP(C1455,'[1]Bazaar Salary'!$B$6:$J$1193,9,0)</f>
        <v>02270010157521850015</v>
      </c>
      <c r="T1455" s="25" t="s">
        <v>32</v>
      </c>
      <c r="U1455" s="25" t="s">
        <v>867</v>
      </c>
      <c r="V1455" s="25"/>
      <c r="W1455" s="27" t="s">
        <v>5169</v>
      </c>
      <c r="X1455" s="28" t="s">
        <v>5170</v>
      </c>
      <c r="Y1455" s="28"/>
      <c r="Z1455" s="29" t="s">
        <v>37</v>
      </c>
    </row>
    <row r="1456" spans="1:26" ht="30" customHeight="1" thickBot="1" x14ac:dyDescent="0.25">
      <c r="A1456" s="17">
        <f t="shared" si="45"/>
        <v>1455</v>
      </c>
      <c r="B1456" s="18" t="s">
        <v>25</v>
      </c>
      <c r="C1456" s="19">
        <v>3520403908779</v>
      </c>
      <c r="D1456" s="19"/>
      <c r="E1456" s="20">
        <v>43873</v>
      </c>
      <c r="F1456" s="20">
        <v>47526</v>
      </c>
      <c r="G1456" s="21">
        <v>37179</v>
      </c>
      <c r="H1456" s="22">
        <f t="shared" ca="1" si="44"/>
        <v>24</v>
      </c>
      <c r="I1456" s="19" t="s">
        <v>26</v>
      </c>
      <c r="J1456" s="18" t="s">
        <v>27</v>
      </c>
      <c r="K1456" s="18"/>
      <c r="L1456" s="23" t="s">
        <v>5171</v>
      </c>
      <c r="M1456" s="23" t="s">
        <v>1773</v>
      </c>
      <c r="N1456" s="23" t="s">
        <v>1499</v>
      </c>
      <c r="O1456" s="18"/>
      <c r="P1456" s="24"/>
      <c r="Q1456" s="25">
        <v>45999</v>
      </c>
      <c r="R1456" s="13">
        <v>0</v>
      </c>
      <c r="S1456" s="26" t="str">
        <f>VLOOKUP(C1456,'[1]Bazaar Salary'!$B$6:$J$1193,9,0)</f>
        <v>09650010157049310018</v>
      </c>
      <c r="T1456" s="25" t="s">
        <v>32</v>
      </c>
      <c r="U1456" s="25" t="s">
        <v>867</v>
      </c>
      <c r="V1456" s="25"/>
      <c r="W1456" s="27" t="s">
        <v>5172</v>
      </c>
      <c r="X1456" s="28" t="s">
        <v>5173</v>
      </c>
      <c r="Y1456" s="28"/>
      <c r="Z1456" s="29" t="s">
        <v>37</v>
      </c>
    </row>
    <row r="1457" spans="1:26" ht="30" customHeight="1" thickBot="1" x14ac:dyDescent="0.25">
      <c r="A1457" s="17">
        <f t="shared" si="45"/>
        <v>1456</v>
      </c>
      <c r="B1457" s="18" t="s">
        <v>25</v>
      </c>
      <c r="C1457" s="19">
        <v>3520239391423</v>
      </c>
      <c r="D1457" s="19"/>
      <c r="E1457" s="20">
        <v>45021</v>
      </c>
      <c r="F1457" s="20">
        <v>48674</v>
      </c>
      <c r="G1457" s="21">
        <v>29891</v>
      </c>
      <c r="H1457" s="22">
        <f t="shared" ca="1" si="44"/>
        <v>44</v>
      </c>
      <c r="I1457" s="19" t="s">
        <v>26</v>
      </c>
      <c r="J1457" s="18" t="s">
        <v>27</v>
      </c>
      <c r="K1457" s="18"/>
      <c r="L1457" s="23" t="s">
        <v>5174</v>
      </c>
      <c r="M1457" s="23" t="s">
        <v>5175</v>
      </c>
      <c r="N1457" s="23" t="s">
        <v>1499</v>
      </c>
      <c r="O1457" s="18"/>
      <c r="P1457" s="24"/>
      <c r="Q1457" s="25">
        <v>46024</v>
      </c>
      <c r="R1457" s="13">
        <v>0</v>
      </c>
      <c r="S1457" s="26" t="str">
        <f>VLOOKUP(C1457,'[1]Bazaar Salary'!$B$6:$J$1193,9,0)</f>
        <v>02270010157731730012</v>
      </c>
      <c r="T1457" s="25" t="s">
        <v>32</v>
      </c>
      <c r="U1457" s="25" t="s">
        <v>867</v>
      </c>
      <c r="V1457" s="25"/>
      <c r="W1457" s="27" t="s">
        <v>5176</v>
      </c>
      <c r="X1457" s="28" t="s">
        <v>5177</v>
      </c>
      <c r="Y1457" s="28"/>
      <c r="Z1457" s="29" t="s">
        <v>37</v>
      </c>
    </row>
    <row r="1458" spans="1:26" ht="30" customHeight="1" thickBot="1" x14ac:dyDescent="0.25">
      <c r="A1458" s="17">
        <f t="shared" si="45"/>
        <v>1457</v>
      </c>
      <c r="B1458" s="18" t="s">
        <v>25</v>
      </c>
      <c r="C1458" s="19">
        <v>3520403600711</v>
      </c>
      <c r="D1458" s="19"/>
      <c r="E1458" s="20">
        <v>42971</v>
      </c>
      <c r="F1458" s="20">
        <v>46623</v>
      </c>
      <c r="G1458" s="21">
        <v>36373</v>
      </c>
      <c r="H1458" s="22">
        <f t="shared" ca="1" si="44"/>
        <v>26</v>
      </c>
      <c r="I1458" s="19" t="s">
        <v>26</v>
      </c>
      <c r="J1458" s="18" t="s">
        <v>27</v>
      </c>
      <c r="K1458" s="18"/>
      <c r="L1458" s="23" t="s">
        <v>5178</v>
      </c>
      <c r="M1458" s="23" t="s">
        <v>894</v>
      </c>
      <c r="N1458" s="23" t="s">
        <v>1499</v>
      </c>
      <c r="O1458" s="18"/>
      <c r="P1458" s="24"/>
      <c r="Q1458" s="25">
        <v>46000</v>
      </c>
      <c r="R1458" s="13">
        <v>0</v>
      </c>
      <c r="S1458" s="26" t="str">
        <f>VLOOKUP(C1458,'[1]Bazaar Salary'!$B$6:$J$1193,9,0)</f>
        <v>09650010156835060015</v>
      </c>
      <c r="T1458" s="25" t="s">
        <v>32</v>
      </c>
      <c r="U1458" s="25" t="s">
        <v>867</v>
      </c>
      <c r="V1458" s="25"/>
      <c r="W1458" s="27" t="s">
        <v>5179</v>
      </c>
      <c r="X1458" s="28" t="s">
        <v>5180</v>
      </c>
      <c r="Y1458" s="28"/>
      <c r="Z1458" s="29" t="s">
        <v>37</v>
      </c>
    </row>
    <row r="1459" spans="1:26" ht="30" customHeight="1" thickBot="1" x14ac:dyDescent="0.25">
      <c r="A1459" s="17">
        <f t="shared" si="45"/>
        <v>1458</v>
      </c>
      <c r="B1459" s="18" t="s">
        <v>25</v>
      </c>
      <c r="C1459" s="19">
        <v>3520243706441</v>
      </c>
      <c r="D1459" s="19"/>
      <c r="E1459" s="20">
        <v>45895</v>
      </c>
      <c r="F1459" s="20">
        <v>49547</v>
      </c>
      <c r="G1459" s="21">
        <v>39293</v>
      </c>
      <c r="H1459" s="22">
        <f t="shared" ca="1" si="44"/>
        <v>18</v>
      </c>
      <c r="I1459" s="19" t="s">
        <v>26</v>
      </c>
      <c r="J1459" s="18" t="s">
        <v>27</v>
      </c>
      <c r="K1459" s="18"/>
      <c r="L1459" s="23" t="s">
        <v>5181</v>
      </c>
      <c r="M1459" s="23" t="s">
        <v>5182</v>
      </c>
      <c r="N1459" s="23" t="s">
        <v>1295</v>
      </c>
      <c r="O1459" s="18"/>
      <c r="P1459" s="24"/>
      <c r="Q1459" s="25">
        <v>46080</v>
      </c>
      <c r="R1459" s="13">
        <v>0</v>
      </c>
      <c r="S1459" s="26" t="str">
        <f>VLOOKUP(C1459,'[3]May-26'!$B$5:$H$89,7,0)</f>
        <v>07800010117645500020</v>
      </c>
      <c r="T1459" s="25" t="s">
        <v>32</v>
      </c>
      <c r="U1459" s="25" t="s">
        <v>867</v>
      </c>
      <c r="V1459" s="25" t="s">
        <v>884</v>
      </c>
      <c r="W1459" s="27" t="s">
        <v>5183</v>
      </c>
      <c r="X1459" s="28" t="s">
        <v>5184</v>
      </c>
      <c r="Y1459" s="28"/>
      <c r="Z1459" s="29" t="s">
        <v>3390</v>
      </c>
    </row>
    <row r="1460" spans="1:26" ht="30" customHeight="1" thickBot="1" x14ac:dyDescent="0.25">
      <c r="A1460" s="17">
        <f t="shared" si="45"/>
        <v>1459</v>
      </c>
      <c r="B1460" s="18" t="s">
        <v>25</v>
      </c>
      <c r="C1460" s="19">
        <v>3310576848115</v>
      </c>
      <c r="D1460" s="19"/>
      <c r="E1460" s="20">
        <v>44053</v>
      </c>
      <c r="F1460" s="20">
        <v>47705</v>
      </c>
      <c r="G1460" s="21">
        <v>37434</v>
      </c>
      <c r="H1460" s="22">
        <f t="shared" ca="1" si="44"/>
        <v>23</v>
      </c>
      <c r="I1460" s="19" t="s">
        <v>26</v>
      </c>
      <c r="J1460" s="18" t="s">
        <v>27</v>
      </c>
      <c r="K1460" s="18"/>
      <c r="L1460" s="23" t="s">
        <v>5185</v>
      </c>
      <c r="M1460" s="23" t="s">
        <v>133</v>
      </c>
      <c r="N1460" s="23" t="s">
        <v>457</v>
      </c>
      <c r="O1460" s="18"/>
      <c r="P1460" s="24"/>
      <c r="Q1460" s="25">
        <v>46150</v>
      </c>
      <c r="R1460" s="13">
        <v>0</v>
      </c>
      <c r="S1460" s="26" t="str">
        <f>VLOOKUP(C1460,'[3]May-26'!$B$5:$H$89,7,0)</f>
        <v>02270010164207540013</v>
      </c>
      <c r="T1460" s="25" t="s">
        <v>32</v>
      </c>
      <c r="U1460" s="25" t="s">
        <v>867</v>
      </c>
      <c r="V1460" s="25" t="s">
        <v>5186</v>
      </c>
      <c r="W1460" s="27" t="s">
        <v>5187</v>
      </c>
      <c r="X1460" s="28" t="s">
        <v>5188</v>
      </c>
      <c r="Y1460" s="28"/>
      <c r="Z1460" s="29" t="s">
        <v>3390</v>
      </c>
    </row>
    <row r="1461" spans="1:26" ht="30" customHeight="1" thickBot="1" x14ac:dyDescent="0.25">
      <c r="A1461" s="17">
        <f t="shared" si="45"/>
        <v>1460</v>
      </c>
      <c r="B1461" s="18" t="s">
        <v>25</v>
      </c>
      <c r="C1461" s="19">
        <v>3660311220805</v>
      </c>
      <c r="D1461" s="19"/>
      <c r="E1461" s="20">
        <v>45071</v>
      </c>
      <c r="F1461" s="20">
        <v>48724</v>
      </c>
      <c r="G1461" s="21">
        <v>36029</v>
      </c>
      <c r="H1461" s="22">
        <f t="shared" ca="1" si="44"/>
        <v>27</v>
      </c>
      <c r="I1461" s="19" t="s">
        <v>26</v>
      </c>
      <c r="J1461" s="18" t="s">
        <v>27</v>
      </c>
      <c r="K1461" s="18"/>
      <c r="L1461" s="23" t="s">
        <v>5189</v>
      </c>
      <c r="M1461" s="23" t="s">
        <v>5190</v>
      </c>
      <c r="N1461" s="23" t="s">
        <v>1488</v>
      </c>
      <c r="O1461" s="18"/>
      <c r="P1461" s="24"/>
      <c r="Q1461" s="25">
        <v>46023</v>
      </c>
      <c r="R1461" s="13">
        <v>0</v>
      </c>
      <c r="S1461" s="26" t="str">
        <f>VLOOKUP(C1461,'[4]Daily Wages '!$B$6:$G$197,6,0)</f>
        <v>02270010157430480015</v>
      </c>
      <c r="T1461" s="25" t="s">
        <v>32</v>
      </c>
      <c r="U1461" s="25" t="s">
        <v>867</v>
      </c>
      <c r="V1461" s="25"/>
      <c r="W1461" s="27" t="s">
        <v>5191</v>
      </c>
      <c r="X1461" s="28" t="s">
        <v>5192</v>
      </c>
      <c r="Y1461" s="28"/>
      <c r="Z1461" s="29" t="s">
        <v>3390</v>
      </c>
    </row>
    <row r="1462" spans="1:26" ht="30" customHeight="1" thickBot="1" x14ac:dyDescent="0.25">
      <c r="A1462" s="17">
        <f t="shared" si="45"/>
        <v>1461</v>
      </c>
      <c r="B1462" s="18" t="s">
        <v>25</v>
      </c>
      <c r="C1462" s="19">
        <v>3520296282317</v>
      </c>
      <c r="D1462" s="19"/>
      <c r="E1462" s="20">
        <v>44887</v>
      </c>
      <c r="F1462" s="20">
        <v>48540</v>
      </c>
      <c r="G1462" s="21">
        <v>30682</v>
      </c>
      <c r="H1462" s="22">
        <f t="shared" ca="1" si="44"/>
        <v>42</v>
      </c>
      <c r="I1462" s="19" t="s">
        <v>912</v>
      </c>
      <c r="J1462" s="18" t="s">
        <v>27</v>
      </c>
      <c r="K1462" s="18"/>
      <c r="L1462" s="23" t="s">
        <v>5193</v>
      </c>
      <c r="M1462" s="23" t="s">
        <v>1566</v>
      </c>
      <c r="N1462" s="23" t="s">
        <v>1488</v>
      </c>
      <c r="O1462" s="18"/>
      <c r="P1462" s="24"/>
      <c r="Q1462" s="25">
        <v>46023</v>
      </c>
      <c r="R1462" s="13">
        <v>0</v>
      </c>
      <c r="S1462" s="26" t="str">
        <f>VLOOKUP(C1462,'[4]Daily Wages '!$B$6:$G$197,6,0)</f>
        <v>05280010096862200011</v>
      </c>
      <c r="T1462" s="25" t="s">
        <v>32</v>
      </c>
      <c r="U1462" s="25" t="s">
        <v>867</v>
      </c>
      <c r="V1462" s="25"/>
      <c r="W1462" s="27" t="s">
        <v>5194</v>
      </c>
      <c r="X1462" s="28" t="s">
        <v>5195</v>
      </c>
      <c r="Y1462" s="28"/>
      <c r="Z1462" s="29" t="s">
        <v>3390</v>
      </c>
    </row>
    <row r="1463" spans="1:26" ht="30" customHeight="1" thickBot="1" x14ac:dyDescent="0.25">
      <c r="A1463" s="17">
        <f t="shared" si="45"/>
        <v>1462</v>
      </c>
      <c r="B1463" s="18" t="s">
        <v>25</v>
      </c>
      <c r="C1463" s="19">
        <v>3520274540835</v>
      </c>
      <c r="D1463" s="19"/>
      <c r="E1463" s="20">
        <v>44571</v>
      </c>
      <c r="F1463" s="20">
        <v>48223</v>
      </c>
      <c r="G1463" s="21">
        <v>37904</v>
      </c>
      <c r="H1463" s="22">
        <f t="shared" ca="1" si="44"/>
        <v>22</v>
      </c>
      <c r="I1463" s="19" t="s">
        <v>26</v>
      </c>
      <c r="J1463" s="18" t="s">
        <v>27</v>
      </c>
      <c r="K1463" s="18"/>
      <c r="L1463" s="23" t="s">
        <v>1669</v>
      </c>
      <c r="M1463" s="23" t="s">
        <v>5196</v>
      </c>
      <c r="N1463" s="23" t="s">
        <v>1295</v>
      </c>
      <c r="O1463" s="18"/>
      <c r="P1463" s="24"/>
      <c r="Q1463" s="25">
        <v>46025</v>
      </c>
      <c r="R1463" s="13">
        <v>0</v>
      </c>
      <c r="S1463" s="26" t="str">
        <f>VLOOKUP(C1463,'[1]Bazaar Salary'!$B$6:$J$1193,9,0)</f>
        <v>05150010104890590018</v>
      </c>
      <c r="T1463" s="25" t="s">
        <v>32</v>
      </c>
      <c r="U1463" s="25" t="s">
        <v>1434</v>
      </c>
      <c r="V1463" s="25"/>
      <c r="W1463" s="27" t="s">
        <v>5197</v>
      </c>
      <c r="X1463" s="28" t="s">
        <v>5198</v>
      </c>
      <c r="Y1463" s="28"/>
      <c r="Z1463" s="29" t="s">
        <v>37</v>
      </c>
    </row>
    <row r="1464" spans="1:26" ht="30" customHeight="1" thickBot="1" x14ac:dyDescent="0.25">
      <c r="A1464" s="17">
        <f t="shared" si="45"/>
        <v>1463</v>
      </c>
      <c r="B1464" s="18" t="s">
        <v>25</v>
      </c>
      <c r="C1464" s="19">
        <v>3540158007339</v>
      </c>
      <c r="D1464" s="19"/>
      <c r="E1464" s="20">
        <v>44574</v>
      </c>
      <c r="F1464" s="20">
        <v>48226</v>
      </c>
      <c r="G1464" s="21">
        <v>37146</v>
      </c>
      <c r="H1464" s="22">
        <f t="shared" ca="1" si="44"/>
        <v>24</v>
      </c>
      <c r="I1464" s="19" t="s">
        <v>26</v>
      </c>
      <c r="J1464" s="18" t="s">
        <v>27</v>
      </c>
      <c r="K1464" s="18"/>
      <c r="L1464" s="24" t="s">
        <v>5199</v>
      </c>
      <c r="M1464" s="23" t="s">
        <v>1620</v>
      </c>
      <c r="N1464" s="24" t="s">
        <v>1295</v>
      </c>
      <c r="O1464" s="18"/>
      <c r="P1464" s="24"/>
      <c r="Q1464" s="25">
        <v>46014</v>
      </c>
      <c r="R1464" s="13">
        <v>0</v>
      </c>
      <c r="S1464" s="26" t="str">
        <f>VLOOKUP(C1464,'[1]Bazaar Salary'!$B$6:$J$1193,9,0)</f>
        <v>05150010157143440010</v>
      </c>
      <c r="T1464" s="25" t="s">
        <v>32</v>
      </c>
      <c r="U1464" s="25" t="s">
        <v>1434</v>
      </c>
      <c r="V1464" s="25" t="s">
        <v>3683</v>
      </c>
      <c r="W1464" s="27" t="s">
        <v>5200</v>
      </c>
      <c r="X1464" s="28" t="s">
        <v>5201</v>
      </c>
      <c r="Y1464" s="28"/>
      <c r="Z1464" s="29" t="s">
        <v>37</v>
      </c>
    </row>
    <row r="1465" spans="1:26" ht="30" customHeight="1" thickBot="1" x14ac:dyDescent="0.3">
      <c r="A1465" s="17">
        <f t="shared" si="45"/>
        <v>1464</v>
      </c>
      <c r="B1465" s="18" t="s">
        <v>25</v>
      </c>
      <c r="C1465" s="19">
        <v>3320245810885</v>
      </c>
      <c r="D1465" s="19"/>
      <c r="E1465" s="44">
        <v>44978</v>
      </c>
      <c r="F1465" s="44">
        <v>48631</v>
      </c>
      <c r="G1465" s="44">
        <v>34328</v>
      </c>
      <c r="H1465" s="22">
        <f t="shared" ca="1" si="44"/>
        <v>32</v>
      </c>
      <c r="I1465" s="19" t="s">
        <v>26</v>
      </c>
      <c r="J1465" s="18" t="s">
        <v>27</v>
      </c>
      <c r="K1465" s="18"/>
      <c r="L1465" s="24" t="s">
        <v>5202</v>
      </c>
      <c r="M1465" s="45" t="s">
        <v>5203</v>
      </c>
      <c r="N1465" s="24" t="s">
        <v>468</v>
      </c>
      <c r="O1465" s="18"/>
      <c r="P1465" s="24"/>
      <c r="Q1465" s="25">
        <v>46023</v>
      </c>
      <c r="R1465" s="13">
        <v>0</v>
      </c>
      <c r="S1465" s="26" t="str">
        <f>VLOOKUP(C1465,'[1]Bazaar Salary'!$B$6:$J$1193,9,0)</f>
        <v>05460010070166940029</v>
      </c>
      <c r="T1465" s="25" t="s">
        <v>32</v>
      </c>
      <c r="U1465" s="25" t="s">
        <v>1434</v>
      </c>
      <c r="V1465" s="25" t="s">
        <v>5204</v>
      </c>
      <c r="W1465" s="46" t="s">
        <v>5205</v>
      </c>
      <c r="X1465" s="40" t="s">
        <v>5206</v>
      </c>
      <c r="Y1465" s="28"/>
      <c r="Z1465" s="29" t="s">
        <v>37</v>
      </c>
    </row>
    <row r="1466" spans="1:26" ht="30" customHeight="1" thickBot="1" x14ac:dyDescent="0.25">
      <c r="A1466" s="17">
        <f t="shared" si="45"/>
        <v>1465</v>
      </c>
      <c r="B1466" s="18" t="s">
        <v>25</v>
      </c>
      <c r="C1466" s="19">
        <v>3520175774185</v>
      </c>
      <c r="D1466" s="19"/>
      <c r="E1466" s="20">
        <v>44554</v>
      </c>
      <c r="F1466" s="20">
        <v>48206</v>
      </c>
      <c r="G1466" s="21">
        <v>32070</v>
      </c>
      <c r="H1466" s="22">
        <f t="shared" ca="1" si="44"/>
        <v>38</v>
      </c>
      <c r="I1466" s="19" t="s">
        <v>26</v>
      </c>
      <c r="J1466" s="18" t="s">
        <v>27</v>
      </c>
      <c r="K1466" s="18"/>
      <c r="L1466" s="23" t="s">
        <v>5207</v>
      </c>
      <c r="M1466" s="23" t="s">
        <v>5208</v>
      </c>
      <c r="N1466" s="23" t="s">
        <v>1488</v>
      </c>
      <c r="O1466" s="18"/>
      <c r="P1466" s="24"/>
      <c r="Q1466" s="25">
        <v>46026</v>
      </c>
      <c r="R1466" s="13">
        <v>0</v>
      </c>
      <c r="S1466" s="26" t="str">
        <f>VLOOKUP(C1466,'[1]Bazaar Salary'!$B$6:$J$1193,9,0)</f>
        <v>05150010158409510014</v>
      </c>
      <c r="T1466" s="25" t="s">
        <v>32</v>
      </c>
      <c r="U1466" s="25" t="s">
        <v>1434</v>
      </c>
      <c r="V1466" s="25"/>
      <c r="W1466" s="27" t="s">
        <v>5209</v>
      </c>
      <c r="X1466" s="28"/>
      <c r="Y1466" s="28"/>
      <c r="Z1466" s="29" t="s">
        <v>37</v>
      </c>
    </row>
    <row r="1467" spans="1:26" ht="30" customHeight="1" thickBot="1" x14ac:dyDescent="0.25">
      <c r="A1467" s="17">
        <f t="shared" si="45"/>
        <v>1466</v>
      </c>
      <c r="B1467" s="18" t="s">
        <v>25</v>
      </c>
      <c r="C1467" s="19">
        <v>3520227796951</v>
      </c>
      <c r="D1467" s="19"/>
      <c r="E1467" s="20">
        <v>43620</v>
      </c>
      <c r="F1467" s="20">
        <v>47273</v>
      </c>
      <c r="G1467" s="21">
        <v>34337</v>
      </c>
      <c r="H1467" s="22">
        <f t="shared" ca="1" si="44"/>
        <v>32</v>
      </c>
      <c r="I1467" s="19" t="s">
        <v>912</v>
      </c>
      <c r="J1467" s="18" t="s">
        <v>27</v>
      </c>
      <c r="K1467" s="18"/>
      <c r="L1467" s="23" t="s">
        <v>5210</v>
      </c>
      <c r="M1467" s="23" t="s">
        <v>2943</v>
      </c>
      <c r="N1467" s="23" t="s">
        <v>1488</v>
      </c>
      <c r="O1467" s="18"/>
      <c r="P1467" s="24"/>
      <c r="Q1467" s="25">
        <v>46026</v>
      </c>
      <c r="R1467" s="13">
        <v>0</v>
      </c>
      <c r="S1467" s="26" t="str">
        <f>VLOOKUP(C1467,'[1]Bazaar Salary'!$B$6:$J$1193,9,0)</f>
        <v>06010010158531430018</v>
      </c>
      <c r="T1467" s="25" t="s">
        <v>32</v>
      </c>
      <c r="U1467" s="25" t="s">
        <v>1434</v>
      </c>
      <c r="V1467" s="25"/>
      <c r="W1467" s="27" t="s">
        <v>5211</v>
      </c>
      <c r="X1467" s="28"/>
      <c r="Y1467" s="28"/>
      <c r="Z1467" s="29" t="s">
        <v>37</v>
      </c>
    </row>
    <row r="1468" spans="1:26" ht="30" customHeight="1" thickBot="1" x14ac:dyDescent="0.25">
      <c r="A1468" s="17">
        <f t="shared" si="45"/>
        <v>1467</v>
      </c>
      <c r="B1468" s="18" t="s">
        <v>25</v>
      </c>
      <c r="C1468" s="19">
        <v>3520266937401</v>
      </c>
      <c r="D1468" s="19"/>
      <c r="E1468" s="20">
        <v>44392</v>
      </c>
      <c r="F1468" s="20">
        <v>48044</v>
      </c>
      <c r="G1468" s="21">
        <v>33604</v>
      </c>
      <c r="H1468" s="22">
        <f t="shared" ca="1" si="44"/>
        <v>34</v>
      </c>
      <c r="I1468" s="19" t="s">
        <v>912</v>
      </c>
      <c r="J1468" s="18" t="s">
        <v>27</v>
      </c>
      <c r="K1468" s="18"/>
      <c r="L1468" s="23" t="s">
        <v>5212</v>
      </c>
      <c r="M1468" s="23" t="s">
        <v>5213</v>
      </c>
      <c r="N1468" s="23" t="s">
        <v>1488</v>
      </c>
      <c r="O1468" s="18"/>
      <c r="P1468" s="24"/>
      <c r="Q1468" s="25">
        <v>46026</v>
      </c>
      <c r="R1468" s="13">
        <v>0</v>
      </c>
      <c r="S1468" s="26" t="str">
        <f>VLOOKUP(C1468,'[1]Bazaar Salary'!$B$6:$J$1193,9,0)</f>
        <v>06010010154500380017</v>
      </c>
      <c r="T1468" s="25" t="s">
        <v>32</v>
      </c>
      <c r="U1468" s="25" t="s">
        <v>1434</v>
      </c>
      <c r="V1468" s="25"/>
      <c r="W1468" s="27" t="s">
        <v>5214</v>
      </c>
      <c r="X1468" s="28"/>
      <c r="Y1468" s="28"/>
      <c r="Z1468" s="29" t="s">
        <v>37</v>
      </c>
    </row>
    <row r="1469" spans="1:26" ht="30" customHeight="1" thickBot="1" x14ac:dyDescent="0.25">
      <c r="A1469" s="17">
        <f t="shared" si="45"/>
        <v>1468</v>
      </c>
      <c r="B1469" s="18" t="s">
        <v>25</v>
      </c>
      <c r="C1469" s="19">
        <v>3540466111147</v>
      </c>
      <c r="D1469" s="19"/>
      <c r="E1469" s="20">
        <v>45292</v>
      </c>
      <c r="F1469" s="20">
        <v>48945</v>
      </c>
      <c r="G1469" s="21">
        <v>38364</v>
      </c>
      <c r="H1469" s="22">
        <f t="shared" ca="1" si="44"/>
        <v>21</v>
      </c>
      <c r="I1469" s="19" t="s">
        <v>26</v>
      </c>
      <c r="J1469" s="18" t="s">
        <v>27</v>
      </c>
      <c r="K1469" s="18"/>
      <c r="L1469" s="23" t="s">
        <v>5215</v>
      </c>
      <c r="M1469" s="23" t="s">
        <v>1470</v>
      </c>
      <c r="N1469" s="23" t="s">
        <v>1499</v>
      </c>
      <c r="O1469" s="18"/>
      <c r="P1469" s="24"/>
      <c r="Q1469" s="25">
        <v>46022</v>
      </c>
      <c r="R1469" s="13">
        <v>0</v>
      </c>
      <c r="S1469" s="26" t="str">
        <f>VLOOKUP(C1469,'[1]Bazaar Salary'!$B$6:$J$1193,9,0)</f>
        <v>06200010157835000014</v>
      </c>
      <c r="T1469" s="25" t="s">
        <v>32</v>
      </c>
      <c r="U1469" s="25" t="s">
        <v>1434</v>
      </c>
      <c r="V1469" s="25"/>
      <c r="W1469" s="27" t="s">
        <v>5216</v>
      </c>
      <c r="X1469" s="28" t="s">
        <v>5217</v>
      </c>
      <c r="Y1469" s="28"/>
      <c r="Z1469" s="29" t="s">
        <v>37</v>
      </c>
    </row>
    <row r="1470" spans="1:26" ht="30" customHeight="1" thickBot="1" x14ac:dyDescent="0.25">
      <c r="A1470" s="17">
        <f t="shared" si="45"/>
        <v>1469</v>
      </c>
      <c r="B1470" s="18" t="s">
        <v>25</v>
      </c>
      <c r="C1470" s="19">
        <v>3230317135421</v>
      </c>
      <c r="D1470" s="19"/>
      <c r="E1470" s="20">
        <v>44795</v>
      </c>
      <c r="F1470" s="20">
        <v>48448</v>
      </c>
      <c r="G1470" s="21">
        <v>38156</v>
      </c>
      <c r="H1470" s="22">
        <f t="shared" ca="1" si="44"/>
        <v>22</v>
      </c>
      <c r="I1470" s="19" t="s">
        <v>26</v>
      </c>
      <c r="J1470" s="18" t="s">
        <v>27</v>
      </c>
      <c r="K1470" s="18"/>
      <c r="L1470" s="23" t="s">
        <v>1728</v>
      </c>
      <c r="M1470" s="23" t="s">
        <v>5218</v>
      </c>
      <c r="N1470" s="23" t="s">
        <v>1499</v>
      </c>
      <c r="O1470" s="18"/>
      <c r="P1470" s="24"/>
      <c r="Q1470" s="25">
        <v>46010</v>
      </c>
      <c r="R1470" s="13">
        <v>0</v>
      </c>
      <c r="S1470" s="26" t="str">
        <f>VLOOKUP(C1470,'[1]Bazaar Salary'!$B$6:$J$1193,9,0)</f>
        <v>14420010156705820016</v>
      </c>
      <c r="T1470" s="25" t="s">
        <v>32</v>
      </c>
      <c r="U1470" s="25" t="s">
        <v>1434</v>
      </c>
      <c r="V1470" s="25"/>
      <c r="W1470" s="27" t="s">
        <v>5219</v>
      </c>
      <c r="X1470" s="28" t="s">
        <v>5220</v>
      </c>
      <c r="Y1470" s="28"/>
      <c r="Z1470" s="29" t="s">
        <v>37</v>
      </c>
    </row>
    <row r="1471" spans="1:26" ht="30" customHeight="1" thickBot="1" x14ac:dyDescent="0.25">
      <c r="A1471" s="17">
        <f t="shared" si="45"/>
        <v>1470</v>
      </c>
      <c r="B1471" s="18" t="s">
        <v>25</v>
      </c>
      <c r="C1471" s="19">
        <v>3230330200691</v>
      </c>
      <c r="D1471" s="19"/>
      <c r="E1471" s="20">
        <v>44298</v>
      </c>
      <c r="F1471" s="20">
        <v>47950</v>
      </c>
      <c r="G1471" s="21">
        <v>37694</v>
      </c>
      <c r="H1471" s="22">
        <f t="shared" ca="1" si="44"/>
        <v>23</v>
      </c>
      <c r="I1471" s="19" t="s">
        <v>26</v>
      </c>
      <c r="J1471" s="18" t="s">
        <v>27</v>
      </c>
      <c r="K1471" s="18"/>
      <c r="L1471" s="23" t="s">
        <v>5221</v>
      </c>
      <c r="M1471" s="23" t="s">
        <v>785</v>
      </c>
      <c r="N1471" s="23" t="s">
        <v>1499</v>
      </c>
      <c r="O1471" s="18"/>
      <c r="P1471" s="24"/>
      <c r="Q1471" s="25">
        <v>46010</v>
      </c>
      <c r="R1471" s="13">
        <v>0</v>
      </c>
      <c r="S1471" s="26" t="str">
        <f>VLOOKUP(C1471,'[1]Bazaar Salary'!$B$6:$J$1193,9,0)</f>
        <v>05150010157004140014</v>
      </c>
      <c r="T1471" s="25" t="s">
        <v>32</v>
      </c>
      <c r="U1471" s="25" t="s">
        <v>1434</v>
      </c>
      <c r="V1471" s="25"/>
      <c r="W1471" s="27" t="s">
        <v>5222</v>
      </c>
      <c r="X1471" s="28" t="s">
        <v>5223</v>
      </c>
      <c r="Y1471" s="28"/>
      <c r="Z1471" s="29" t="s">
        <v>37</v>
      </c>
    </row>
    <row r="1472" spans="1:26" ht="30" customHeight="1" thickBot="1" x14ac:dyDescent="0.25">
      <c r="A1472" s="17">
        <f t="shared" si="45"/>
        <v>1471</v>
      </c>
      <c r="B1472" s="18" t="s">
        <v>25</v>
      </c>
      <c r="C1472" s="19">
        <v>3520154868607</v>
      </c>
      <c r="D1472" s="19"/>
      <c r="E1472" s="20">
        <v>44832</v>
      </c>
      <c r="F1472" s="20">
        <v>48485</v>
      </c>
      <c r="G1472" s="21">
        <v>38217</v>
      </c>
      <c r="H1472" s="22">
        <f t="shared" ca="1" si="44"/>
        <v>21</v>
      </c>
      <c r="I1472" s="19" t="s">
        <v>26</v>
      </c>
      <c r="J1472" s="18" t="s">
        <v>27</v>
      </c>
      <c r="K1472" s="18"/>
      <c r="L1472" s="23" t="s">
        <v>5224</v>
      </c>
      <c r="M1472" s="23" t="s">
        <v>3969</v>
      </c>
      <c r="N1472" s="23" t="s">
        <v>1499</v>
      </c>
      <c r="O1472" s="18"/>
      <c r="P1472" s="24"/>
      <c r="Q1472" s="25">
        <v>46010</v>
      </c>
      <c r="R1472" s="13">
        <v>0</v>
      </c>
      <c r="S1472" s="26" t="str">
        <f>VLOOKUP(C1472,'[1]Bazaar Salary'!$B$6:$J$1193,9,0)</f>
        <v>05150010157145070016</v>
      </c>
      <c r="T1472" s="25" t="s">
        <v>32</v>
      </c>
      <c r="U1472" s="25" t="s">
        <v>1434</v>
      </c>
      <c r="V1472" s="25"/>
      <c r="W1472" s="27" t="s">
        <v>5225</v>
      </c>
      <c r="X1472" s="28" t="s">
        <v>5226</v>
      </c>
      <c r="Y1472" s="28"/>
      <c r="Z1472" s="29" t="s">
        <v>37</v>
      </c>
    </row>
    <row r="1473" spans="1:26" ht="30" customHeight="1" thickBot="1" x14ac:dyDescent="0.25">
      <c r="A1473" s="17">
        <f t="shared" si="45"/>
        <v>1472</v>
      </c>
      <c r="B1473" s="18" t="s">
        <v>25</v>
      </c>
      <c r="C1473" s="19">
        <v>3520153389809</v>
      </c>
      <c r="D1473" s="19"/>
      <c r="E1473" s="20">
        <v>43717</v>
      </c>
      <c r="F1473" s="20">
        <v>47370</v>
      </c>
      <c r="G1473" s="21">
        <v>37118</v>
      </c>
      <c r="H1473" s="22">
        <f t="shared" ca="1" si="44"/>
        <v>24</v>
      </c>
      <c r="I1473" s="19" t="s">
        <v>26</v>
      </c>
      <c r="J1473" s="18" t="s">
        <v>27</v>
      </c>
      <c r="K1473" s="18"/>
      <c r="L1473" s="23" t="s">
        <v>5227</v>
      </c>
      <c r="M1473" s="23" t="s">
        <v>5228</v>
      </c>
      <c r="N1473" s="23" t="s">
        <v>1295</v>
      </c>
      <c r="O1473" s="18"/>
      <c r="P1473" s="24"/>
      <c r="Q1473" s="25">
        <v>45992</v>
      </c>
      <c r="R1473" s="13">
        <v>0</v>
      </c>
      <c r="S1473" s="26" t="str">
        <f>VLOOKUP(C1473,'[1]Bazaar Salary'!$B$6:$J$1193,9,0)</f>
        <v>07650010087435230016</v>
      </c>
      <c r="T1473" s="25" t="s">
        <v>32</v>
      </c>
      <c r="U1473" s="25" t="s">
        <v>1206</v>
      </c>
      <c r="V1473" s="25" t="s">
        <v>3391</v>
      </c>
      <c r="W1473" s="27" t="s">
        <v>5229</v>
      </c>
      <c r="X1473" s="28" t="s">
        <v>5230</v>
      </c>
      <c r="Y1473" s="28"/>
      <c r="Z1473" s="29" t="s">
        <v>37</v>
      </c>
    </row>
    <row r="1474" spans="1:26" ht="30" customHeight="1" thickBot="1" x14ac:dyDescent="0.25">
      <c r="A1474" s="17">
        <f t="shared" si="45"/>
        <v>1473</v>
      </c>
      <c r="B1474" s="18" t="s">
        <v>25</v>
      </c>
      <c r="C1474" s="19">
        <v>3540137457727</v>
      </c>
      <c r="D1474" s="19"/>
      <c r="E1474" s="20">
        <v>44021</v>
      </c>
      <c r="F1474" s="20">
        <v>47673</v>
      </c>
      <c r="G1474" s="21"/>
      <c r="H1474" s="22">
        <f t="shared" ref="H1474:H1537" ca="1" si="46">INT((TODAY()-G1474)/365)</f>
        <v>126</v>
      </c>
      <c r="I1474" s="19" t="s">
        <v>26</v>
      </c>
      <c r="J1474" s="18" t="s">
        <v>27</v>
      </c>
      <c r="K1474" s="18"/>
      <c r="L1474" s="23" t="s">
        <v>5231</v>
      </c>
      <c r="M1474" s="41" t="s">
        <v>5232</v>
      </c>
      <c r="N1474" s="24" t="s">
        <v>1295</v>
      </c>
      <c r="O1474" s="18"/>
      <c r="P1474" s="24"/>
      <c r="Q1474" s="25">
        <v>45992</v>
      </c>
      <c r="R1474" s="13">
        <v>0</v>
      </c>
      <c r="S1474" s="26" t="str">
        <f>VLOOKUP(C1474,'[1]Bazaar Salary'!$B$6:$J$1193,9,0)</f>
        <v>05200010150694580010</v>
      </c>
      <c r="T1474" s="25" t="s">
        <v>32</v>
      </c>
      <c r="U1474" s="25" t="s">
        <v>1206</v>
      </c>
      <c r="V1474" s="25" t="s">
        <v>3391</v>
      </c>
      <c r="W1474" s="27" t="s">
        <v>5233</v>
      </c>
      <c r="X1474" s="28" t="s">
        <v>5234</v>
      </c>
      <c r="Y1474" s="28"/>
      <c r="Z1474" s="29" t="s">
        <v>37</v>
      </c>
    </row>
    <row r="1475" spans="1:26" ht="30" customHeight="1" thickBot="1" x14ac:dyDescent="0.25">
      <c r="A1475" s="17">
        <f t="shared" si="45"/>
        <v>1474</v>
      </c>
      <c r="B1475" s="18" t="s">
        <v>25</v>
      </c>
      <c r="C1475" s="19">
        <v>3540177097629</v>
      </c>
      <c r="D1475" s="19"/>
      <c r="E1475" s="20">
        <v>45452</v>
      </c>
      <c r="F1475" s="20">
        <v>49104</v>
      </c>
      <c r="G1475" s="21">
        <v>34883</v>
      </c>
      <c r="H1475" s="22">
        <f t="shared" ca="1" si="46"/>
        <v>30</v>
      </c>
      <c r="I1475" s="19" t="s">
        <v>26</v>
      </c>
      <c r="J1475" s="18" t="s">
        <v>27</v>
      </c>
      <c r="K1475" s="18"/>
      <c r="L1475" s="23" t="s">
        <v>5235</v>
      </c>
      <c r="M1475" s="23" t="s">
        <v>5236</v>
      </c>
      <c r="N1475" s="24" t="s">
        <v>457</v>
      </c>
      <c r="O1475" s="18"/>
      <c r="P1475" s="24"/>
      <c r="Q1475" s="25">
        <v>46023</v>
      </c>
      <c r="R1475" s="13">
        <v>0</v>
      </c>
      <c r="S1475" s="26" t="str">
        <f>VLOOKUP(C1475,'[1]Bazaar Salary'!$B$6:$J$1193,9,0)</f>
        <v>05200010039995990025</v>
      </c>
      <c r="T1475" s="25" t="s">
        <v>32</v>
      </c>
      <c r="U1475" s="25" t="s">
        <v>1206</v>
      </c>
      <c r="V1475" s="25"/>
      <c r="W1475" s="27" t="s">
        <v>5237</v>
      </c>
      <c r="X1475" s="28" t="s">
        <v>5238</v>
      </c>
      <c r="Y1475" s="28"/>
      <c r="Z1475" s="29" t="s">
        <v>37</v>
      </c>
    </row>
    <row r="1476" spans="1:26" ht="30" customHeight="1" thickBot="1" x14ac:dyDescent="0.25">
      <c r="A1476" s="17">
        <f t="shared" ref="A1476:A1539" si="47">A1475+1</f>
        <v>1475</v>
      </c>
      <c r="B1476" s="18" t="s">
        <v>25</v>
      </c>
      <c r="C1476" s="19">
        <v>3520291059933</v>
      </c>
      <c r="D1476" s="19"/>
      <c r="E1476" s="20">
        <v>42563</v>
      </c>
      <c r="F1476" s="20">
        <v>46215</v>
      </c>
      <c r="G1476" s="21">
        <v>35978</v>
      </c>
      <c r="H1476" s="22">
        <f t="shared" ca="1" si="46"/>
        <v>27</v>
      </c>
      <c r="I1476" s="19" t="s">
        <v>26</v>
      </c>
      <c r="J1476" s="18" t="s">
        <v>27</v>
      </c>
      <c r="K1476" s="18"/>
      <c r="L1476" s="24" t="s">
        <v>5239</v>
      </c>
      <c r="M1476" s="23" t="s">
        <v>414</v>
      </c>
      <c r="N1476" s="24" t="s">
        <v>468</v>
      </c>
      <c r="O1476" s="18"/>
      <c r="P1476" s="24"/>
      <c r="Q1476" s="25">
        <v>46023</v>
      </c>
      <c r="R1476" s="13">
        <v>0</v>
      </c>
      <c r="S1476" s="26" t="str">
        <f>VLOOKUP(C1476,'[1]Bazaar Salary'!$B$6:$J$1193,9,0)</f>
        <v>05200010154103850017</v>
      </c>
      <c r="T1476" s="25" t="s">
        <v>32</v>
      </c>
      <c r="U1476" s="25" t="s">
        <v>1206</v>
      </c>
      <c r="V1476" s="25" t="s">
        <v>5240</v>
      </c>
      <c r="W1476" s="27" t="s">
        <v>5241</v>
      </c>
      <c r="X1476" s="28" t="s">
        <v>5242</v>
      </c>
      <c r="Y1476" s="28"/>
      <c r="Z1476" s="29" t="s">
        <v>37</v>
      </c>
    </row>
    <row r="1477" spans="1:26" ht="30" customHeight="1" thickBot="1" x14ac:dyDescent="0.25">
      <c r="A1477" s="17">
        <f t="shared" si="47"/>
        <v>1476</v>
      </c>
      <c r="B1477" s="18" t="s">
        <v>25</v>
      </c>
      <c r="C1477" s="19">
        <v>3550110251609</v>
      </c>
      <c r="D1477" s="19"/>
      <c r="E1477" s="20">
        <v>45042</v>
      </c>
      <c r="F1477" s="20">
        <v>48695</v>
      </c>
      <c r="G1477" s="21">
        <v>37533</v>
      </c>
      <c r="H1477" s="22">
        <f t="shared" ca="1" si="46"/>
        <v>23</v>
      </c>
      <c r="I1477" s="19" t="s">
        <v>26</v>
      </c>
      <c r="J1477" s="18" t="s">
        <v>27</v>
      </c>
      <c r="K1477" s="18"/>
      <c r="L1477" s="23" t="s">
        <v>5243</v>
      </c>
      <c r="M1477" s="23" t="s">
        <v>4561</v>
      </c>
      <c r="N1477" s="23" t="s">
        <v>1488</v>
      </c>
      <c r="O1477" s="18"/>
      <c r="P1477" s="24"/>
      <c r="Q1477" s="25">
        <v>46017</v>
      </c>
      <c r="R1477" s="13">
        <v>0</v>
      </c>
      <c r="S1477" s="26" t="str">
        <f>VLOOKUP(C1477,'[1]Bazaar Salary'!$B$6:$J$1193,9,0)</f>
        <v>05200010159176280017</v>
      </c>
      <c r="T1477" s="25" t="s">
        <v>32</v>
      </c>
      <c r="U1477" s="25" t="s">
        <v>1206</v>
      </c>
      <c r="V1477" s="25"/>
      <c r="W1477" s="27" t="s">
        <v>5244</v>
      </c>
      <c r="X1477" s="28" t="s">
        <v>5245</v>
      </c>
      <c r="Y1477" s="28"/>
      <c r="Z1477" s="29" t="s">
        <v>37</v>
      </c>
    </row>
    <row r="1478" spans="1:26" ht="30" customHeight="1" thickBot="1" x14ac:dyDescent="0.25">
      <c r="A1478" s="17">
        <f t="shared" si="47"/>
        <v>1477</v>
      </c>
      <c r="B1478" s="18" t="s">
        <v>25</v>
      </c>
      <c r="C1478" s="19">
        <v>3540201016715</v>
      </c>
      <c r="D1478" s="19"/>
      <c r="E1478" s="20">
        <v>44049</v>
      </c>
      <c r="F1478" s="20">
        <v>47701</v>
      </c>
      <c r="G1478" s="21">
        <v>36130</v>
      </c>
      <c r="H1478" s="22">
        <f t="shared" ca="1" si="46"/>
        <v>27</v>
      </c>
      <c r="I1478" s="19" t="s">
        <v>912</v>
      </c>
      <c r="J1478" s="18" t="s">
        <v>27</v>
      </c>
      <c r="K1478" s="18"/>
      <c r="L1478" s="23" t="s">
        <v>5159</v>
      </c>
      <c r="M1478" s="23" t="s">
        <v>1621</v>
      </c>
      <c r="N1478" s="23" t="s">
        <v>1488</v>
      </c>
      <c r="O1478" s="18"/>
      <c r="P1478" s="24"/>
      <c r="Q1478" s="25">
        <v>45994</v>
      </c>
      <c r="R1478" s="13">
        <v>0</v>
      </c>
      <c r="S1478" s="26" t="str">
        <f>VLOOKUP(C1478,'[1]Bazaar Salary'!$B$6:$J$1193,9,0)</f>
        <v>05200010156616320015</v>
      </c>
      <c r="T1478" s="25" t="s">
        <v>32</v>
      </c>
      <c r="U1478" s="25" t="s">
        <v>1206</v>
      </c>
      <c r="V1478" s="25"/>
      <c r="W1478" s="27" t="s">
        <v>5246</v>
      </c>
      <c r="X1478" s="28" t="s">
        <v>972</v>
      </c>
      <c r="Y1478" s="28"/>
      <c r="Z1478" s="29" t="s">
        <v>37</v>
      </c>
    </row>
    <row r="1479" spans="1:26" ht="30" customHeight="1" thickBot="1" x14ac:dyDescent="0.25">
      <c r="A1479" s="17">
        <f t="shared" si="47"/>
        <v>1478</v>
      </c>
      <c r="B1479" s="18" t="s">
        <v>25</v>
      </c>
      <c r="C1479" s="19">
        <v>3540237235133</v>
      </c>
      <c r="D1479" s="19"/>
      <c r="E1479" s="20">
        <v>44336</v>
      </c>
      <c r="F1479" s="20">
        <v>47988</v>
      </c>
      <c r="G1479" s="21">
        <v>32907</v>
      </c>
      <c r="H1479" s="22">
        <f t="shared" ca="1" si="46"/>
        <v>36</v>
      </c>
      <c r="I1479" s="19" t="s">
        <v>26</v>
      </c>
      <c r="J1479" s="18" t="s">
        <v>27</v>
      </c>
      <c r="K1479" s="18"/>
      <c r="L1479" s="23" t="s">
        <v>5247</v>
      </c>
      <c r="M1479" s="23" t="s">
        <v>711</v>
      </c>
      <c r="N1479" s="23" t="s">
        <v>1488</v>
      </c>
      <c r="O1479" s="18"/>
      <c r="P1479" s="24"/>
      <c r="Q1479" s="25">
        <v>45992</v>
      </c>
      <c r="R1479" s="13">
        <v>0</v>
      </c>
      <c r="S1479" s="26" t="str">
        <f>VLOOKUP(C1479,'[1]Bazaar Salary'!$B$6:$J$1193,9,0)</f>
        <v>05200010156540540016</v>
      </c>
      <c r="T1479" s="25" t="s">
        <v>32</v>
      </c>
      <c r="U1479" s="25" t="s">
        <v>1206</v>
      </c>
      <c r="V1479" s="25"/>
      <c r="W1479" s="27" t="s">
        <v>5248</v>
      </c>
      <c r="X1479" s="28" t="s">
        <v>972</v>
      </c>
      <c r="Y1479" s="28"/>
      <c r="Z1479" s="29" t="s">
        <v>37</v>
      </c>
    </row>
    <row r="1480" spans="1:26" ht="30" customHeight="1" thickBot="1" x14ac:dyDescent="0.25">
      <c r="A1480" s="17">
        <f t="shared" si="47"/>
        <v>1479</v>
      </c>
      <c r="B1480" s="18" t="s">
        <v>25</v>
      </c>
      <c r="C1480" s="19">
        <v>3540117952615</v>
      </c>
      <c r="D1480" s="19"/>
      <c r="E1480" s="20">
        <v>44558</v>
      </c>
      <c r="F1480" s="20">
        <v>48210</v>
      </c>
      <c r="G1480" s="21">
        <v>28790</v>
      </c>
      <c r="H1480" s="22">
        <f t="shared" ca="1" si="46"/>
        <v>47</v>
      </c>
      <c r="I1480" s="19" t="s">
        <v>26</v>
      </c>
      <c r="J1480" s="18" t="s">
        <v>27</v>
      </c>
      <c r="K1480" s="18"/>
      <c r="L1480" s="23" t="s">
        <v>3548</v>
      </c>
      <c r="M1480" s="23" t="s">
        <v>761</v>
      </c>
      <c r="N1480" s="23" t="s">
        <v>1499</v>
      </c>
      <c r="O1480" s="18"/>
      <c r="P1480" s="24"/>
      <c r="Q1480" s="25">
        <v>45992</v>
      </c>
      <c r="R1480" s="13">
        <v>0</v>
      </c>
      <c r="S1480" s="26" t="str">
        <f>VLOOKUP(C1480,'[1]Bazaar Salary'!$B$6:$J$1193,9,0)</f>
        <v>05200010155986290010</v>
      </c>
      <c r="T1480" s="25" t="s">
        <v>32</v>
      </c>
      <c r="U1480" s="25" t="s">
        <v>1206</v>
      </c>
      <c r="V1480" s="25"/>
      <c r="W1480" s="27" t="s">
        <v>5249</v>
      </c>
      <c r="X1480" s="28" t="s">
        <v>5250</v>
      </c>
      <c r="Y1480" s="28"/>
      <c r="Z1480" s="29" t="s">
        <v>37</v>
      </c>
    </row>
    <row r="1481" spans="1:26" ht="30" customHeight="1" thickBot="1" x14ac:dyDescent="0.25">
      <c r="A1481" s="17">
        <f t="shared" si="47"/>
        <v>1480</v>
      </c>
      <c r="B1481" s="18" t="s">
        <v>25</v>
      </c>
      <c r="C1481" s="19">
        <v>3540254404757</v>
      </c>
      <c r="D1481" s="19"/>
      <c r="E1481" s="20">
        <v>42842</v>
      </c>
      <c r="F1481" s="20">
        <v>46494</v>
      </c>
      <c r="G1481" s="21">
        <v>33054</v>
      </c>
      <c r="H1481" s="22">
        <f t="shared" ca="1" si="46"/>
        <v>35</v>
      </c>
      <c r="I1481" s="19" t="s">
        <v>26</v>
      </c>
      <c r="J1481" s="18" t="s">
        <v>27</v>
      </c>
      <c r="K1481" s="18"/>
      <c r="L1481" s="23" t="s">
        <v>4362</v>
      </c>
      <c r="M1481" s="23" t="s">
        <v>2339</v>
      </c>
      <c r="N1481" s="23" t="s">
        <v>1499</v>
      </c>
      <c r="O1481" s="18"/>
      <c r="P1481" s="24"/>
      <c r="Q1481" s="25">
        <v>45992</v>
      </c>
      <c r="R1481" s="13">
        <v>0</v>
      </c>
      <c r="S1481" s="26" t="str">
        <f>VLOOKUP(C1481,'[1]Bazaar Salary'!$B$6:$J$1193,9,0)</f>
        <v>05200010154955450016</v>
      </c>
      <c r="T1481" s="25" t="s">
        <v>32</v>
      </c>
      <c r="U1481" s="25" t="s">
        <v>1206</v>
      </c>
      <c r="V1481" s="25"/>
      <c r="W1481" s="27" t="s">
        <v>5251</v>
      </c>
      <c r="X1481" s="28" t="s">
        <v>5252</v>
      </c>
      <c r="Y1481" s="28"/>
      <c r="Z1481" s="29" t="s">
        <v>37</v>
      </c>
    </row>
    <row r="1482" spans="1:26" ht="30" customHeight="1" thickBot="1" x14ac:dyDescent="0.25">
      <c r="A1482" s="17">
        <f t="shared" si="47"/>
        <v>1481</v>
      </c>
      <c r="B1482" s="18" t="s">
        <v>25</v>
      </c>
      <c r="C1482" s="19">
        <v>3540462158587</v>
      </c>
      <c r="D1482" s="19"/>
      <c r="E1482" s="20">
        <v>45117</v>
      </c>
      <c r="F1482" s="20">
        <v>48770</v>
      </c>
      <c r="G1482" s="21">
        <v>34928</v>
      </c>
      <c r="H1482" s="22">
        <f t="shared" ca="1" si="46"/>
        <v>30</v>
      </c>
      <c r="I1482" s="19" t="s">
        <v>26</v>
      </c>
      <c r="J1482" s="18" t="s">
        <v>27</v>
      </c>
      <c r="K1482" s="18"/>
      <c r="L1482" s="23" t="s">
        <v>5253</v>
      </c>
      <c r="M1482" s="23" t="s">
        <v>711</v>
      </c>
      <c r="N1482" s="23" t="s">
        <v>1499</v>
      </c>
      <c r="O1482" s="18"/>
      <c r="P1482" s="24"/>
      <c r="Q1482" s="25">
        <v>45992</v>
      </c>
      <c r="R1482" s="13">
        <v>0</v>
      </c>
      <c r="S1482" s="26" t="str">
        <f>VLOOKUP(C1482,'[1]Bazaar Salary'!$B$6:$J$1193,9,0)</f>
        <v>06200010154912060018</v>
      </c>
      <c r="T1482" s="25" t="s">
        <v>32</v>
      </c>
      <c r="U1482" s="25" t="s">
        <v>1206</v>
      </c>
      <c r="V1482" s="25"/>
      <c r="W1482" s="27" t="s">
        <v>5254</v>
      </c>
      <c r="X1482" s="28" t="s">
        <v>5255</v>
      </c>
      <c r="Y1482" s="28"/>
      <c r="Z1482" s="29" t="s">
        <v>37</v>
      </c>
    </row>
    <row r="1483" spans="1:26" ht="30" customHeight="1" thickBot="1" x14ac:dyDescent="0.25">
      <c r="A1483" s="17">
        <f t="shared" si="47"/>
        <v>1482</v>
      </c>
      <c r="B1483" s="18" t="s">
        <v>25</v>
      </c>
      <c r="C1483" s="19">
        <v>3540162066761</v>
      </c>
      <c r="D1483" s="19"/>
      <c r="E1483" s="20">
        <v>45972</v>
      </c>
      <c r="F1483" s="20">
        <v>49624</v>
      </c>
      <c r="G1483" s="21">
        <v>39057</v>
      </c>
      <c r="H1483" s="22">
        <f t="shared" ca="1" si="46"/>
        <v>19</v>
      </c>
      <c r="I1483" s="19" t="s">
        <v>26</v>
      </c>
      <c r="J1483" s="18" t="s">
        <v>27</v>
      </c>
      <c r="K1483" s="18"/>
      <c r="L1483" s="23" t="s">
        <v>5256</v>
      </c>
      <c r="M1483" s="23" t="s">
        <v>918</v>
      </c>
      <c r="N1483" s="23" t="s">
        <v>1499</v>
      </c>
      <c r="O1483" s="18"/>
      <c r="P1483" s="24"/>
      <c r="Q1483" s="25">
        <v>45992</v>
      </c>
      <c r="R1483" s="13">
        <v>0</v>
      </c>
      <c r="S1483" s="26" t="str">
        <f>VLOOKUP(C1483,'[1]Bazaar Salary'!$B$6:$J$1193,9,0)</f>
        <v>05200010154951190016</v>
      </c>
      <c r="T1483" s="25" t="s">
        <v>32</v>
      </c>
      <c r="U1483" s="25" t="s">
        <v>1206</v>
      </c>
      <c r="V1483" s="25"/>
      <c r="W1483" s="27" t="s">
        <v>5257</v>
      </c>
      <c r="X1483" s="28" t="s">
        <v>5258</v>
      </c>
      <c r="Y1483" s="28"/>
      <c r="Z1483" s="29" t="s">
        <v>37</v>
      </c>
    </row>
    <row r="1484" spans="1:26" ht="30" customHeight="1" thickBot="1" x14ac:dyDescent="0.25">
      <c r="A1484" s="17">
        <f t="shared" si="47"/>
        <v>1483</v>
      </c>
      <c r="B1484" s="18" t="s">
        <v>25</v>
      </c>
      <c r="C1484" s="19">
        <v>3540216923151</v>
      </c>
      <c r="D1484" s="19"/>
      <c r="E1484" s="20">
        <v>44850</v>
      </c>
      <c r="F1484" s="20">
        <v>48503</v>
      </c>
      <c r="G1484" s="21">
        <v>33810</v>
      </c>
      <c r="H1484" s="22">
        <f t="shared" ca="1" si="46"/>
        <v>33</v>
      </c>
      <c r="I1484" s="19" t="s">
        <v>26</v>
      </c>
      <c r="J1484" s="18" t="s">
        <v>27</v>
      </c>
      <c r="K1484" s="18"/>
      <c r="L1484" s="23" t="s">
        <v>2560</v>
      </c>
      <c r="M1484" s="23" t="s">
        <v>4240</v>
      </c>
      <c r="N1484" s="23" t="s">
        <v>1295</v>
      </c>
      <c r="O1484" s="18"/>
      <c r="P1484" s="24"/>
      <c r="Q1484" s="25">
        <v>46113</v>
      </c>
      <c r="R1484" s="13">
        <v>0</v>
      </c>
      <c r="S1484" s="26" t="str">
        <f>VLOOKUP(C1484,'[3]May-26'!$B$5:$H$89,7,0)</f>
        <v>05200010087016520020</v>
      </c>
      <c r="T1484" s="25" t="s">
        <v>32</v>
      </c>
      <c r="U1484" s="25" t="s">
        <v>1206</v>
      </c>
      <c r="V1484" s="25" t="s">
        <v>884</v>
      </c>
      <c r="W1484" s="27" t="s">
        <v>5259</v>
      </c>
      <c r="X1484" s="28" t="s">
        <v>5260</v>
      </c>
      <c r="Y1484" s="28"/>
      <c r="Z1484" s="29" t="s">
        <v>3390</v>
      </c>
    </row>
    <row r="1485" spans="1:26" ht="30" customHeight="1" thickBot="1" x14ac:dyDescent="0.25">
      <c r="A1485" s="17">
        <f t="shared" si="47"/>
        <v>1484</v>
      </c>
      <c r="B1485" s="18" t="s">
        <v>25</v>
      </c>
      <c r="C1485" s="19">
        <v>3540178844872</v>
      </c>
      <c r="D1485" s="19"/>
      <c r="E1485" s="20">
        <v>44621</v>
      </c>
      <c r="F1485" s="20">
        <v>48274</v>
      </c>
      <c r="G1485" s="21">
        <v>30617</v>
      </c>
      <c r="H1485" s="22">
        <f t="shared" ca="1" si="46"/>
        <v>42</v>
      </c>
      <c r="I1485" s="19" t="s">
        <v>26</v>
      </c>
      <c r="J1485" s="18" t="s">
        <v>66</v>
      </c>
      <c r="K1485" s="18"/>
      <c r="L1485" s="23" t="s">
        <v>5261</v>
      </c>
      <c r="M1485" s="23" t="s">
        <v>5262</v>
      </c>
      <c r="N1485" s="23" t="s">
        <v>1488</v>
      </c>
      <c r="O1485" s="18"/>
      <c r="P1485" s="24"/>
      <c r="Q1485" s="25">
        <v>46076</v>
      </c>
      <c r="R1485" s="13">
        <v>0</v>
      </c>
      <c r="S1485" s="26" t="str">
        <f>VLOOKUP(C1485,'[4]Daily Wages '!$B$6:$G$197,6,0)</f>
        <v>05200010160320170010</v>
      </c>
      <c r="T1485" s="25" t="s">
        <v>32</v>
      </c>
      <c r="U1485" s="25" t="s">
        <v>1206</v>
      </c>
      <c r="V1485" s="25"/>
      <c r="W1485" s="27" t="s">
        <v>5263</v>
      </c>
      <c r="X1485" s="28" t="s">
        <v>5264</v>
      </c>
      <c r="Y1485" s="28"/>
      <c r="Z1485" s="29" t="s">
        <v>3390</v>
      </c>
    </row>
    <row r="1486" spans="1:26" ht="30" customHeight="1" thickBot="1" x14ac:dyDescent="0.25">
      <c r="A1486" s="17">
        <f t="shared" si="47"/>
        <v>1485</v>
      </c>
      <c r="B1486" s="18" t="s">
        <v>25</v>
      </c>
      <c r="C1486" s="19">
        <v>3320213881011</v>
      </c>
      <c r="D1486" s="19"/>
      <c r="E1486" s="20">
        <v>44628</v>
      </c>
      <c r="F1486" s="20">
        <v>48281</v>
      </c>
      <c r="G1486" s="21">
        <v>38200</v>
      </c>
      <c r="H1486" s="22">
        <f t="shared" ca="1" si="46"/>
        <v>21</v>
      </c>
      <c r="I1486" s="19" t="s">
        <v>26</v>
      </c>
      <c r="J1486" s="18" t="s">
        <v>27</v>
      </c>
      <c r="K1486" s="18"/>
      <c r="L1486" s="23" t="s">
        <v>1057</v>
      </c>
      <c r="M1486" s="23" t="s">
        <v>4907</v>
      </c>
      <c r="N1486" s="23" t="s">
        <v>1499</v>
      </c>
      <c r="O1486" s="18"/>
      <c r="P1486" s="24"/>
      <c r="Q1486" s="25">
        <v>46070</v>
      </c>
      <c r="R1486" s="13">
        <v>0</v>
      </c>
      <c r="S1486" s="26" t="str">
        <f>VLOOKUP(C1486,'[4]Daily Wages '!$B$6:$G$197,6,0)</f>
        <v>05200010159926210012</v>
      </c>
      <c r="T1486" s="25" t="s">
        <v>32</v>
      </c>
      <c r="U1486" s="25" t="s">
        <v>1206</v>
      </c>
      <c r="V1486" s="25" t="s">
        <v>4465</v>
      </c>
      <c r="W1486" s="27" t="s">
        <v>5265</v>
      </c>
      <c r="X1486" s="28" t="s">
        <v>5266</v>
      </c>
      <c r="Y1486" s="28"/>
      <c r="Z1486" s="29" t="s">
        <v>3390</v>
      </c>
    </row>
    <row r="1487" spans="1:26" ht="30" customHeight="1" thickBot="1" x14ac:dyDescent="0.25">
      <c r="A1487" s="17">
        <f t="shared" si="47"/>
        <v>1486</v>
      </c>
      <c r="B1487" s="18" t="s">
        <v>25</v>
      </c>
      <c r="C1487" s="19">
        <v>3520260226651</v>
      </c>
      <c r="D1487" s="19"/>
      <c r="E1487" s="20">
        <v>45821</v>
      </c>
      <c r="F1487" s="20">
        <v>49473</v>
      </c>
      <c r="G1487" s="21">
        <v>38631</v>
      </c>
      <c r="H1487" s="22">
        <f t="shared" ca="1" si="46"/>
        <v>20</v>
      </c>
      <c r="I1487" s="19" t="s">
        <v>26</v>
      </c>
      <c r="J1487" s="18" t="s">
        <v>27</v>
      </c>
      <c r="K1487" s="18"/>
      <c r="L1487" s="23" t="s">
        <v>5267</v>
      </c>
      <c r="M1487" s="23" t="s">
        <v>1364</v>
      </c>
      <c r="N1487" s="23" t="s">
        <v>1295</v>
      </c>
      <c r="O1487" s="18"/>
      <c r="P1487" s="24"/>
      <c r="Q1487" s="25">
        <v>46042</v>
      </c>
      <c r="R1487" s="13">
        <v>0</v>
      </c>
      <c r="S1487" s="26" t="str">
        <f>VLOOKUP(C1487,'[1]Bazaar Salary'!$B$6:$J$1193,9,0)</f>
        <v>03910010158868960015</v>
      </c>
      <c r="T1487" s="25" t="s">
        <v>32</v>
      </c>
      <c r="U1487" s="25" t="s">
        <v>443</v>
      </c>
      <c r="V1487" s="25" t="s">
        <v>3391</v>
      </c>
      <c r="W1487" s="27" t="s">
        <v>5268</v>
      </c>
      <c r="X1487" s="28" t="s">
        <v>5269</v>
      </c>
      <c r="Y1487" s="28"/>
      <c r="Z1487" s="29" t="s">
        <v>37</v>
      </c>
    </row>
    <row r="1488" spans="1:26" ht="30" customHeight="1" thickBot="1" x14ac:dyDescent="0.25">
      <c r="A1488" s="17">
        <f t="shared" si="47"/>
        <v>1487</v>
      </c>
      <c r="B1488" s="18" t="s">
        <v>25</v>
      </c>
      <c r="C1488" s="19">
        <v>3520299359669</v>
      </c>
      <c r="D1488" s="19"/>
      <c r="E1488" s="20">
        <v>43845</v>
      </c>
      <c r="F1488" s="20">
        <v>47498</v>
      </c>
      <c r="G1488" s="21">
        <v>34315</v>
      </c>
      <c r="H1488" s="22">
        <f t="shared" ca="1" si="46"/>
        <v>32</v>
      </c>
      <c r="I1488" s="19" t="s">
        <v>26</v>
      </c>
      <c r="J1488" s="18" t="s">
        <v>27</v>
      </c>
      <c r="K1488" s="18"/>
      <c r="L1488" s="23" t="s">
        <v>5270</v>
      </c>
      <c r="M1488" s="23" t="s">
        <v>199</v>
      </c>
      <c r="N1488" s="23" t="s">
        <v>457</v>
      </c>
      <c r="O1488" s="18"/>
      <c r="P1488" s="24"/>
      <c r="Q1488" s="25">
        <v>46039</v>
      </c>
      <c r="R1488" s="13">
        <v>0</v>
      </c>
      <c r="S1488" s="26" t="str">
        <f>VLOOKUP(C1488,'[1]Bazaar Salary'!$B$6:$J$1193,9,0)</f>
        <v>12630010160125990012</v>
      </c>
      <c r="T1488" s="25" t="s">
        <v>32</v>
      </c>
      <c r="U1488" s="25" t="s">
        <v>443</v>
      </c>
      <c r="V1488" s="25"/>
      <c r="W1488" s="27" t="s">
        <v>5271</v>
      </c>
      <c r="X1488" s="28" t="s">
        <v>5272</v>
      </c>
      <c r="Y1488" s="28"/>
      <c r="Z1488" s="29" t="s">
        <v>37</v>
      </c>
    </row>
    <row r="1489" spans="1:26" ht="30" customHeight="1" thickBot="1" x14ac:dyDescent="0.25">
      <c r="A1489" s="17">
        <f t="shared" si="47"/>
        <v>1488</v>
      </c>
      <c r="B1489" s="18" t="s">
        <v>25</v>
      </c>
      <c r="C1489" s="19">
        <v>3520270079474</v>
      </c>
      <c r="D1489" s="19"/>
      <c r="E1489" s="20">
        <v>45429</v>
      </c>
      <c r="F1489" s="20">
        <v>49081</v>
      </c>
      <c r="G1489" s="21">
        <v>30682</v>
      </c>
      <c r="H1489" s="22">
        <f t="shared" ca="1" si="46"/>
        <v>42</v>
      </c>
      <c r="I1489" s="19" t="s">
        <v>26</v>
      </c>
      <c r="J1489" s="18" t="s">
        <v>66</v>
      </c>
      <c r="K1489" s="18"/>
      <c r="L1489" s="23" t="s">
        <v>5273</v>
      </c>
      <c r="M1489" s="23" t="s">
        <v>1980</v>
      </c>
      <c r="N1489" s="23" t="s">
        <v>1499</v>
      </c>
      <c r="O1489" s="18"/>
      <c r="P1489" s="24"/>
      <c r="Q1489" s="25">
        <v>45992</v>
      </c>
      <c r="R1489" s="13">
        <v>0</v>
      </c>
      <c r="S1489" s="26" t="str">
        <f>VLOOKUP(C1489,'[1]Bazaar Salary'!$B$6:$J$1193,9,0)</f>
        <v>13860010133484780017</v>
      </c>
      <c r="T1489" s="25" t="s">
        <v>32</v>
      </c>
      <c r="U1489" s="25" t="s">
        <v>443</v>
      </c>
      <c r="V1489" s="25"/>
      <c r="W1489" s="27" t="s">
        <v>5274</v>
      </c>
      <c r="X1489" s="28" t="s">
        <v>1473</v>
      </c>
      <c r="Y1489" s="28"/>
      <c r="Z1489" s="29" t="s">
        <v>37</v>
      </c>
    </row>
    <row r="1490" spans="1:26" ht="30" customHeight="1" thickBot="1" x14ac:dyDescent="0.25">
      <c r="A1490" s="17">
        <f t="shared" si="47"/>
        <v>1489</v>
      </c>
      <c r="B1490" s="18" t="s">
        <v>25</v>
      </c>
      <c r="C1490" s="19">
        <v>3510328629835</v>
      </c>
      <c r="D1490" s="19"/>
      <c r="E1490" s="20">
        <v>42649</v>
      </c>
      <c r="F1490" s="20">
        <v>46301</v>
      </c>
      <c r="G1490" s="21">
        <v>35070</v>
      </c>
      <c r="H1490" s="22">
        <f t="shared" ca="1" si="46"/>
        <v>30</v>
      </c>
      <c r="I1490" s="19" t="s">
        <v>26</v>
      </c>
      <c r="J1490" s="18" t="s">
        <v>27</v>
      </c>
      <c r="K1490" s="18"/>
      <c r="L1490" s="23" t="s">
        <v>1100</v>
      </c>
      <c r="M1490" s="23" t="s">
        <v>974</v>
      </c>
      <c r="N1490" s="23" t="s">
        <v>1067</v>
      </c>
      <c r="O1490" s="18"/>
      <c r="P1490" s="24"/>
      <c r="Q1490" s="25">
        <v>46013</v>
      </c>
      <c r="R1490" s="13">
        <v>0</v>
      </c>
      <c r="S1490" s="26" t="str">
        <f>VLOOKUP(C1490,'[3]May-26'!$B$5:$H$89,7,0)</f>
        <v>03900010157673040014</v>
      </c>
      <c r="T1490" s="25" t="s">
        <v>32</v>
      </c>
      <c r="U1490" s="25" t="s">
        <v>443</v>
      </c>
      <c r="V1490" s="25"/>
      <c r="W1490" s="27" t="s">
        <v>5275</v>
      </c>
      <c r="X1490" s="28" t="s">
        <v>5276</v>
      </c>
      <c r="Y1490" s="28"/>
      <c r="Z1490" s="29" t="s">
        <v>3390</v>
      </c>
    </row>
    <row r="1491" spans="1:26" ht="30" customHeight="1" thickBot="1" x14ac:dyDescent="0.25">
      <c r="A1491" s="17">
        <f t="shared" si="47"/>
        <v>1490</v>
      </c>
      <c r="B1491" s="18" t="s">
        <v>25</v>
      </c>
      <c r="C1491" s="19">
        <v>3520403416213</v>
      </c>
      <c r="D1491" s="19"/>
      <c r="E1491" s="20">
        <v>44389</v>
      </c>
      <c r="F1491" s="20">
        <v>48041</v>
      </c>
      <c r="G1491" s="21">
        <v>37778</v>
      </c>
      <c r="H1491" s="22">
        <f t="shared" ca="1" si="46"/>
        <v>23</v>
      </c>
      <c r="I1491" s="19" t="s">
        <v>26</v>
      </c>
      <c r="J1491" s="18" t="s">
        <v>27</v>
      </c>
      <c r="K1491" s="18"/>
      <c r="L1491" s="23" t="s">
        <v>324</v>
      </c>
      <c r="M1491" s="23" t="s">
        <v>204</v>
      </c>
      <c r="N1491" s="23" t="s">
        <v>457</v>
      </c>
      <c r="O1491" s="18"/>
      <c r="P1491" s="24"/>
      <c r="Q1491" s="25">
        <v>46080</v>
      </c>
      <c r="R1491" s="13">
        <v>0</v>
      </c>
      <c r="S1491" s="26" t="str">
        <f>VLOOKUP(C1491,'[3]May-26'!$B$5:$H$89,7,0)</f>
        <v>13860010160763010019</v>
      </c>
      <c r="T1491" s="25" t="s">
        <v>32</v>
      </c>
      <c r="U1491" s="25" t="s">
        <v>443</v>
      </c>
      <c r="V1491" s="25" t="s">
        <v>3391</v>
      </c>
      <c r="W1491" s="27" t="s">
        <v>5277</v>
      </c>
      <c r="X1491" s="28" t="s">
        <v>5278</v>
      </c>
      <c r="Y1491" s="28"/>
      <c r="Z1491" s="29" t="s">
        <v>3390</v>
      </c>
    </row>
    <row r="1492" spans="1:26" ht="30" customHeight="1" thickBot="1" x14ac:dyDescent="0.25">
      <c r="A1492" s="17">
        <f t="shared" si="47"/>
        <v>1491</v>
      </c>
      <c r="B1492" s="18" t="s">
        <v>25</v>
      </c>
      <c r="C1492" s="19">
        <v>3520224316273</v>
      </c>
      <c r="D1492" s="19"/>
      <c r="E1492" s="20">
        <v>45407</v>
      </c>
      <c r="F1492" s="20">
        <v>49059</v>
      </c>
      <c r="G1492" s="21">
        <v>33016</v>
      </c>
      <c r="H1492" s="22">
        <f t="shared" ca="1" si="46"/>
        <v>36</v>
      </c>
      <c r="I1492" s="19" t="s">
        <v>26</v>
      </c>
      <c r="J1492" s="18" t="s">
        <v>27</v>
      </c>
      <c r="K1492" s="18"/>
      <c r="L1492" s="23" t="s">
        <v>769</v>
      </c>
      <c r="M1492" s="23" t="s">
        <v>5279</v>
      </c>
      <c r="N1492" s="23" t="s">
        <v>1499</v>
      </c>
      <c r="O1492" s="18"/>
      <c r="P1492" s="24"/>
      <c r="Q1492" s="25">
        <v>46126</v>
      </c>
      <c r="R1492" s="13">
        <v>0</v>
      </c>
      <c r="S1492" s="26" t="str">
        <f>VLOOKUP(C1492,'[4]Daily Wages '!$B$6:$G$197,6,0)</f>
        <v>13860010162825710011</v>
      </c>
      <c r="T1492" s="25" t="s">
        <v>32</v>
      </c>
      <c r="U1492" s="25" t="s">
        <v>443</v>
      </c>
      <c r="V1492" s="25"/>
      <c r="W1492" s="27" t="s">
        <v>5280</v>
      </c>
      <c r="X1492" s="28" t="s">
        <v>5281</v>
      </c>
      <c r="Y1492" s="28"/>
      <c r="Z1492" s="29" t="s">
        <v>3390</v>
      </c>
    </row>
    <row r="1493" spans="1:26" ht="30" customHeight="1" thickBot="1" x14ac:dyDescent="0.25">
      <c r="A1493" s="17">
        <f t="shared" si="47"/>
        <v>1492</v>
      </c>
      <c r="B1493" s="18" t="s">
        <v>25</v>
      </c>
      <c r="C1493" s="19">
        <v>3520280512505</v>
      </c>
      <c r="D1493" s="19"/>
      <c r="E1493" s="20">
        <v>43844</v>
      </c>
      <c r="F1493" s="20" t="s">
        <v>196</v>
      </c>
      <c r="G1493" s="21">
        <v>34486</v>
      </c>
      <c r="H1493" s="22">
        <f t="shared" ca="1" si="46"/>
        <v>32</v>
      </c>
      <c r="I1493" s="19" t="s">
        <v>26</v>
      </c>
      <c r="J1493" s="18" t="s">
        <v>27</v>
      </c>
      <c r="K1493" s="18"/>
      <c r="L1493" s="23" t="s">
        <v>5171</v>
      </c>
      <c r="M1493" s="23" t="s">
        <v>3519</v>
      </c>
      <c r="N1493" s="23" t="s">
        <v>1499</v>
      </c>
      <c r="O1493" s="18"/>
      <c r="P1493" s="24"/>
      <c r="Q1493" s="25">
        <v>46080</v>
      </c>
      <c r="R1493" s="13">
        <v>0</v>
      </c>
      <c r="S1493" s="26" t="str">
        <f>VLOOKUP(C1493,'[4]Daily Wages '!$B$6:$G$197,6,0)</f>
        <v>13860010160788410019</v>
      </c>
      <c r="T1493" s="25" t="s">
        <v>32</v>
      </c>
      <c r="U1493" s="25" t="s">
        <v>443</v>
      </c>
      <c r="V1493" s="25"/>
      <c r="W1493" s="27" t="s">
        <v>5282</v>
      </c>
      <c r="X1493" s="28" t="s">
        <v>5283</v>
      </c>
      <c r="Y1493" s="28"/>
      <c r="Z1493" s="29" t="s">
        <v>3390</v>
      </c>
    </row>
    <row r="1494" spans="1:26" ht="30" customHeight="1" thickBot="1" x14ac:dyDescent="0.25">
      <c r="A1494" s="17">
        <f t="shared" si="47"/>
        <v>1493</v>
      </c>
      <c r="B1494" s="18" t="s">
        <v>25</v>
      </c>
      <c r="C1494" s="19">
        <v>3520158261375</v>
      </c>
      <c r="D1494" s="19"/>
      <c r="E1494" s="20"/>
      <c r="F1494" s="20"/>
      <c r="G1494" s="21">
        <v>35837</v>
      </c>
      <c r="H1494" s="22">
        <f t="shared" ca="1" si="46"/>
        <v>28</v>
      </c>
      <c r="I1494" s="19" t="s">
        <v>26</v>
      </c>
      <c r="J1494" s="18" t="s">
        <v>27</v>
      </c>
      <c r="K1494" s="18"/>
      <c r="L1494" s="23" t="s">
        <v>5215</v>
      </c>
      <c r="M1494" s="23" t="s">
        <v>1928</v>
      </c>
      <c r="N1494" s="23" t="s">
        <v>1499</v>
      </c>
      <c r="O1494" s="18"/>
      <c r="P1494" s="24"/>
      <c r="Q1494" s="25">
        <v>46070</v>
      </c>
      <c r="R1494" s="13">
        <v>0</v>
      </c>
      <c r="S1494" s="26" t="str">
        <f>VLOOKUP(C1494,'[4]Daily Wages '!$B$6:$G$197,6,0)</f>
        <v>13860010160126500014</v>
      </c>
      <c r="T1494" s="25" t="s">
        <v>32</v>
      </c>
      <c r="U1494" s="25" t="s">
        <v>443</v>
      </c>
      <c r="V1494" s="25"/>
      <c r="W1494" s="27" t="s">
        <v>5284</v>
      </c>
      <c r="X1494" s="28" t="s">
        <v>5285</v>
      </c>
      <c r="Y1494" s="28"/>
      <c r="Z1494" s="29" t="s">
        <v>3390</v>
      </c>
    </row>
    <row r="1495" spans="1:26" ht="30" customHeight="1" thickBot="1" x14ac:dyDescent="0.25">
      <c r="A1495" s="17">
        <f t="shared" si="47"/>
        <v>1494</v>
      </c>
      <c r="B1495" s="18" t="s">
        <v>25</v>
      </c>
      <c r="C1495" s="19">
        <v>3460360929143</v>
      </c>
      <c r="D1495" s="19">
        <v>1946</v>
      </c>
      <c r="E1495" s="20">
        <v>45291</v>
      </c>
      <c r="F1495" s="20">
        <v>48944</v>
      </c>
      <c r="G1495" s="21">
        <v>38651</v>
      </c>
      <c r="H1495" s="22">
        <f t="shared" ca="1" si="46"/>
        <v>20</v>
      </c>
      <c r="I1495" s="19" t="s">
        <v>26</v>
      </c>
      <c r="J1495" s="18" t="s">
        <v>27</v>
      </c>
      <c r="K1495" s="18"/>
      <c r="L1495" s="23" t="s">
        <v>5286</v>
      </c>
      <c r="M1495" s="23" t="s">
        <v>957</v>
      </c>
      <c r="N1495" s="24" t="s">
        <v>1295</v>
      </c>
      <c r="O1495" s="18"/>
      <c r="P1495" s="24"/>
      <c r="Q1495" s="25">
        <v>45992</v>
      </c>
      <c r="R1495" s="13">
        <v>0</v>
      </c>
      <c r="S1495" s="26" t="str">
        <f>VLOOKUP(C1495,'[1]Bazaar Salary'!$B$6:$J$1193,9,0)</f>
        <v>03790010153192880010</v>
      </c>
      <c r="T1495" s="25" t="s">
        <v>32</v>
      </c>
      <c r="U1495" s="25" t="s">
        <v>1215</v>
      </c>
      <c r="V1495" s="25" t="s">
        <v>3391</v>
      </c>
      <c r="W1495" s="27" t="s">
        <v>5287</v>
      </c>
      <c r="X1495" s="28" t="s">
        <v>5288</v>
      </c>
      <c r="Y1495" s="28"/>
      <c r="Z1495" s="29" t="s">
        <v>37</v>
      </c>
    </row>
    <row r="1496" spans="1:26" ht="30" customHeight="1" thickBot="1" x14ac:dyDescent="0.25">
      <c r="A1496" s="17">
        <f t="shared" si="47"/>
        <v>1495</v>
      </c>
      <c r="B1496" s="18" t="s">
        <v>25</v>
      </c>
      <c r="C1496" s="19">
        <v>3410173466812</v>
      </c>
      <c r="D1496" s="19"/>
      <c r="E1496" s="20">
        <v>44627</v>
      </c>
      <c r="F1496" s="20">
        <v>48280</v>
      </c>
      <c r="G1496" s="21">
        <v>36866</v>
      </c>
      <c r="H1496" s="22">
        <f t="shared" ca="1" si="46"/>
        <v>25</v>
      </c>
      <c r="I1496" s="19" t="s">
        <v>26</v>
      </c>
      <c r="J1496" s="18" t="s">
        <v>27</v>
      </c>
      <c r="K1496" s="18"/>
      <c r="L1496" s="23" t="s">
        <v>5289</v>
      </c>
      <c r="M1496" s="23" t="s">
        <v>2583</v>
      </c>
      <c r="N1496" s="24" t="s">
        <v>468</v>
      </c>
      <c r="O1496" s="18"/>
      <c r="P1496" s="24"/>
      <c r="Q1496" s="25">
        <v>46054</v>
      </c>
      <c r="R1496" s="13">
        <v>0</v>
      </c>
      <c r="S1496" s="26" t="str">
        <f>VLOOKUP(C1496,'[1]Bazaar Salary'!$B$6:$J$1193,9,0)</f>
        <v>07280010156011650018</v>
      </c>
      <c r="T1496" s="25" t="s">
        <v>32</v>
      </c>
      <c r="U1496" s="25" t="s">
        <v>1215</v>
      </c>
      <c r="V1496" s="25" t="s">
        <v>5290</v>
      </c>
      <c r="W1496" s="27" t="s">
        <v>5291</v>
      </c>
      <c r="X1496" s="28" t="s">
        <v>5292</v>
      </c>
      <c r="Y1496" s="28"/>
      <c r="Z1496" s="29" t="s">
        <v>37</v>
      </c>
    </row>
    <row r="1497" spans="1:26" ht="30" customHeight="1" thickBot="1" x14ac:dyDescent="0.25">
      <c r="A1497" s="17">
        <f t="shared" si="47"/>
        <v>1496</v>
      </c>
      <c r="B1497" s="18" t="s">
        <v>25</v>
      </c>
      <c r="C1497" s="19">
        <v>3410484379315</v>
      </c>
      <c r="D1497" s="19"/>
      <c r="E1497" s="20">
        <v>44006</v>
      </c>
      <c r="F1497" s="20">
        <v>47658</v>
      </c>
      <c r="G1497" s="21">
        <v>36535</v>
      </c>
      <c r="H1497" s="22">
        <f t="shared" ca="1" si="46"/>
        <v>26</v>
      </c>
      <c r="I1497" s="19" t="s">
        <v>912</v>
      </c>
      <c r="J1497" s="18" t="s">
        <v>27</v>
      </c>
      <c r="K1497" s="18"/>
      <c r="L1497" s="23" t="s">
        <v>5293</v>
      </c>
      <c r="M1497" s="23" t="s">
        <v>5294</v>
      </c>
      <c r="N1497" s="23" t="s">
        <v>1488</v>
      </c>
      <c r="O1497" s="18"/>
      <c r="P1497" s="24"/>
      <c r="Q1497" s="25">
        <v>46080</v>
      </c>
      <c r="R1497" s="13">
        <v>0</v>
      </c>
      <c r="S1497" s="26" t="str">
        <f>VLOOKUP(C1497,'[4]Daily Wages '!$B$6:$G$197,6,0)</f>
        <v>09140010160770750019</v>
      </c>
      <c r="T1497" s="25" t="s">
        <v>32</v>
      </c>
      <c r="U1497" s="25" t="s">
        <v>1215</v>
      </c>
      <c r="V1497" s="25"/>
      <c r="W1497" s="27" t="s">
        <v>5295</v>
      </c>
      <c r="X1497" s="28" t="s">
        <v>5296</v>
      </c>
      <c r="Y1497" s="28"/>
      <c r="Z1497" s="29" t="s">
        <v>3390</v>
      </c>
    </row>
    <row r="1498" spans="1:26" ht="30" customHeight="1" thickBot="1" x14ac:dyDescent="0.25">
      <c r="A1498" s="17">
        <f t="shared" si="47"/>
        <v>1497</v>
      </c>
      <c r="B1498" s="18" t="s">
        <v>25</v>
      </c>
      <c r="C1498" s="19">
        <v>3460326402677</v>
      </c>
      <c r="D1498" s="19"/>
      <c r="E1498" s="20">
        <v>44769</v>
      </c>
      <c r="F1498" s="20">
        <v>48422</v>
      </c>
      <c r="G1498" s="21">
        <v>37864</v>
      </c>
      <c r="H1498" s="22">
        <f t="shared" ca="1" si="46"/>
        <v>22</v>
      </c>
      <c r="I1498" s="19" t="s">
        <v>912</v>
      </c>
      <c r="J1498" s="18" t="s">
        <v>27</v>
      </c>
      <c r="K1498" s="18"/>
      <c r="L1498" s="23" t="s">
        <v>5297</v>
      </c>
      <c r="M1498" s="23" t="s">
        <v>5213</v>
      </c>
      <c r="N1498" s="23" t="s">
        <v>1499</v>
      </c>
      <c r="O1498" s="18"/>
      <c r="P1498" s="24"/>
      <c r="Q1498" s="25">
        <v>46014</v>
      </c>
      <c r="R1498" s="13">
        <v>0</v>
      </c>
      <c r="S1498" s="26" t="str">
        <f>VLOOKUP(C1498,'[1]Bazaar Salary'!$B$6:$J$1193,9,0)</f>
        <v>09140010157676980019</v>
      </c>
      <c r="T1498" s="25" t="s">
        <v>32</v>
      </c>
      <c r="U1498" s="25" t="s">
        <v>1215</v>
      </c>
      <c r="V1498" s="25"/>
      <c r="W1498" s="27" t="s">
        <v>5298</v>
      </c>
      <c r="X1498" s="28" t="s">
        <v>5299</v>
      </c>
      <c r="Y1498" s="28"/>
      <c r="Z1498" s="29" t="s">
        <v>37</v>
      </c>
    </row>
    <row r="1499" spans="1:26" ht="30" customHeight="1" thickBot="1" x14ac:dyDescent="0.25">
      <c r="A1499" s="17">
        <f t="shared" si="47"/>
        <v>1498</v>
      </c>
      <c r="B1499" s="18" t="s">
        <v>25</v>
      </c>
      <c r="C1499" s="19">
        <v>3450119476461</v>
      </c>
      <c r="D1499" s="19"/>
      <c r="E1499" s="20">
        <v>45139</v>
      </c>
      <c r="F1499" s="20">
        <v>48792</v>
      </c>
      <c r="G1499" s="21">
        <v>38375</v>
      </c>
      <c r="H1499" s="22">
        <f t="shared" ca="1" si="46"/>
        <v>21</v>
      </c>
      <c r="I1499" s="19" t="s">
        <v>26</v>
      </c>
      <c r="J1499" s="18" t="s">
        <v>27</v>
      </c>
      <c r="K1499" s="18"/>
      <c r="L1499" s="23" t="s">
        <v>1933</v>
      </c>
      <c r="M1499" s="23" t="s">
        <v>5300</v>
      </c>
      <c r="N1499" s="23" t="s">
        <v>1499</v>
      </c>
      <c r="O1499" s="18"/>
      <c r="P1499" s="24"/>
      <c r="Q1499" s="25">
        <v>46066</v>
      </c>
      <c r="R1499" s="13">
        <v>0</v>
      </c>
      <c r="S1499" s="26" t="str">
        <f>VLOOKUP(C1499,'[4]Daily Wages '!$B$6:$G$197,6,0)</f>
        <v>51870020160349420010</v>
      </c>
      <c r="T1499" s="25" t="s">
        <v>32</v>
      </c>
      <c r="U1499" s="25" t="s">
        <v>1215</v>
      </c>
      <c r="V1499" s="25"/>
      <c r="W1499" s="27" t="s">
        <v>5301</v>
      </c>
      <c r="X1499" s="28" t="s">
        <v>5302</v>
      </c>
      <c r="Y1499" s="28"/>
      <c r="Z1499" s="29" t="s">
        <v>3390</v>
      </c>
    </row>
    <row r="1500" spans="1:26" ht="30" customHeight="1" thickBot="1" x14ac:dyDescent="0.25">
      <c r="A1500" s="17">
        <f t="shared" si="47"/>
        <v>1499</v>
      </c>
      <c r="B1500" s="18" t="s">
        <v>25</v>
      </c>
      <c r="C1500" s="19">
        <v>3210362709469</v>
      </c>
      <c r="D1500" s="19">
        <v>1903</v>
      </c>
      <c r="E1500" s="20">
        <v>43004</v>
      </c>
      <c r="F1500" s="20">
        <v>46656</v>
      </c>
      <c r="G1500" s="21">
        <v>35730</v>
      </c>
      <c r="H1500" s="22">
        <f t="shared" ca="1" si="46"/>
        <v>28</v>
      </c>
      <c r="I1500" s="19" t="s">
        <v>26</v>
      </c>
      <c r="J1500" s="18" t="s">
        <v>27</v>
      </c>
      <c r="K1500" s="18"/>
      <c r="L1500" s="23" t="s">
        <v>5303</v>
      </c>
      <c r="M1500" s="23" t="s">
        <v>5304</v>
      </c>
      <c r="N1500" s="23" t="s">
        <v>1488</v>
      </c>
      <c r="O1500" s="18"/>
      <c r="P1500" s="24"/>
      <c r="Q1500" s="25">
        <v>45992</v>
      </c>
      <c r="R1500" s="13">
        <v>0</v>
      </c>
      <c r="S1500" s="26" t="str">
        <f>VLOOKUP(C1500,'[1]Bazaar Salary'!$B$6:$J$1193,9,0)</f>
        <v>07330010147033510012</v>
      </c>
      <c r="T1500" s="25" t="s">
        <v>32</v>
      </c>
      <c r="U1500" s="25" t="s">
        <v>883</v>
      </c>
      <c r="V1500" s="25"/>
      <c r="W1500" s="27" t="s">
        <v>5305</v>
      </c>
      <c r="X1500" s="28" t="s">
        <v>5306</v>
      </c>
      <c r="Y1500" s="28"/>
      <c r="Z1500" s="29" t="s">
        <v>37</v>
      </c>
    </row>
    <row r="1501" spans="1:26" ht="30" customHeight="1" thickBot="1" x14ac:dyDescent="0.25">
      <c r="A1501" s="17">
        <f t="shared" si="47"/>
        <v>1500</v>
      </c>
      <c r="B1501" s="18" t="s">
        <v>25</v>
      </c>
      <c r="C1501" s="19">
        <v>3330201304725</v>
      </c>
      <c r="D1501" s="19"/>
      <c r="E1501" s="20">
        <v>44972</v>
      </c>
      <c r="F1501" s="20">
        <v>48625</v>
      </c>
      <c r="G1501" s="21">
        <v>37879</v>
      </c>
      <c r="H1501" s="22">
        <f t="shared" ca="1" si="46"/>
        <v>22</v>
      </c>
      <c r="I1501" s="19" t="s">
        <v>26</v>
      </c>
      <c r="J1501" s="18" t="s">
        <v>27</v>
      </c>
      <c r="K1501" s="18"/>
      <c r="L1501" s="23" t="s">
        <v>5307</v>
      </c>
      <c r="M1501" s="23" t="s">
        <v>5308</v>
      </c>
      <c r="N1501" s="23" t="s">
        <v>1499</v>
      </c>
      <c r="O1501" s="18"/>
      <c r="P1501" s="24"/>
      <c r="Q1501" s="25">
        <v>46070</v>
      </c>
      <c r="R1501" s="13">
        <v>0</v>
      </c>
      <c r="S1501" s="26" t="str">
        <f>VLOOKUP(C1501,'[1]Bazaar Salary'!$B$6:$J$1193,9,0)</f>
        <v>10010010131100090022</v>
      </c>
      <c r="T1501" s="25" t="s">
        <v>32</v>
      </c>
      <c r="U1501" s="25" t="s">
        <v>448</v>
      </c>
      <c r="V1501" s="25"/>
      <c r="W1501" s="27" t="s">
        <v>5309</v>
      </c>
      <c r="X1501" s="32" t="s">
        <v>5310</v>
      </c>
      <c r="Y1501" s="28"/>
      <c r="Z1501" s="29" t="s">
        <v>37</v>
      </c>
    </row>
    <row r="1502" spans="1:26" ht="30" customHeight="1" thickBot="1" x14ac:dyDescent="0.25">
      <c r="A1502" s="17">
        <f t="shared" si="47"/>
        <v>1501</v>
      </c>
      <c r="B1502" s="18" t="s">
        <v>25</v>
      </c>
      <c r="C1502" s="19">
        <v>3520018242509</v>
      </c>
      <c r="D1502" s="19"/>
      <c r="E1502" s="20">
        <v>44124</v>
      </c>
      <c r="F1502" s="20">
        <v>47776</v>
      </c>
      <c r="G1502" s="21">
        <v>36509</v>
      </c>
      <c r="H1502" s="22">
        <f t="shared" ca="1" si="46"/>
        <v>26</v>
      </c>
      <c r="I1502" s="19" t="s">
        <v>26</v>
      </c>
      <c r="J1502" s="18" t="s">
        <v>27</v>
      </c>
      <c r="K1502" s="18"/>
      <c r="L1502" s="23" t="s">
        <v>5311</v>
      </c>
      <c r="M1502" s="23" t="s">
        <v>1182</v>
      </c>
      <c r="N1502" s="23" t="s">
        <v>457</v>
      </c>
      <c r="O1502" s="18"/>
      <c r="P1502" s="24"/>
      <c r="Q1502" s="25">
        <v>46080</v>
      </c>
      <c r="R1502" s="13">
        <v>0</v>
      </c>
      <c r="S1502" s="26" t="str">
        <f>VLOOKUP(C1502,'[3]May-26'!$B$5:$H$89,7,0)</f>
        <v>08100010160773610013</v>
      </c>
      <c r="T1502" s="25" t="s">
        <v>32</v>
      </c>
      <c r="U1502" s="25" t="s">
        <v>448</v>
      </c>
      <c r="V1502" s="25" t="s">
        <v>3391</v>
      </c>
      <c r="W1502" s="27" t="s">
        <v>5312</v>
      </c>
      <c r="X1502" s="28" t="s">
        <v>5313</v>
      </c>
      <c r="Y1502" s="28"/>
      <c r="Z1502" s="29" t="s">
        <v>3390</v>
      </c>
    </row>
    <row r="1503" spans="1:26" ht="30" customHeight="1" thickBot="1" x14ac:dyDescent="0.25">
      <c r="A1503" s="17">
        <f t="shared" si="47"/>
        <v>1502</v>
      </c>
      <c r="B1503" s="18" t="s">
        <v>25</v>
      </c>
      <c r="C1503" s="19">
        <v>3530174125715</v>
      </c>
      <c r="D1503" s="19"/>
      <c r="E1503" s="20">
        <v>45426</v>
      </c>
      <c r="F1503" s="20">
        <v>49078</v>
      </c>
      <c r="G1503" s="21">
        <v>35977</v>
      </c>
      <c r="H1503" s="22">
        <f t="shared" ca="1" si="46"/>
        <v>27</v>
      </c>
      <c r="I1503" s="19" t="s">
        <v>26</v>
      </c>
      <c r="J1503" s="18" t="s">
        <v>27</v>
      </c>
      <c r="K1503" s="18"/>
      <c r="L1503" s="23" t="s">
        <v>4621</v>
      </c>
      <c r="M1503" s="23" t="s">
        <v>199</v>
      </c>
      <c r="N1503" s="23" t="s">
        <v>1488</v>
      </c>
      <c r="O1503" s="18"/>
      <c r="P1503" s="24"/>
      <c r="Q1503" s="25">
        <v>46070</v>
      </c>
      <c r="R1503" s="13">
        <v>0</v>
      </c>
      <c r="S1503" s="26" t="str">
        <f>VLOOKUP(C1503,'[4]Daily Wages '!$B$6:$G$197,6,0)</f>
        <v>51010020145148800015</v>
      </c>
      <c r="T1503" s="25" t="s">
        <v>32</v>
      </c>
      <c r="U1503" s="25" t="s">
        <v>448</v>
      </c>
      <c r="V1503" s="25"/>
      <c r="W1503" s="27" t="s">
        <v>5314</v>
      </c>
      <c r="X1503" s="28" t="s">
        <v>5315</v>
      </c>
      <c r="Y1503" s="28"/>
      <c r="Z1503" s="29" t="s">
        <v>3390</v>
      </c>
    </row>
    <row r="1504" spans="1:26" ht="30" customHeight="1" thickBot="1" x14ac:dyDescent="0.25">
      <c r="A1504" s="17">
        <f t="shared" si="47"/>
        <v>1503</v>
      </c>
      <c r="B1504" s="18" t="s">
        <v>25</v>
      </c>
      <c r="C1504" s="19">
        <v>3520259722217</v>
      </c>
      <c r="D1504" s="19"/>
      <c r="E1504" s="20">
        <v>44697</v>
      </c>
      <c r="F1504" s="20" t="s">
        <v>196</v>
      </c>
      <c r="G1504" s="21">
        <v>22282</v>
      </c>
      <c r="H1504" s="22">
        <f t="shared" ca="1" si="46"/>
        <v>65</v>
      </c>
      <c r="I1504" s="19" t="s">
        <v>26</v>
      </c>
      <c r="J1504" s="18" t="s">
        <v>27</v>
      </c>
      <c r="K1504" s="18"/>
      <c r="L1504" s="23" t="s">
        <v>1146</v>
      </c>
      <c r="M1504" s="23" t="s">
        <v>974</v>
      </c>
      <c r="N1504" s="23" t="s">
        <v>1499</v>
      </c>
      <c r="O1504" s="18"/>
      <c r="P1504" s="24"/>
      <c r="Q1504" s="25">
        <v>46058</v>
      </c>
      <c r="R1504" s="13">
        <v>0</v>
      </c>
      <c r="S1504" s="26" t="str">
        <f>VLOOKUP(C1504,'[4]Daily Wages '!$B$6:$G$197,6,0)</f>
        <v>02880010160327370017</v>
      </c>
      <c r="T1504" s="25" t="s">
        <v>32</v>
      </c>
      <c r="U1504" s="25" t="s">
        <v>448</v>
      </c>
      <c r="V1504" s="25"/>
      <c r="W1504" s="27" t="s">
        <v>5316</v>
      </c>
      <c r="X1504" s="28" t="s">
        <v>5317</v>
      </c>
      <c r="Y1504" s="28"/>
      <c r="Z1504" s="29" t="s">
        <v>3390</v>
      </c>
    </row>
    <row r="1505" spans="1:26" ht="30" customHeight="1" thickBot="1" x14ac:dyDescent="0.25">
      <c r="A1505" s="17">
        <f t="shared" si="47"/>
        <v>1504</v>
      </c>
      <c r="B1505" s="18" t="s">
        <v>25</v>
      </c>
      <c r="C1505" s="19">
        <v>3330320196821</v>
      </c>
      <c r="D1505" s="19"/>
      <c r="E1505" s="20">
        <v>45219</v>
      </c>
      <c r="F1505" s="20">
        <v>48872</v>
      </c>
      <c r="G1505" s="21">
        <v>37842</v>
      </c>
      <c r="H1505" s="22">
        <f t="shared" ca="1" si="46"/>
        <v>22</v>
      </c>
      <c r="I1505" s="19" t="s">
        <v>26</v>
      </c>
      <c r="J1505" s="18" t="s">
        <v>27</v>
      </c>
      <c r="K1505" s="18"/>
      <c r="L1505" s="23" t="s">
        <v>5318</v>
      </c>
      <c r="M1505" s="23" t="s">
        <v>5319</v>
      </c>
      <c r="N1505" s="24" t="s">
        <v>468</v>
      </c>
      <c r="O1505" s="18"/>
      <c r="P1505" s="24"/>
      <c r="Q1505" s="25">
        <v>46023</v>
      </c>
      <c r="R1505" s="13">
        <v>0</v>
      </c>
      <c r="S1505" s="26" t="str">
        <f>VLOOKUP(C1505,'[1]Bazaar Salary'!$B$6:$J$1193,9,0)</f>
        <v>04060010154216900016</v>
      </c>
      <c r="T1505" s="25" t="s">
        <v>32</v>
      </c>
      <c r="U1505" s="25" t="s">
        <v>506</v>
      </c>
      <c r="V1505" s="25" t="s">
        <v>5320</v>
      </c>
      <c r="W1505" s="27" t="s">
        <v>5321</v>
      </c>
      <c r="X1505" s="28" t="s">
        <v>5322</v>
      </c>
      <c r="Y1505" s="28"/>
      <c r="Z1505" s="29" t="s">
        <v>37</v>
      </c>
    </row>
    <row r="1506" spans="1:26" ht="30" customHeight="1" thickBot="1" x14ac:dyDescent="0.25">
      <c r="A1506" s="17">
        <f t="shared" si="47"/>
        <v>1505</v>
      </c>
      <c r="B1506" s="18" t="s">
        <v>25</v>
      </c>
      <c r="C1506" s="19">
        <v>3650196982235</v>
      </c>
      <c r="D1506" s="19">
        <v>1942</v>
      </c>
      <c r="E1506" s="20">
        <v>42761</v>
      </c>
      <c r="F1506" s="20">
        <v>46413</v>
      </c>
      <c r="G1506" s="21">
        <v>36117</v>
      </c>
      <c r="H1506" s="22">
        <f t="shared" ca="1" si="46"/>
        <v>27</v>
      </c>
      <c r="I1506" s="19" t="s">
        <v>26</v>
      </c>
      <c r="J1506" s="18" t="s">
        <v>27</v>
      </c>
      <c r="K1506" s="18"/>
      <c r="L1506" s="23" t="s">
        <v>5323</v>
      </c>
      <c r="M1506" s="23" t="s">
        <v>5324</v>
      </c>
      <c r="N1506" s="23" t="s">
        <v>1067</v>
      </c>
      <c r="O1506" s="18"/>
      <c r="P1506" s="24"/>
      <c r="Q1506" s="25">
        <v>45992</v>
      </c>
      <c r="R1506" s="13">
        <v>0</v>
      </c>
      <c r="S1506" s="26" t="str">
        <f>VLOOKUP(C1506,'[1]Bazaar Salary'!$B$6:$J$1193,9,0)</f>
        <v>02880010151608860018</v>
      </c>
      <c r="T1506" s="25" t="s">
        <v>32</v>
      </c>
      <c r="U1506" s="25" t="s">
        <v>254</v>
      </c>
      <c r="V1506" s="25" t="s">
        <v>5325</v>
      </c>
      <c r="W1506" s="27" t="s">
        <v>5326</v>
      </c>
      <c r="X1506" s="28" t="s">
        <v>5327</v>
      </c>
      <c r="Y1506" s="28"/>
      <c r="Z1506" s="29" t="s">
        <v>37</v>
      </c>
    </row>
    <row r="1507" spans="1:26" ht="30" customHeight="1" thickBot="1" x14ac:dyDescent="0.25">
      <c r="A1507" s="17">
        <f t="shared" si="47"/>
        <v>1506</v>
      </c>
      <c r="B1507" s="18" t="s">
        <v>25</v>
      </c>
      <c r="C1507" s="19">
        <v>3520245967333</v>
      </c>
      <c r="D1507" s="19"/>
      <c r="E1507" s="20">
        <v>43664</v>
      </c>
      <c r="F1507" s="20">
        <v>47317</v>
      </c>
      <c r="G1507" s="21">
        <v>36868</v>
      </c>
      <c r="H1507" s="22">
        <f t="shared" ca="1" si="46"/>
        <v>25</v>
      </c>
      <c r="I1507" s="19" t="s">
        <v>26</v>
      </c>
      <c r="J1507" s="18" t="s">
        <v>27</v>
      </c>
      <c r="K1507" s="18"/>
      <c r="L1507" s="23" t="s">
        <v>5328</v>
      </c>
      <c r="M1507" s="23" t="s">
        <v>5329</v>
      </c>
      <c r="N1507" s="23" t="s">
        <v>1295</v>
      </c>
      <c r="O1507" s="18"/>
      <c r="P1507" s="24"/>
      <c r="Q1507" s="25">
        <v>46039</v>
      </c>
      <c r="R1507" s="13">
        <v>0</v>
      </c>
      <c r="S1507" s="26" t="str">
        <f>VLOOKUP(C1507,'[1]Bazaar Salary'!$B$6:$J$1193,9,0)</f>
        <v>02270010160312770017</v>
      </c>
      <c r="T1507" s="25" t="s">
        <v>32</v>
      </c>
      <c r="U1507" s="25" t="s">
        <v>254</v>
      </c>
      <c r="V1507" s="25"/>
      <c r="W1507" s="27" t="s">
        <v>5330</v>
      </c>
      <c r="X1507" s="28" t="s">
        <v>5331</v>
      </c>
      <c r="Y1507" s="28"/>
      <c r="Z1507" s="29" t="s">
        <v>37</v>
      </c>
    </row>
    <row r="1508" spans="1:26" ht="30" customHeight="1" thickBot="1" x14ac:dyDescent="0.25">
      <c r="A1508" s="17">
        <f t="shared" si="47"/>
        <v>1507</v>
      </c>
      <c r="B1508" s="18" t="s">
        <v>25</v>
      </c>
      <c r="C1508" s="19">
        <v>3520241608373</v>
      </c>
      <c r="D1508" s="19"/>
      <c r="E1508" s="20">
        <v>44230</v>
      </c>
      <c r="F1508" s="20">
        <v>47882</v>
      </c>
      <c r="G1508" s="21">
        <v>37772</v>
      </c>
      <c r="H1508" s="22">
        <f t="shared" ca="1" si="46"/>
        <v>23</v>
      </c>
      <c r="I1508" s="19" t="s">
        <v>26</v>
      </c>
      <c r="J1508" s="18" t="s">
        <v>27</v>
      </c>
      <c r="K1508" s="18"/>
      <c r="L1508" s="23" t="s">
        <v>5332</v>
      </c>
      <c r="M1508" s="23" t="s">
        <v>5333</v>
      </c>
      <c r="N1508" s="23" t="s">
        <v>457</v>
      </c>
      <c r="O1508" s="18"/>
      <c r="P1508" s="24"/>
      <c r="Q1508" s="25">
        <v>46039</v>
      </c>
      <c r="R1508" s="13">
        <v>0</v>
      </c>
      <c r="S1508" s="26" t="str">
        <f>VLOOKUP(C1508,'[1]Bazaar Salary'!$B$6:$J$1193,9,0)</f>
        <v>02880010158527770011</v>
      </c>
      <c r="T1508" s="25" t="s">
        <v>32</v>
      </c>
      <c r="U1508" s="25" t="s">
        <v>254</v>
      </c>
      <c r="V1508" s="25"/>
      <c r="W1508" s="27" t="s">
        <v>5334</v>
      </c>
      <c r="X1508" s="28" t="s">
        <v>5335</v>
      </c>
      <c r="Y1508" s="28"/>
      <c r="Z1508" s="29" t="s">
        <v>37</v>
      </c>
    </row>
    <row r="1509" spans="1:26" ht="30" customHeight="1" thickBot="1" x14ac:dyDescent="0.25">
      <c r="A1509" s="17">
        <f t="shared" si="47"/>
        <v>1508</v>
      </c>
      <c r="B1509" s="18" t="s">
        <v>25</v>
      </c>
      <c r="C1509" s="19">
        <v>3520281450963</v>
      </c>
      <c r="D1509" s="19">
        <v>1924</v>
      </c>
      <c r="E1509" s="20">
        <v>44223</v>
      </c>
      <c r="F1509" s="20">
        <v>47875</v>
      </c>
      <c r="G1509" s="21">
        <v>37517</v>
      </c>
      <c r="H1509" s="22">
        <f t="shared" ca="1" si="46"/>
        <v>23</v>
      </c>
      <c r="I1509" s="19" t="s">
        <v>912</v>
      </c>
      <c r="J1509" s="18" t="s">
        <v>27</v>
      </c>
      <c r="K1509" s="18"/>
      <c r="L1509" s="23" t="s">
        <v>4588</v>
      </c>
      <c r="M1509" s="23" t="s">
        <v>5336</v>
      </c>
      <c r="N1509" s="23" t="s">
        <v>1488</v>
      </c>
      <c r="O1509" s="18"/>
      <c r="P1509" s="24"/>
      <c r="Q1509" s="25">
        <v>45992</v>
      </c>
      <c r="R1509" s="13">
        <v>0</v>
      </c>
      <c r="S1509" s="26" t="str">
        <f>VLOOKUP(C1509,'[1]Bazaar Salary'!$B$6:$J$1193,9,0)</f>
        <v>01530010151282360012</v>
      </c>
      <c r="T1509" s="25" t="s">
        <v>32</v>
      </c>
      <c r="U1509" s="25" t="s">
        <v>254</v>
      </c>
      <c r="V1509" s="25"/>
      <c r="W1509" s="27" t="s">
        <v>5337</v>
      </c>
      <c r="X1509" s="28" t="s">
        <v>5338</v>
      </c>
      <c r="Y1509" s="28"/>
      <c r="Z1509" s="29" t="s">
        <v>37</v>
      </c>
    </row>
    <row r="1510" spans="1:26" ht="30" customHeight="1" thickBot="1" x14ac:dyDescent="0.25">
      <c r="A1510" s="17">
        <f t="shared" si="47"/>
        <v>1509</v>
      </c>
      <c r="B1510" s="18" t="s">
        <v>25</v>
      </c>
      <c r="C1510" s="19">
        <v>3520160938325</v>
      </c>
      <c r="D1510" s="19">
        <v>1925</v>
      </c>
      <c r="E1510" s="20">
        <v>45885</v>
      </c>
      <c r="F1510" s="20">
        <v>48023</v>
      </c>
      <c r="G1510" s="21">
        <v>36161</v>
      </c>
      <c r="H1510" s="22">
        <f t="shared" ca="1" si="46"/>
        <v>27</v>
      </c>
      <c r="I1510" s="19" t="s">
        <v>912</v>
      </c>
      <c r="J1510" s="18" t="s">
        <v>27</v>
      </c>
      <c r="K1510" s="18"/>
      <c r="L1510" s="23" t="s">
        <v>5339</v>
      </c>
      <c r="M1510" s="23" t="s">
        <v>2189</v>
      </c>
      <c r="N1510" s="23" t="s">
        <v>1488</v>
      </c>
      <c r="O1510" s="18"/>
      <c r="P1510" s="24"/>
      <c r="Q1510" s="25">
        <v>45992</v>
      </c>
      <c r="R1510" s="13">
        <v>0</v>
      </c>
      <c r="S1510" s="26" t="str">
        <f>VLOOKUP(C1510,'[1]Bazaar Salary'!$B$6:$J$1193,9,0)</f>
        <v>02880010151207490010</v>
      </c>
      <c r="T1510" s="25" t="s">
        <v>32</v>
      </c>
      <c r="U1510" s="25" t="s">
        <v>254</v>
      </c>
      <c r="V1510" s="25"/>
      <c r="W1510" s="27" t="s">
        <v>5340</v>
      </c>
      <c r="X1510" s="28" t="s">
        <v>5341</v>
      </c>
      <c r="Y1510" s="28"/>
      <c r="Z1510" s="29" t="s">
        <v>37</v>
      </c>
    </row>
    <row r="1511" spans="1:26" ht="30" customHeight="1" thickBot="1" x14ac:dyDescent="0.25">
      <c r="A1511" s="17">
        <f t="shared" si="47"/>
        <v>1510</v>
      </c>
      <c r="B1511" s="18" t="s">
        <v>25</v>
      </c>
      <c r="C1511" s="19">
        <v>3520265232313</v>
      </c>
      <c r="D1511" s="19">
        <v>1923</v>
      </c>
      <c r="E1511" s="20">
        <v>44929</v>
      </c>
      <c r="F1511" s="20">
        <v>48582</v>
      </c>
      <c r="G1511" s="21">
        <v>38182</v>
      </c>
      <c r="H1511" s="22">
        <f t="shared" ca="1" si="46"/>
        <v>21</v>
      </c>
      <c r="I1511" s="19" t="s">
        <v>912</v>
      </c>
      <c r="J1511" s="18" t="s">
        <v>27</v>
      </c>
      <c r="K1511" s="18"/>
      <c r="L1511" s="23" t="s">
        <v>5342</v>
      </c>
      <c r="M1511" s="23" t="s">
        <v>2293</v>
      </c>
      <c r="N1511" s="23" t="s">
        <v>1488</v>
      </c>
      <c r="O1511" s="18"/>
      <c r="P1511" s="24"/>
      <c r="Q1511" s="25">
        <v>45992</v>
      </c>
      <c r="R1511" s="13">
        <v>0</v>
      </c>
      <c r="S1511" s="26" t="str">
        <f>VLOOKUP(C1511,'[1]Bazaar Salary'!$B$6:$J$1193,9,0)</f>
        <v>02880010150952330017</v>
      </c>
      <c r="T1511" s="25" t="s">
        <v>32</v>
      </c>
      <c r="U1511" s="25" t="s">
        <v>254</v>
      </c>
      <c r="V1511" s="25"/>
      <c r="W1511" s="27" t="s">
        <v>5343</v>
      </c>
      <c r="X1511" s="28" t="s">
        <v>5344</v>
      </c>
      <c r="Y1511" s="28"/>
      <c r="Z1511" s="29" t="s">
        <v>37</v>
      </c>
    </row>
    <row r="1512" spans="1:26" ht="30" customHeight="1" thickBot="1" x14ac:dyDescent="0.25">
      <c r="A1512" s="17">
        <f t="shared" si="47"/>
        <v>1511</v>
      </c>
      <c r="B1512" s="18" t="s">
        <v>25</v>
      </c>
      <c r="C1512" s="19">
        <v>3840143535837</v>
      </c>
      <c r="D1512" s="19">
        <v>1909</v>
      </c>
      <c r="E1512" s="20">
        <v>45663</v>
      </c>
      <c r="F1512" s="20" t="s">
        <v>2752</v>
      </c>
      <c r="G1512" s="21">
        <v>29252</v>
      </c>
      <c r="H1512" s="22">
        <f t="shared" ca="1" si="46"/>
        <v>46</v>
      </c>
      <c r="I1512" s="19" t="s">
        <v>26</v>
      </c>
      <c r="J1512" s="18" t="s">
        <v>27</v>
      </c>
      <c r="K1512" s="18"/>
      <c r="L1512" s="23" t="s">
        <v>5345</v>
      </c>
      <c r="M1512" s="23" t="s">
        <v>385</v>
      </c>
      <c r="N1512" s="23" t="s">
        <v>1499</v>
      </c>
      <c r="O1512" s="18"/>
      <c r="P1512" s="24"/>
      <c r="Q1512" s="25">
        <v>45992</v>
      </c>
      <c r="R1512" s="13">
        <v>0</v>
      </c>
      <c r="S1512" s="26" t="str">
        <f>VLOOKUP(C1512,'[1]Bazaar Salary'!$B$6:$J$1193,9,0)</f>
        <v>05980010105434050010</v>
      </c>
      <c r="T1512" s="25" t="s">
        <v>32</v>
      </c>
      <c r="U1512" s="25" t="s">
        <v>254</v>
      </c>
      <c r="V1512" s="25"/>
      <c r="W1512" s="27" t="s">
        <v>5346</v>
      </c>
      <c r="X1512" s="28" t="s">
        <v>5347</v>
      </c>
      <c r="Y1512" s="28"/>
      <c r="Z1512" s="29" t="s">
        <v>37</v>
      </c>
    </row>
    <row r="1513" spans="1:26" ht="30" customHeight="1" thickBot="1" x14ac:dyDescent="0.25">
      <c r="A1513" s="17">
        <f t="shared" si="47"/>
        <v>1512</v>
      </c>
      <c r="B1513" s="18" t="s">
        <v>25</v>
      </c>
      <c r="C1513" s="19">
        <v>3640241102447</v>
      </c>
      <c r="D1513" s="19"/>
      <c r="E1513" s="20">
        <v>45960</v>
      </c>
      <c r="F1513" s="20">
        <v>46267</v>
      </c>
      <c r="G1513" s="21">
        <v>39693</v>
      </c>
      <c r="H1513" s="22">
        <f t="shared" ca="1" si="46"/>
        <v>17</v>
      </c>
      <c r="I1513" s="19" t="s">
        <v>26</v>
      </c>
      <c r="J1513" s="18" t="s">
        <v>27</v>
      </c>
      <c r="K1513" s="18"/>
      <c r="L1513" s="23" t="s">
        <v>5328</v>
      </c>
      <c r="M1513" s="23" t="s">
        <v>1133</v>
      </c>
      <c r="N1513" s="23" t="s">
        <v>1551</v>
      </c>
      <c r="O1513" s="18"/>
      <c r="P1513" s="24"/>
      <c r="Q1513" s="25">
        <v>45988</v>
      </c>
      <c r="R1513" s="13">
        <v>0</v>
      </c>
      <c r="S1513" s="26" t="str">
        <f>VLOOKUP(C1513,'[4]Daily Wages '!$B$6:$G$197,6,0)</f>
        <v>10080010156538240016</v>
      </c>
      <c r="T1513" s="25" t="s">
        <v>32</v>
      </c>
      <c r="U1513" s="25" t="s">
        <v>254</v>
      </c>
      <c r="V1513" s="25"/>
      <c r="W1513" s="27" t="s">
        <v>5348</v>
      </c>
      <c r="X1513" s="28" t="s">
        <v>5349</v>
      </c>
      <c r="Y1513" s="28"/>
      <c r="Z1513" s="29" t="s">
        <v>3390</v>
      </c>
    </row>
    <row r="1514" spans="1:26" ht="30" customHeight="1" thickBot="1" x14ac:dyDescent="0.25">
      <c r="A1514" s="17">
        <f t="shared" si="47"/>
        <v>1513</v>
      </c>
      <c r="B1514" s="18" t="s">
        <v>25</v>
      </c>
      <c r="C1514" s="19">
        <v>3520015692451</v>
      </c>
      <c r="D1514" s="19">
        <v>216</v>
      </c>
      <c r="E1514" s="20">
        <v>42091</v>
      </c>
      <c r="F1514" s="20" t="s">
        <v>196</v>
      </c>
      <c r="G1514" s="21">
        <v>20224</v>
      </c>
      <c r="H1514" s="22">
        <f t="shared" ca="1" si="46"/>
        <v>71</v>
      </c>
      <c r="I1514" s="19" t="s">
        <v>26</v>
      </c>
      <c r="J1514" s="18" t="s">
        <v>27</v>
      </c>
      <c r="K1514" s="18"/>
      <c r="L1514" s="23" t="s">
        <v>5350</v>
      </c>
      <c r="M1514" s="23" t="s">
        <v>4530</v>
      </c>
      <c r="N1514" s="24" t="s">
        <v>1295</v>
      </c>
      <c r="O1514" s="18"/>
      <c r="P1514" s="24"/>
      <c r="Q1514" s="25">
        <v>43740</v>
      </c>
      <c r="R1514" s="13">
        <v>0</v>
      </c>
      <c r="S1514" s="26" t="str">
        <f>VLOOKUP(C1514,'[3]May-26'!$B$5:$H$89,7,0)</f>
        <v>51450020047665550015</v>
      </c>
      <c r="T1514" s="25" t="s">
        <v>32</v>
      </c>
      <c r="U1514" s="25" t="s">
        <v>254</v>
      </c>
      <c r="V1514" s="25" t="s">
        <v>320</v>
      </c>
      <c r="W1514" s="27" t="s">
        <v>5351</v>
      </c>
      <c r="X1514" s="28" t="s">
        <v>5352</v>
      </c>
      <c r="Y1514" s="28"/>
      <c r="Z1514" s="29" t="s">
        <v>3390</v>
      </c>
    </row>
    <row r="1515" spans="1:26" ht="30" customHeight="1" thickBot="1" x14ac:dyDescent="0.25">
      <c r="A1515" s="17">
        <f t="shared" si="47"/>
        <v>1514</v>
      </c>
      <c r="B1515" s="18" t="s">
        <v>25</v>
      </c>
      <c r="C1515" s="19">
        <v>3520281482785</v>
      </c>
      <c r="D1515" s="19"/>
      <c r="E1515" s="20">
        <v>45162</v>
      </c>
      <c r="F1515" s="20">
        <v>48815</v>
      </c>
      <c r="G1515" s="21">
        <v>38416</v>
      </c>
      <c r="H1515" s="22">
        <f t="shared" ca="1" si="46"/>
        <v>21</v>
      </c>
      <c r="I1515" s="19" t="s">
        <v>26</v>
      </c>
      <c r="J1515" s="18" t="s">
        <v>27</v>
      </c>
      <c r="K1515" s="18"/>
      <c r="L1515" s="23" t="s">
        <v>820</v>
      </c>
      <c r="M1515" s="23" t="s">
        <v>5353</v>
      </c>
      <c r="N1515" s="23" t="s">
        <v>1295</v>
      </c>
      <c r="O1515" s="18"/>
      <c r="P1515" s="24"/>
      <c r="Q1515" s="25">
        <v>46080</v>
      </c>
      <c r="R1515" s="13">
        <v>0</v>
      </c>
      <c r="S1515" s="26" t="str">
        <f>VLOOKUP(C1515,'[3]May-26'!$B$5:$H$89,7,0)</f>
        <v>07620010160784240012</v>
      </c>
      <c r="T1515" s="25" t="s">
        <v>32</v>
      </c>
      <c r="U1515" s="25" t="s">
        <v>254</v>
      </c>
      <c r="V1515" s="25" t="s">
        <v>884</v>
      </c>
      <c r="W1515" s="27" t="s">
        <v>1256</v>
      </c>
      <c r="X1515" s="28" t="s">
        <v>5354</v>
      </c>
      <c r="Y1515" s="28"/>
      <c r="Z1515" s="29" t="s">
        <v>3390</v>
      </c>
    </row>
    <row r="1516" spans="1:26" ht="30" customHeight="1" thickBot="1" x14ac:dyDescent="0.25">
      <c r="A1516" s="17">
        <f t="shared" si="47"/>
        <v>1515</v>
      </c>
      <c r="B1516" s="18" t="s">
        <v>25</v>
      </c>
      <c r="C1516" s="19">
        <v>3520227273906</v>
      </c>
      <c r="D1516" s="19"/>
      <c r="E1516" s="20">
        <v>46048</v>
      </c>
      <c r="F1516" s="20">
        <v>49700</v>
      </c>
      <c r="G1516" s="21">
        <v>38214</v>
      </c>
      <c r="H1516" s="22">
        <f t="shared" ca="1" si="46"/>
        <v>21</v>
      </c>
      <c r="I1516" s="19" t="s">
        <v>912</v>
      </c>
      <c r="J1516" s="18" t="s">
        <v>66</v>
      </c>
      <c r="K1516" s="18"/>
      <c r="L1516" s="23" t="s">
        <v>5355</v>
      </c>
      <c r="M1516" s="23" t="s">
        <v>2747</v>
      </c>
      <c r="N1516" s="23" t="s">
        <v>1295</v>
      </c>
      <c r="O1516" s="18"/>
      <c r="P1516" s="24"/>
      <c r="Q1516" s="25">
        <v>46084</v>
      </c>
      <c r="R1516" s="13">
        <v>0</v>
      </c>
      <c r="S1516" s="26" t="str">
        <f>VLOOKUP(C1516,'[3]May-26'!$B$5:$H$89,7,0)</f>
        <v>07030010160814790014</v>
      </c>
      <c r="T1516" s="25" t="s">
        <v>32</v>
      </c>
      <c r="U1516" s="25" t="s">
        <v>254</v>
      </c>
      <c r="V1516" s="25"/>
      <c r="W1516" s="27" t="s">
        <v>5356</v>
      </c>
      <c r="X1516" s="28" t="s">
        <v>5357</v>
      </c>
      <c r="Y1516" s="28"/>
      <c r="Z1516" s="29" t="s">
        <v>3390</v>
      </c>
    </row>
    <row r="1517" spans="1:26" ht="30" customHeight="1" thickBot="1" x14ac:dyDescent="0.25">
      <c r="A1517" s="17">
        <f t="shared" si="47"/>
        <v>1516</v>
      </c>
      <c r="B1517" s="18" t="s">
        <v>25</v>
      </c>
      <c r="C1517" s="19">
        <v>3520287425313</v>
      </c>
      <c r="D1517" s="19"/>
      <c r="E1517" s="20">
        <v>45000</v>
      </c>
      <c r="F1517" s="20">
        <v>48653</v>
      </c>
      <c r="G1517" s="21">
        <v>34881</v>
      </c>
      <c r="H1517" s="22">
        <f t="shared" ca="1" si="46"/>
        <v>30</v>
      </c>
      <c r="I1517" s="19" t="s">
        <v>912</v>
      </c>
      <c r="J1517" s="18" t="s">
        <v>27</v>
      </c>
      <c r="K1517" s="18"/>
      <c r="L1517" s="23" t="s">
        <v>2725</v>
      </c>
      <c r="M1517" s="23" t="s">
        <v>2776</v>
      </c>
      <c r="N1517" s="23" t="s">
        <v>1488</v>
      </c>
      <c r="O1517" s="18"/>
      <c r="P1517" s="24"/>
      <c r="Q1517" s="25">
        <v>46129</v>
      </c>
      <c r="R1517" s="13">
        <v>0</v>
      </c>
      <c r="S1517" s="26" t="str">
        <f>VLOOKUP(C1517,'[4]Daily Wages '!$B$6:$G$197,6,0)</f>
        <v>01530010162946450010</v>
      </c>
      <c r="T1517" s="25" t="s">
        <v>32</v>
      </c>
      <c r="U1517" s="25" t="s">
        <v>254</v>
      </c>
      <c r="V1517" s="25"/>
      <c r="W1517" s="27" t="s">
        <v>5358</v>
      </c>
      <c r="X1517" s="28" t="s">
        <v>5359</v>
      </c>
      <c r="Y1517" s="28"/>
      <c r="Z1517" s="29" t="s">
        <v>3390</v>
      </c>
    </row>
    <row r="1518" spans="1:26" ht="30" customHeight="1" thickBot="1" x14ac:dyDescent="0.25">
      <c r="A1518" s="17">
        <f t="shared" si="47"/>
        <v>1517</v>
      </c>
      <c r="B1518" s="18" t="s">
        <v>25</v>
      </c>
      <c r="C1518" s="19">
        <v>3520223553869</v>
      </c>
      <c r="D1518" s="19"/>
      <c r="E1518" s="20">
        <v>43185</v>
      </c>
      <c r="F1518" s="20">
        <v>46838</v>
      </c>
      <c r="G1518" s="21">
        <v>36535</v>
      </c>
      <c r="H1518" s="22">
        <f t="shared" ca="1" si="46"/>
        <v>26</v>
      </c>
      <c r="I1518" s="19" t="s">
        <v>26</v>
      </c>
      <c r="J1518" s="18" t="s">
        <v>27</v>
      </c>
      <c r="K1518" s="18"/>
      <c r="L1518" s="23" t="s">
        <v>935</v>
      </c>
      <c r="M1518" s="23" t="s">
        <v>236</v>
      </c>
      <c r="N1518" s="23" t="s">
        <v>1488</v>
      </c>
      <c r="O1518" s="18"/>
      <c r="P1518" s="24"/>
      <c r="Q1518" s="25">
        <v>46080</v>
      </c>
      <c r="R1518" s="13">
        <v>0</v>
      </c>
      <c r="S1518" s="26" t="str">
        <f>VLOOKUP(C1518,'[4]Daily Wages '!$B$6:$G$197,6,0)</f>
        <v>01530010160863770012</v>
      </c>
      <c r="T1518" s="25" t="s">
        <v>32</v>
      </c>
      <c r="U1518" s="25" t="s">
        <v>254</v>
      </c>
      <c r="V1518" s="25"/>
      <c r="W1518" s="27" t="s">
        <v>5360</v>
      </c>
      <c r="X1518" s="28" t="s">
        <v>5361</v>
      </c>
      <c r="Y1518" s="28"/>
      <c r="Z1518" s="29" t="s">
        <v>3390</v>
      </c>
    </row>
    <row r="1519" spans="1:26" ht="30" customHeight="1" thickBot="1" x14ac:dyDescent="0.25">
      <c r="A1519" s="17">
        <f t="shared" si="47"/>
        <v>1518</v>
      </c>
      <c r="B1519" s="18" t="s">
        <v>25</v>
      </c>
      <c r="C1519" s="19">
        <v>3520210820765</v>
      </c>
      <c r="D1519" s="19"/>
      <c r="E1519" s="20">
        <v>44188</v>
      </c>
      <c r="F1519" s="20">
        <v>47840</v>
      </c>
      <c r="G1519" s="21">
        <v>29569</v>
      </c>
      <c r="H1519" s="22">
        <f t="shared" ca="1" si="46"/>
        <v>45</v>
      </c>
      <c r="I1519" s="19" t="s">
        <v>26</v>
      </c>
      <c r="J1519" s="18" t="s">
        <v>27</v>
      </c>
      <c r="K1519" s="18"/>
      <c r="L1519" s="23" t="s">
        <v>1290</v>
      </c>
      <c r="M1519" s="23" t="s">
        <v>974</v>
      </c>
      <c r="N1519" s="23" t="s">
        <v>1488</v>
      </c>
      <c r="O1519" s="18"/>
      <c r="P1519" s="24"/>
      <c r="Q1519" s="25">
        <v>46158</v>
      </c>
      <c r="R1519" s="13">
        <v>0</v>
      </c>
      <c r="S1519" s="26"/>
      <c r="T1519" s="25"/>
      <c r="U1519" s="25" t="s">
        <v>254</v>
      </c>
      <c r="V1519" s="25"/>
      <c r="W1519" s="27" t="s">
        <v>5362</v>
      </c>
      <c r="X1519" s="28" t="s">
        <v>5363</v>
      </c>
      <c r="Y1519" s="28"/>
      <c r="Z1519" s="29" t="s">
        <v>3390</v>
      </c>
    </row>
    <row r="1520" spans="1:26" ht="30" customHeight="1" thickBot="1" x14ac:dyDescent="0.25">
      <c r="A1520" s="17">
        <f t="shared" si="47"/>
        <v>1519</v>
      </c>
      <c r="B1520" s="18" t="s">
        <v>25</v>
      </c>
      <c r="C1520" s="19">
        <v>3660137204694</v>
      </c>
      <c r="D1520" s="19"/>
      <c r="E1520" s="20">
        <v>42893</v>
      </c>
      <c r="F1520" s="20">
        <v>46545</v>
      </c>
      <c r="G1520" s="21">
        <v>31778</v>
      </c>
      <c r="H1520" s="22">
        <f t="shared" ca="1" si="46"/>
        <v>39</v>
      </c>
      <c r="I1520" s="19" t="s">
        <v>26</v>
      </c>
      <c r="J1520" s="18" t="s">
        <v>66</v>
      </c>
      <c r="K1520" s="18"/>
      <c r="L1520" s="23" t="s">
        <v>5364</v>
      </c>
      <c r="M1520" s="23" t="s">
        <v>5365</v>
      </c>
      <c r="N1520" s="23" t="s">
        <v>1499</v>
      </c>
      <c r="O1520" s="18"/>
      <c r="P1520" s="24"/>
      <c r="Q1520" s="25">
        <v>46072</v>
      </c>
      <c r="R1520" s="13">
        <v>0</v>
      </c>
      <c r="S1520" s="26" t="str">
        <f>VLOOKUP(C1520,'[4]Daily Wages '!$B$6:$G$197,6,0)</f>
        <v>14290010160574290010</v>
      </c>
      <c r="T1520" s="25" t="s">
        <v>32</v>
      </c>
      <c r="U1520" s="25" t="s">
        <v>254</v>
      </c>
      <c r="V1520" s="25"/>
      <c r="W1520" s="27" t="s">
        <v>5366</v>
      </c>
      <c r="X1520" s="28" t="s">
        <v>5367</v>
      </c>
      <c r="Y1520" s="28"/>
      <c r="Z1520" s="29" t="s">
        <v>3390</v>
      </c>
    </row>
    <row r="1521" spans="1:26" ht="30" customHeight="1" thickBot="1" x14ac:dyDescent="0.25">
      <c r="A1521" s="17">
        <f t="shared" si="47"/>
        <v>1520</v>
      </c>
      <c r="B1521" s="18" t="s">
        <v>25</v>
      </c>
      <c r="C1521" s="19">
        <v>3520271842665</v>
      </c>
      <c r="D1521" s="19"/>
      <c r="E1521" s="20">
        <v>42551</v>
      </c>
      <c r="F1521" s="20">
        <v>46203</v>
      </c>
      <c r="G1521" s="21">
        <v>35744</v>
      </c>
      <c r="H1521" s="22">
        <f t="shared" ca="1" si="46"/>
        <v>28</v>
      </c>
      <c r="I1521" s="19" t="s">
        <v>26</v>
      </c>
      <c r="J1521" s="18" t="s">
        <v>27</v>
      </c>
      <c r="K1521" s="18"/>
      <c r="L1521" s="23" t="s">
        <v>5368</v>
      </c>
      <c r="M1521" s="23" t="s">
        <v>5369</v>
      </c>
      <c r="N1521" s="23" t="s">
        <v>1488</v>
      </c>
      <c r="O1521" s="18"/>
      <c r="P1521" s="24"/>
      <c r="Q1521" s="25">
        <v>46008</v>
      </c>
      <c r="R1521" s="13">
        <v>0</v>
      </c>
      <c r="S1521" s="26" t="str">
        <f>VLOOKUP(C1521,'[1]Bazaar Salary'!$B$6:$J$1193,9,0)</f>
        <v>01530010157236240010</v>
      </c>
      <c r="T1521" s="25" t="s">
        <v>32</v>
      </c>
      <c r="U1521" s="25" t="s">
        <v>922</v>
      </c>
      <c r="V1521" s="25"/>
      <c r="W1521" s="27" t="s">
        <v>5370</v>
      </c>
      <c r="X1521" s="28" t="s">
        <v>972</v>
      </c>
      <c r="Y1521" s="28"/>
      <c r="Z1521" s="29" t="s">
        <v>37</v>
      </c>
    </row>
    <row r="1522" spans="1:26" ht="30" customHeight="1" thickBot="1" x14ac:dyDescent="0.25">
      <c r="A1522" s="17">
        <f t="shared" si="47"/>
        <v>1521</v>
      </c>
      <c r="B1522" s="18" t="s">
        <v>25</v>
      </c>
      <c r="C1522" s="19">
        <v>3520215136339</v>
      </c>
      <c r="D1522" s="19"/>
      <c r="E1522" s="20">
        <v>45702</v>
      </c>
      <c r="F1522" s="20">
        <v>49354</v>
      </c>
      <c r="G1522" s="21">
        <v>39071</v>
      </c>
      <c r="H1522" s="22">
        <f t="shared" ca="1" si="46"/>
        <v>19</v>
      </c>
      <c r="I1522" s="19" t="s">
        <v>26</v>
      </c>
      <c r="J1522" s="18" t="s">
        <v>27</v>
      </c>
      <c r="K1522" s="18"/>
      <c r="L1522" s="23" t="s">
        <v>5371</v>
      </c>
      <c r="M1522" s="23" t="s">
        <v>748</v>
      </c>
      <c r="N1522" s="23" t="s">
        <v>1488</v>
      </c>
      <c r="O1522" s="18"/>
      <c r="P1522" s="24"/>
      <c r="Q1522" s="25">
        <v>46007</v>
      </c>
      <c r="R1522" s="13">
        <v>0</v>
      </c>
      <c r="S1522" s="26" t="str">
        <f>VLOOKUP(C1522,'[1]Bazaar Salary'!$B$6:$J$1193,9,0)</f>
        <v>10960010157359180014</v>
      </c>
      <c r="T1522" s="25" t="s">
        <v>32</v>
      </c>
      <c r="U1522" s="25" t="s">
        <v>922</v>
      </c>
      <c r="V1522" s="25"/>
      <c r="W1522" s="27" t="s">
        <v>5372</v>
      </c>
      <c r="X1522" s="28" t="s">
        <v>972</v>
      </c>
      <c r="Y1522" s="28"/>
      <c r="Z1522" s="29" t="s">
        <v>37</v>
      </c>
    </row>
    <row r="1523" spans="1:26" ht="30" customHeight="1" thickBot="1" x14ac:dyDescent="0.25">
      <c r="A1523" s="17">
        <f t="shared" si="47"/>
        <v>1522</v>
      </c>
      <c r="B1523" s="18" t="s">
        <v>25</v>
      </c>
      <c r="C1523" s="19">
        <v>3450183961501</v>
      </c>
      <c r="D1523" s="19"/>
      <c r="E1523" s="20">
        <v>45041</v>
      </c>
      <c r="F1523" s="20">
        <v>48694</v>
      </c>
      <c r="G1523" s="21">
        <v>38445</v>
      </c>
      <c r="H1523" s="22">
        <f t="shared" ca="1" si="46"/>
        <v>21</v>
      </c>
      <c r="I1523" s="19" t="s">
        <v>26</v>
      </c>
      <c r="J1523" s="18" t="s">
        <v>27</v>
      </c>
      <c r="K1523" s="18"/>
      <c r="L1523" s="23" t="s">
        <v>1308</v>
      </c>
      <c r="M1523" s="23" t="s">
        <v>5373</v>
      </c>
      <c r="N1523" s="23" t="s">
        <v>1499</v>
      </c>
      <c r="O1523" s="18"/>
      <c r="P1523" s="24"/>
      <c r="Q1523" s="25">
        <v>46037</v>
      </c>
      <c r="R1523" s="13">
        <v>0</v>
      </c>
      <c r="S1523" s="26" t="str">
        <f>VLOOKUP(C1523,'[1]Bazaar Salary'!$B$6:$J$1193,9,0)</f>
        <v>05380010158373330017</v>
      </c>
      <c r="T1523" s="25" t="s">
        <v>32</v>
      </c>
      <c r="U1523" s="25" t="s">
        <v>919</v>
      </c>
      <c r="V1523" s="25"/>
      <c r="W1523" s="27" t="s">
        <v>5374</v>
      </c>
      <c r="X1523" s="28" t="s">
        <v>5375</v>
      </c>
      <c r="Y1523" s="28"/>
      <c r="Z1523" s="29" t="s">
        <v>37</v>
      </c>
    </row>
    <row r="1524" spans="1:26" ht="30" customHeight="1" thickBot="1" x14ac:dyDescent="0.25">
      <c r="A1524" s="17">
        <f t="shared" si="47"/>
        <v>1523</v>
      </c>
      <c r="B1524" s="18" t="s">
        <v>25</v>
      </c>
      <c r="C1524" s="19">
        <v>3520172595725</v>
      </c>
      <c r="D1524" s="19"/>
      <c r="E1524" s="20">
        <v>44503</v>
      </c>
      <c r="F1524" s="20">
        <v>48155</v>
      </c>
      <c r="G1524" s="21">
        <v>35463</v>
      </c>
      <c r="H1524" s="22">
        <f t="shared" ca="1" si="46"/>
        <v>29</v>
      </c>
      <c r="I1524" s="19" t="s">
        <v>26</v>
      </c>
      <c r="J1524" s="18" t="s">
        <v>27</v>
      </c>
      <c r="K1524" s="18"/>
      <c r="L1524" s="23" t="s">
        <v>5376</v>
      </c>
      <c r="M1524" s="23" t="s">
        <v>5377</v>
      </c>
      <c r="N1524" s="23" t="s">
        <v>1499</v>
      </c>
      <c r="O1524" s="18"/>
      <c r="P1524" s="24"/>
      <c r="Q1524" s="25">
        <v>46037</v>
      </c>
      <c r="R1524" s="13">
        <v>0</v>
      </c>
      <c r="S1524" s="26" t="str">
        <f>VLOOKUP(C1524,'[1]Bazaar Salary'!$B$6:$J$1193,9,0)</f>
        <v>10810010104911040018</v>
      </c>
      <c r="T1524" s="25" t="s">
        <v>32</v>
      </c>
      <c r="U1524" s="25" t="s">
        <v>922</v>
      </c>
      <c r="V1524" s="25"/>
      <c r="W1524" s="27" t="s">
        <v>5378</v>
      </c>
      <c r="X1524" s="28" t="s">
        <v>5379</v>
      </c>
      <c r="Y1524" s="28"/>
      <c r="Z1524" s="29" t="s">
        <v>37</v>
      </c>
    </row>
    <row r="1525" spans="1:26" ht="30" customHeight="1" thickBot="1" x14ac:dyDescent="0.25">
      <c r="A1525" s="17">
        <f t="shared" si="47"/>
        <v>1524</v>
      </c>
      <c r="B1525" s="18" t="s">
        <v>25</v>
      </c>
      <c r="C1525" s="19">
        <v>3520216880443</v>
      </c>
      <c r="D1525" s="19"/>
      <c r="E1525" s="20">
        <v>45444</v>
      </c>
      <c r="F1525" s="20">
        <v>49096</v>
      </c>
      <c r="G1525" s="21">
        <v>36506</v>
      </c>
      <c r="H1525" s="22">
        <f t="shared" ca="1" si="46"/>
        <v>26</v>
      </c>
      <c r="I1525" s="19" t="s">
        <v>26</v>
      </c>
      <c r="J1525" s="18" t="s">
        <v>27</v>
      </c>
      <c r="K1525" s="18"/>
      <c r="L1525" s="23" t="s">
        <v>2237</v>
      </c>
      <c r="M1525" s="23" t="s">
        <v>1258</v>
      </c>
      <c r="N1525" s="23" t="s">
        <v>1499</v>
      </c>
      <c r="O1525" s="18"/>
      <c r="P1525" s="24"/>
      <c r="Q1525" s="25">
        <v>46010</v>
      </c>
      <c r="R1525" s="13">
        <v>0</v>
      </c>
      <c r="S1525" s="26" t="str">
        <f>VLOOKUP(C1525,'[1]Bazaar Salary'!$B$6:$J$1193,9,0)</f>
        <v>05380010157315930010</v>
      </c>
      <c r="T1525" s="25" t="s">
        <v>32</v>
      </c>
      <c r="U1525" s="25" t="s">
        <v>922</v>
      </c>
      <c r="V1525" s="25"/>
      <c r="W1525" s="27" t="s">
        <v>5380</v>
      </c>
      <c r="X1525" s="28" t="s">
        <v>5381</v>
      </c>
      <c r="Y1525" s="28"/>
      <c r="Z1525" s="29" t="s">
        <v>37</v>
      </c>
    </row>
    <row r="1526" spans="1:26" ht="30" customHeight="1" thickBot="1" x14ac:dyDescent="0.25">
      <c r="A1526" s="17">
        <f t="shared" si="47"/>
        <v>1525</v>
      </c>
      <c r="B1526" s="18" t="s">
        <v>25</v>
      </c>
      <c r="C1526" s="19">
        <v>3520219734467</v>
      </c>
      <c r="D1526" s="19"/>
      <c r="E1526" s="20">
        <v>43529</v>
      </c>
      <c r="F1526" s="20">
        <v>47182</v>
      </c>
      <c r="G1526" s="21">
        <v>33300</v>
      </c>
      <c r="H1526" s="22">
        <f t="shared" ca="1" si="46"/>
        <v>35</v>
      </c>
      <c r="I1526" s="19" t="s">
        <v>26</v>
      </c>
      <c r="J1526" s="18" t="s">
        <v>27</v>
      </c>
      <c r="K1526" s="18"/>
      <c r="L1526" s="23" t="s">
        <v>5382</v>
      </c>
      <c r="M1526" s="23" t="s">
        <v>1503</v>
      </c>
      <c r="N1526" s="23" t="s">
        <v>1499</v>
      </c>
      <c r="O1526" s="18"/>
      <c r="P1526" s="24"/>
      <c r="Q1526" s="25">
        <v>46037</v>
      </c>
      <c r="R1526" s="13">
        <v>0</v>
      </c>
      <c r="S1526" s="26" t="str">
        <f>VLOOKUP(C1526,'[1]Bazaar Salary'!$B$6:$J$1193,9,0)</f>
        <v>05380010158266240019</v>
      </c>
      <c r="T1526" s="25" t="s">
        <v>32</v>
      </c>
      <c r="U1526" s="25" t="s">
        <v>922</v>
      </c>
      <c r="V1526" s="25"/>
      <c r="W1526" s="27" t="s">
        <v>5383</v>
      </c>
      <c r="X1526" s="28" t="s">
        <v>5384</v>
      </c>
      <c r="Y1526" s="28"/>
      <c r="Z1526" s="29" t="s">
        <v>37</v>
      </c>
    </row>
    <row r="1527" spans="1:26" ht="30" customHeight="1" thickBot="1" x14ac:dyDescent="0.25">
      <c r="A1527" s="17">
        <f t="shared" si="47"/>
        <v>1526</v>
      </c>
      <c r="B1527" s="18" t="s">
        <v>25</v>
      </c>
      <c r="C1527" s="19">
        <v>3660367935551</v>
      </c>
      <c r="D1527" s="19">
        <v>1859</v>
      </c>
      <c r="E1527" s="20">
        <v>45630</v>
      </c>
      <c r="F1527" s="20">
        <v>49282</v>
      </c>
      <c r="G1527" s="21">
        <v>37519</v>
      </c>
      <c r="H1527" s="22">
        <f t="shared" ca="1" si="46"/>
        <v>23</v>
      </c>
      <c r="I1527" s="19" t="s">
        <v>912</v>
      </c>
      <c r="J1527" s="18" t="s">
        <v>27</v>
      </c>
      <c r="K1527" s="18"/>
      <c r="L1527" s="23" t="s">
        <v>5385</v>
      </c>
      <c r="M1527" s="23" t="s">
        <v>5386</v>
      </c>
      <c r="N1527" s="23" t="s">
        <v>1488</v>
      </c>
      <c r="O1527" s="18"/>
      <c r="P1527" s="24"/>
      <c r="Q1527" s="25">
        <v>45992</v>
      </c>
      <c r="R1527" s="13">
        <v>0</v>
      </c>
      <c r="S1527" s="26" t="str">
        <f>VLOOKUP(C1527,'[1]Bazaar Salary'!$B$6:$J$1193,9,0)</f>
        <v>08370010144830800017</v>
      </c>
      <c r="T1527" s="25" t="s">
        <v>32</v>
      </c>
      <c r="U1527" s="25" t="s">
        <v>3304</v>
      </c>
      <c r="V1527" s="25"/>
      <c r="W1527" s="27" t="s">
        <v>5387</v>
      </c>
      <c r="X1527" s="28" t="s">
        <v>5388</v>
      </c>
      <c r="Y1527" s="28"/>
      <c r="Z1527" s="29" t="s">
        <v>37</v>
      </c>
    </row>
    <row r="1528" spans="1:26" ht="30" customHeight="1" thickBot="1" x14ac:dyDescent="0.25">
      <c r="A1528" s="17">
        <f t="shared" si="47"/>
        <v>1527</v>
      </c>
      <c r="B1528" s="18" t="s">
        <v>25</v>
      </c>
      <c r="C1528" s="19">
        <v>4220108356483</v>
      </c>
      <c r="D1528" s="19"/>
      <c r="E1528" s="20">
        <v>43479</v>
      </c>
      <c r="F1528" s="20">
        <v>47132</v>
      </c>
      <c r="G1528" s="21">
        <v>36160</v>
      </c>
      <c r="H1528" s="22">
        <f t="shared" ca="1" si="46"/>
        <v>27</v>
      </c>
      <c r="I1528" s="19" t="s">
        <v>26</v>
      </c>
      <c r="J1528" s="18" t="s">
        <v>27</v>
      </c>
      <c r="K1528" s="18"/>
      <c r="L1528" s="23" t="s">
        <v>785</v>
      </c>
      <c r="M1528" s="23" t="s">
        <v>2433</v>
      </c>
      <c r="N1528" s="23" t="s">
        <v>1499</v>
      </c>
      <c r="O1528" s="18"/>
      <c r="P1528" s="24"/>
      <c r="Q1528" s="25">
        <v>45992</v>
      </c>
      <c r="R1528" s="13">
        <v>0</v>
      </c>
      <c r="S1528" s="26" t="str">
        <f>VLOOKUP(C1528,'[1]Bazaar Salary'!$B$6:$J$1193,9,0)</f>
        <v>02810010154641990010</v>
      </c>
      <c r="T1528" s="25" t="s">
        <v>32</v>
      </c>
      <c r="U1528" s="25" t="s">
        <v>3304</v>
      </c>
      <c r="V1528" s="25" t="s">
        <v>884</v>
      </c>
      <c r="W1528" s="27" t="s">
        <v>5389</v>
      </c>
      <c r="X1528" s="28" t="s">
        <v>5390</v>
      </c>
      <c r="Y1528" s="28"/>
      <c r="Z1528" s="29" t="s">
        <v>37</v>
      </c>
    </row>
    <row r="1529" spans="1:26" ht="30" customHeight="1" thickBot="1" x14ac:dyDescent="0.25">
      <c r="A1529" s="17">
        <f t="shared" si="47"/>
        <v>1528</v>
      </c>
      <c r="B1529" s="18" t="s">
        <v>25</v>
      </c>
      <c r="C1529" s="19">
        <v>3110313248705</v>
      </c>
      <c r="D1529" s="19"/>
      <c r="E1529" s="20">
        <v>45561</v>
      </c>
      <c r="F1529" s="20">
        <v>49213</v>
      </c>
      <c r="G1529" s="21">
        <v>38914</v>
      </c>
      <c r="H1529" s="22">
        <f t="shared" ca="1" si="46"/>
        <v>19</v>
      </c>
      <c r="I1529" s="19" t="s">
        <v>26</v>
      </c>
      <c r="J1529" s="18" t="s">
        <v>27</v>
      </c>
      <c r="K1529" s="18"/>
      <c r="L1529" s="23" t="s">
        <v>5391</v>
      </c>
      <c r="M1529" s="23" t="s">
        <v>1620</v>
      </c>
      <c r="N1529" s="23" t="s">
        <v>1295</v>
      </c>
      <c r="O1529" s="18"/>
      <c r="P1529" s="24"/>
      <c r="Q1529" s="25">
        <v>46071</v>
      </c>
      <c r="R1529" s="13">
        <v>0</v>
      </c>
      <c r="S1529" s="26" t="str">
        <f>VLOOKUP(C1529,'[3]May-26'!$B$5:$H$89,7,0)</f>
        <v>08370010160530470016</v>
      </c>
      <c r="T1529" s="25" t="s">
        <v>32</v>
      </c>
      <c r="U1529" s="25" t="s">
        <v>3304</v>
      </c>
      <c r="V1529" s="25" t="s">
        <v>3391</v>
      </c>
      <c r="W1529" s="27" t="s">
        <v>545</v>
      </c>
      <c r="X1529" s="28" t="s">
        <v>5392</v>
      </c>
      <c r="Y1529" s="28"/>
      <c r="Z1529" s="29" t="s">
        <v>3390</v>
      </c>
    </row>
    <row r="1530" spans="1:26" ht="30" customHeight="1" thickBot="1" x14ac:dyDescent="0.25">
      <c r="A1530" s="17">
        <f t="shared" si="47"/>
        <v>1529</v>
      </c>
      <c r="B1530" s="18" t="s">
        <v>25</v>
      </c>
      <c r="C1530" s="19">
        <v>3120556777649</v>
      </c>
      <c r="D1530" s="19"/>
      <c r="E1530" s="20">
        <v>45766</v>
      </c>
      <c r="F1530" s="20">
        <v>49418</v>
      </c>
      <c r="G1530" s="21">
        <v>35102</v>
      </c>
      <c r="H1530" s="22">
        <f t="shared" ca="1" si="46"/>
        <v>30</v>
      </c>
      <c r="I1530" s="19" t="s">
        <v>26</v>
      </c>
      <c r="J1530" s="18" t="s">
        <v>27</v>
      </c>
      <c r="K1530" s="18"/>
      <c r="L1530" s="23" t="s">
        <v>5393</v>
      </c>
      <c r="M1530" s="23" t="s">
        <v>5394</v>
      </c>
      <c r="N1530" s="24" t="s">
        <v>468</v>
      </c>
      <c r="O1530" s="18"/>
      <c r="P1530" s="24"/>
      <c r="Q1530" s="25">
        <v>46054</v>
      </c>
      <c r="R1530" s="13">
        <v>0</v>
      </c>
      <c r="S1530" s="26" t="str">
        <f>VLOOKUP(C1530,'[1]Bazaar Salary'!$B$6:$J$1193,9,0)</f>
        <v>03530010155752880014</v>
      </c>
      <c r="T1530" s="25" t="s">
        <v>32</v>
      </c>
      <c r="U1530" s="25" t="s">
        <v>3304</v>
      </c>
      <c r="V1530" s="25" t="s">
        <v>4110</v>
      </c>
      <c r="W1530" s="27" t="s">
        <v>5395</v>
      </c>
      <c r="X1530" s="28" t="s">
        <v>5396</v>
      </c>
      <c r="Y1530" s="28"/>
      <c r="Z1530" s="29" t="s">
        <v>37</v>
      </c>
    </row>
    <row r="1531" spans="1:26" ht="30" customHeight="1" thickBot="1" x14ac:dyDescent="0.25">
      <c r="A1531" s="17">
        <f t="shared" si="47"/>
        <v>1530</v>
      </c>
      <c r="B1531" s="18" t="s">
        <v>25</v>
      </c>
      <c r="C1531" s="19">
        <v>3660365767885</v>
      </c>
      <c r="D1531" s="19"/>
      <c r="E1531" s="20">
        <v>43684</v>
      </c>
      <c r="F1531" s="20">
        <v>47337</v>
      </c>
      <c r="G1531" s="21">
        <v>35491</v>
      </c>
      <c r="H1531" s="22">
        <f t="shared" ca="1" si="46"/>
        <v>29</v>
      </c>
      <c r="I1531" s="19" t="s">
        <v>912</v>
      </c>
      <c r="J1531" s="18" t="s">
        <v>27</v>
      </c>
      <c r="K1531" s="18"/>
      <c r="L1531" s="23" t="s">
        <v>5397</v>
      </c>
      <c r="M1531" s="23" t="s">
        <v>5141</v>
      </c>
      <c r="N1531" s="23" t="s">
        <v>1488</v>
      </c>
      <c r="O1531" s="18"/>
      <c r="P1531" s="24"/>
      <c r="Q1531" s="25">
        <v>46150</v>
      </c>
      <c r="R1531" s="13">
        <v>0</v>
      </c>
      <c r="S1531" s="26" t="str">
        <f>VLOOKUP(C1531,'[4]Daily Wages '!$B$6:$G$197,6,0)</f>
        <v>08370010157301020010</v>
      </c>
      <c r="T1531" s="25" t="s">
        <v>32</v>
      </c>
      <c r="U1531" s="25" t="s">
        <v>3304</v>
      </c>
      <c r="V1531" s="25"/>
      <c r="W1531" s="27" t="s">
        <v>5398</v>
      </c>
      <c r="X1531" s="28" t="s">
        <v>5399</v>
      </c>
      <c r="Y1531" s="28"/>
      <c r="Z1531" s="29" t="s">
        <v>3390</v>
      </c>
    </row>
    <row r="1532" spans="1:26" ht="30" customHeight="1" thickBot="1" x14ac:dyDescent="0.25">
      <c r="A1532" s="17">
        <f t="shared" si="47"/>
        <v>1531</v>
      </c>
      <c r="B1532" s="18" t="s">
        <v>25</v>
      </c>
      <c r="C1532" s="19">
        <v>3650192306239</v>
      </c>
      <c r="D1532" s="19">
        <v>1961</v>
      </c>
      <c r="E1532" s="20">
        <v>45811</v>
      </c>
      <c r="F1532" s="20">
        <v>49463</v>
      </c>
      <c r="G1532" s="21">
        <v>35521</v>
      </c>
      <c r="H1532" s="22">
        <f t="shared" ca="1" si="46"/>
        <v>29</v>
      </c>
      <c r="I1532" s="19" t="s">
        <v>26</v>
      </c>
      <c r="J1532" s="18" t="s">
        <v>27</v>
      </c>
      <c r="K1532" s="18"/>
      <c r="L1532" s="23" t="s">
        <v>5400</v>
      </c>
      <c r="M1532" s="23" t="s">
        <v>3384</v>
      </c>
      <c r="N1532" s="23" t="s">
        <v>1067</v>
      </c>
      <c r="O1532" s="18"/>
      <c r="P1532" s="24"/>
      <c r="Q1532" s="25">
        <v>45992</v>
      </c>
      <c r="R1532" s="13">
        <v>0</v>
      </c>
      <c r="S1532" s="26" t="str">
        <f>VLOOKUP(C1532,'[1]Bazaar Salary'!$B$6:$J$1193,9,0)</f>
        <v>07620010151320330017</v>
      </c>
      <c r="T1532" s="25" t="s">
        <v>32</v>
      </c>
      <c r="U1532" s="25" t="s">
        <v>512</v>
      </c>
      <c r="V1532" s="25"/>
      <c r="W1532" s="27" t="s">
        <v>5401</v>
      </c>
      <c r="X1532" s="28" t="s">
        <v>5402</v>
      </c>
      <c r="Y1532" s="28"/>
      <c r="Z1532" s="29" t="s">
        <v>37</v>
      </c>
    </row>
    <row r="1533" spans="1:26" ht="30" customHeight="1" thickBot="1" x14ac:dyDescent="0.25">
      <c r="A1533" s="17">
        <f t="shared" si="47"/>
        <v>1532</v>
      </c>
      <c r="B1533" s="18" t="s">
        <v>25</v>
      </c>
      <c r="C1533" s="19">
        <v>3510119403765</v>
      </c>
      <c r="D1533" s="19">
        <v>1928</v>
      </c>
      <c r="E1533" s="20">
        <v>45325</v>
      </c>
      <c r="F1533" s="20">
        <v>48978</v>
      </c>
      <c r="G1533" s="21">
        <v>31381</v>
      </c>
      <c r="H1533" s="22">
        <f t="shared" ca="1" si="46"/>
        <v>40</v>
      </c>
      <c r="I1533" s="19" t="s">
        <v>26</v>
      </c>
      <c r="J1533" s="18" t="s">
        <v>27</v>
      </c>
      <c r="K1533" s="18"/>
      <c r="L1533" s="23" t="s">
        <v>5403</v>
      </c>
      <c r="M1533" s="23" t="s">
        <v>5404</v>
      </c>
      <c r="N1533" s="23" t="s">
        <v>1499</v>
      </c>
      <c r="O1533" s="18"/>
      <c r="P1533" s="24"/>
      <c r="Q1533" s="25">
        <v>45992</v>
      </c>
      <c r="R1533" s="13">
        <v>0</v>
      </c>
      <c r="S1533" s="26" t="str">
        <f>VLOOKUP(C1533,'[1]Bazaar Salary'!$B$6:$J$1193,9,0)</f>
        <v>51210020150003020013</v>
      </c>
      <c r="T1533" s="25" t="s">
        <v>32</v>
      </c>
      <c r="U1533" s="25" t="s">
        <v>512</v>
      </c>
      <c r="V1533" s="25"/>
      <c r="W1533" s="27" t="s">
        <v>5405</v>
      </c>
      <c r="X1533" s="28" t="s">
        <v>5406</v>
      </c>
      <c r="Y1533" s="28"/>
      <c r="Z1533" s="29" t="s">
        <v>37</v>
      </c>
    </row>
    <row r="1534" spans="1:26" ht="30" customHeight="1" thickBot="1" x14ac:dyDescent="0.25">
      <c r="A1534" s="17">
        <f t="shared" si="47"/>
        <v>1533</v>
      </c>
      <c r="B1534" s="18" t="s">
        <v>25</v>
      </c>
      <c r="C1534" s="19">
        <v>3320313417507</v>
      </c>
      <c r="D1534" s="19"/>
      <c r="E1534" s="20">
        <v>44908</v>
      </c>
      <c r="F1534" s="20">
        <v>48561</v>
      </c>
      <c r="G1534" s="21">
        <v>38574</v>
      </c>
      <c r="H1534" s="22">
        <f t="shared" ca="1" si="46"/>
        <v>20</v>
      </c>
      <c r="I1534" s="19" t="s">
        <v>26</v>
      </c>
      <c r="J1534" s="18" t="s">
        <v>27</v>
      </c>
      <c r="K1534" s="18"/>
      <c r="L1534" s="23" t="s">
        <v>5407</v>
      </c>
      <c r="M1534" s="23" t="s">
        <v>5408</v>
      </c>
      <c r="N1534" s="23" t="s">
        <v>1499</v>
      </c>
      <c r="O1534" s="18"/>
      <c r="P1534" s="24"/>
      <c r="Q1534" s="25">
        <v>46009</v>
      </c>
      <c r="R1534" s="13">
        <v>0</v>
      </c>
      <c r="S1534" s="26" t="str">
        <f>VLOOKUP(C1534,'[1]Bazaar Salary'!$B$6:$J$1193,9,0)</f>
        <v>09530010158984120015</v>
      </c>
      <c r="T1534" s="25" t="s">
        <v>32</v>
      </c>
      <c r="U1534" s="25" t="s">
        <v>512</v>
      </c>
      <c r="V1534" s="25"/>
      <c r="W1534" s="27" t="s">
        <v>5409</v>
      </c>
      <c r="X1534" s="28" t="s">
        <v>5410</v>
      </c>
      <c r="Y1534" s="28"/>
      <c r="Z1534" s="29" t="s">
        <v>37</v>
      </c>
    </row>
    <row r="1535" spans="1:26" ht="30" customHeight="1" thickBot="1" x14ac:dyDescent="0.25">
      <c r="A1535" s="17">
        <f t="shared" si="47"/>
        <v>1534</v>
      </c>
      <c r="B1535" s="18" t="s">
        <v>25</v>
      </c>
      <c r="C1535" s="19">
        <v>3520403865195</v>
      </c>
      <c r="D1535" s="19"/>
      <c r="E1535" s="20">
        <v>45073</v>
      </c>
      <c r="F1535" s="20">
        <v>48726</v>
      </c>
      <c r="G1535" s="21">
        <v>36049</v>
      </c>
      <c r="H1535" s="22">
        <f t="shared" ca="1" si="46"/>
        <v>27</v>
      </c>
      <c r="I1535" s="19" t="s">
        <v>26</v>
      </c>
      <c r="J1535" s="18" t="s">
        <v>27</v>
      </c>
      <c r="K1535" s="18"/>
      <c r="L1535" s="23" t="s">
        <v>1150</v>
      </c>
      <c r="M1535" s="23" t="s">
        <v>5411</v>
      </c>
      <c r="N1535" s="23" t="s">
        <v>1295</v>
      </c>
      <c r="O1535" s="18"/>
      <c r="P1535" s="24"/>
      <c r="Q1535" s="25">
        <v>46080</v>
      </c>
      <c r="R1535" s="13">
        <v>0</v>
      </c>
      <c r="S1535" s="26" t="str">
        <f>VLOOKUP(C1535,'[3]May-26'!$B$5:$H$89,7,0)</f>
        <v>10520010160758050010</v>
      </c>
      <c r="T1535" s="25" t="s">
        <v>32</v>
      </c>
      <c r="U1535" s="25" t="s">
        <v>512</v>
      </c>
      <c r="V1535" s="25" t="s">
        <v>884</v>
      </c>
      <c r="W1535" s="27" t="s">
        <v>3522</v>
      </c>
      <c r="X1535" s="28" t="s">
        <v>5412</v>
      </c>
      <c r="Y1535" s="28"/>
      <c r="Z1535" s="29" t="s">
        <v>3390</v>
      </c>
    </row>
    <row r="1536" spans="1:26" ht="30" customHeight="1" thickBot="1" x14ac:dyDescent="0.25">
      <c r="A1536" s="17">
        <f t="shared" si="47"/>
        <v>1535</v>
      </c>
      <c r="B1536" s="18" t="s">
        <v>25</v>
      </c>
      <c r="C1536" s="19">
        <v>3410218669989</v>
      </c>
      <c r="D1536" s="19"/>
      <c r="E1536" s="20">
        <v>43704</v>
      </c>
      <c r="F1536" s="20">
        <v>47357</v>
      </c>
      <c r="G1536" s="21">
        <v>37108</v>
      </c>
      <c r="H1536" s="22">
        <f t="shared" ca="1" si="46"/>
        <v>24</v>
      </c>
      <c r="I1536" s="19" t="s">
        <v>26</v>
      </c>
      <c r="J1536" s="18" t="s">
        <v>27</v>
      </c>
      <c r="K1536" s="18"/>
      <c r="L1536" s="23" t="s">
        <v>2980</v>
      </c>
      <c r="M1536" s="23" t="s">
        <v>3699</v>
      </c>
      <c r="N1536" s="24" t="s">
        <v>1295</v>
      </c>
      <c r="O1536" s="18"/>
      <c r="P1536" s="24"/>
      <c r="Q1536" s="25">
        <v>46045</v>
      </c>
      <c r="R1536" s="13">
        <v>0</v>
      </c>
      <c r="S1536" s="26" t="str">
        <f>VLOOKUP(C1536,'[1]Bazaar Salary'!$B$6:$J$1193,9,0)</f>
        <v>05610010074197310012</v>
      </c>
      <c r="T1536" s="25" t="s">
        <v>32</v>
      </c>
      <c r="U1536" s="25" t="s">
        <v>936</v>
      </c>
      <c r="V1536" s="25" t="s">
        <v>5413</v>
      </c>
      <c r="W1536" s="27" t="s">
        <v>5414</v>
      </c>
      <c r="X1536" s="28" t="s">
        <v>5415</v>
      </c>
      <c r="Y1536" s="28"/>
      <c r="Z1536" s="29" t="s">
        <v>37</v>
      </c>
    </row>
    <row r="1537" spans="1:26" ht="30" customHeight="1" thickBot="1" x14ac:dyDescent="0.25">
      <c r="A1537" s="17">
        <f t="shared" si="47"/>
        <v>1536</v>
      </c>
      <c r="B1537" s="18" t="s">
        <v>25</v>
      </c>
      <c r="C1537" s="19">
        <v>3410195171511</v>
      </c>
      <c r="D1537" s="19"/>
      <c r="E1537" s="20">
        <v>44247</v>
      </c>
      <c r="F1537" s="20">
        <v>47899</v>
      </c>
      <c r="G1537" s="21">
        <v>37592</v>
      </c>
      <c r="H1537" s="22">
        <f t="shared" ca="1" si="46"/>
        <v>23</v>
      </c>
      <c r="I1537" s="19" t="s">
        <v>26</v>
      </c>
      <c r="J1537" s="18" t="s">
        <v>27</v>
      </c>
      <c r="K1537" s="18"/>
      <c r="L1537" s="23" t="s">
        <v>5416</v>
      </c>
      <c r="M1537" s="23" t="s">
        <v>3949</v>
      </c>
      <c r="N1537" s="24" t="s">
        <v>1295</v>
      </c>
      <c r="O1537" s="18"/>
      <c r="P1537" s="24"/>
      <c r="Q1537" s="25">
        <v>45992</v>
      </c>
      <c r="R1537" s="13">
        <v>0</v>
      </c>
      <c r="S1537" s="26" t="str">
        <f>VLOOKUP(C1537,'[1]Bazaar Salary'!$B$6:$J$1193,9,0)</f>
        <v>01730010154070870019</v>
      </c>
      <c r="T1537" s="25" t="s">
        <v>32</v>
      </c>
      <c r="U1537" s="25" t="s">
        <v>936</v>
      </c>
      <c r="V1537" s="25" t="s">
        <v>3391</v>
      </c>
      <c r="W1537" s="27" t="s">
        <v>3950</v>
      </c>
      <c r="X1537" s="28" t="s">
        <v>5417</v>
      </c>
      <c r="Y1537" s="28"/>
      <c r="Z1537" s="29" t="s">
        <v>37</v>
      </c>
    </row>
    <row r="1538" spans="1:26" ht="30" customHeight="1" thickBot="1" x14ac:dyDescent="0.25">
      <c r="A1538" s="17">
        <f t="shared" si="47"/>
        <v>1537</v>
      </c>
      <c r="B1538" s="18" t="s">
        <v>25</v>
      </c>
      <c r="C1538" s="19">
        <v>3840325230097</v>
      </c>
      <c r="D1538" s="19"/>
      <c r="E1538" s="20">
        <v>45048</v>
      </c>
      <c r="F1538" s="20">
        <v>48701</v>
      </c>
      <c r="G1538" s="21">
        <v>32307</v>
      </c>
      <c r="H1538" s="22">
        <f t="shared" ref="H1538:H1601" ca="1" si="48">INT((TODAY()-G1538)/365)</f>
        <v>38</v>
      </c>
      <c r="I1538" s="19" t="s">
        <v>26</v>
      </c>
      <c r="J1538" s="18" t="s">
        <v>27</v>
      </c>
      <c r="K1538" s="18"/>
      <c r="L1538" s="23" t="s">
        <v>5418</v>
      </c>
      <c r="M1538" s="23" t="s">
        <v>5419</v>
      </c>
      <c r="N1538" s="24" t="s">
        <v>152</v>
      </c>
      <c r="O1538" s="18"/>
      <c r="P1538" s="24"/>
      <c r="Q1538" s="25">
        <v>46023</v>
      </c>
      <c r="R1538" s="13">
        <v>0</v>
      </c>
      <c r="S1538" s="26" t="str">
        <f>VLOOKUP(C1538,'[1]Bazaar Salary'!$B$6:$J$1193,9,0)</f>
        <v>10870010006912770025</v>
      </c>
      <c r="T1538" s="25" t="s">
        <v>32</v>
      </c>
      <c r="U1538" s="25" t="s">
        <v>936</v>
      </c>
      <c r="V1538" s="25" t="s">
        <v>5420</v>
      </c>
      <c r="W1538" s="27" t="s">
        <v>5421</v>
      </c>
      <c r="X1538" s="28" t="s">
        <v>5422</v>
      </c>
      <c r="Y1538" s="28"/>
      <c r="Z1538" s="29" t="s">
        <v>37</v>
      </c>
    </row>
    <row r="1539" spans="1:26" ht="30" customHeight="1" thickBot="1" x14ac:dyDescent="0.25">
      <c r="A1539" s="17">
        <f t="shared" si="47"/>
        <v>1538</v>
      </c>
      <c r="B1539" s="18" t="s">
        <v>25</v>
      </c>
      <c r="C1539" s="19">
        <v>3410447296649</v>
      </c>
      <c r="D1539" s="19"/>
      <c r="E1539" s="20">
        <v>45899</v>
      </c>
      <c r="F1539" s="20">
        <v>49551</v>
      </c>
      <c r="G1539" s="21">
        <v>39036</v>
      </c>
      <c r="H1539" s="22">
        <f t="shared" ca="1" si="48"/>
        <v>19</v>
      </c>
      <c r="I1539" s="19" t="s">
        <v>912</v>
      </c>
      <c r="J1539" s="18" t="s">
        <v>27</v>
      </c>
      <c r="K1539" s="18"/>
      <c r="L1539" s="23" t="s">
        <v>5423</v>
      </c>
      <c r="M1539" s="23" t="s">
        <v>5424</v>
      </c>
      <c r="N1539" s="23" t="s">
        <v>1488</v>
      </c>
      <c r="O1539" s="18"/>
      <c r="P1539" s="24"/>
      <c r="Q1539" s="25">
        <v>45992</v>
      </c>
      <c r="R1539" s="13">
        <v>0</v>
      </c>
      <c r="S1539" s="26" t="str">
        <f>VLOOKUP(C1539,'[1]Bazaar Salary'!$B$6:$J$1193,9,0)</f>
        <v>05650010156428100019</v>
      </c>
      <c r="T1539" s="25" t="s">
        <v>32</v>
      </c>
      <c r="U1539" s="25" t="s">
        <v>936</v>
      </c>
      <c r="V1539" s="25"/>
      <c r="W1539" s="27" t="s">
        <v>5425</v>
      </c>
      <c r="X1539" s="28" t="s">
        <v>972</v>
      </c>
      <c r="Y1539" s="28"/>
      <c r="Z1539" s="29" t="s">
        <v>37</v>
      </c>
    </row>
    <row r="1540" spans="1:26" ht="30" customHeight="1" thickBot="1" x14ac:dyDescent="0.25">
      <c r="A1540" s="17">
        <f t="shared" ref="A1540:A1548" si="49">A1539+1</f>
        <v>1539</v>
      </c>
      <c r="B1540" s="18" t="s">
        <v>25</v>
      </c>
      <c r="C1540" s="19">
        <v>3410411609451</v>
      </c>
      <c r="D1540" s="19"/>
      <c r="E1540" s="20">
        <v>44012</v>
      </c>
      <c r="F1540" s="20">
        <v>47664</v>
      </c>
      <c r="G1540" s="21">
        <v>33007</v>
      </c>
      <c r="H1540" s="22">
        <f t="shared" ca="1" si="48"/>
        <v>36</v>
      </c>
      <c r="I1540" s="19" t="s">
        <v>912</v>
      </c>
      <c r="J1540" s="18" t="s">
        <v>27</v>
      </c>
      <c r="K1540" s="18"/>
      <c r="L1540" s="23" t="s">
        <v>5426</v>
      </c>
      <c r="M1540" s="23" t="s">
        <v>1791</v>
      </c>
      <c r="N1540" s="23" t="s">
        <v>1488</v>
      </c>
      <c r="O1540" s="18"/>
      <c r="P1540" s="24"/>
      <c r="Q1540" s="25">
        <v>45992</v>
      </c>
      <c r="R1540" s="13">
        <v>0</v>
      </c>
      <c r="S1540" s="26" t="str">
        <f>VLOOKUP(C1540,'[1]Bazaar Salary'!$B$6:$J$1193,9,0)</f>
        <v>05650010156354050018</v>
      </c>
      <c r="T1540" s="25" t="s">
        <v>32</v>
      </c>
      <c r="U1540" s="25" t="s">
        <v>936</v>
      </c>
      <c r="V1540" s="25"/>
      <c r="W1540" s="27" t="s">
        <v>5427</v>
      </c>
      <c r="X1540" s="28" t="s">
        <v>972</v>
      </c>
      <c r="Y1540" s="28"/>
      <c r="Z1540" s="29" t="s">
        <v>37</v>
      </c>
    </row>
    <row r="1541" spans="1:26" ht="30" customHeight="1" thickBot="1" x14ac:dyDescent="0.25">
      <c r="A1541" s="17">
        <f t="shared" si="49"/>
        <v>1540</v>
      </c>
      <c r="B1541" s="18" t="s">
        <v>25</v>
      </c>
      <c r="C1541" s="19">
        <v>3410421722939</v>
      </c>
      <c r="D1541" s="19"/>
      <c r="E1541" s="20">
        <v>42423</v>
      </c>
      <c r="F1541" s="20">
        <v>46076</v>
      </c>
      <c r="G1541" s="21">
        <v>33239</v>
      </c>
      <c r="H1541" s="22">
        <f t="shared" ca="1" si="48"/>
        <v>35</v>
      </c>
      <c r="I1541" s="19" t="s">
        <v>912</v>
      </c>
      <c r="J1541" s="18" t="s">
        <v>27</v>
      </c>
      <c r="K1541" s="18"/>
      <c r="L1541" s="23" t="s">
        <v>5428</v>
      </c>
      <c r="M1541" s="23" t="s">
        <v>5429</v>
      </c>
      <c r="N1541" s="23" t="s">
        <v>1488</v>
      </c>
      <c r="O1541" s="18"/>
      <c r="P1541" s="24"/>
      <c r="Q1541" s="25">
        <v>45992</v>
      </c>
      <c r="R1541" s="13">
        <v>0</v>
      </c>
      <c r="S1541" s="26" t="str">
        <f>VLOOKUP(C1541,'[1]Bazaar Salary'!$B$6:$J$1193,9,0)</f>
        <v>05650010156354150010</v>
      </c>
      <c r="T1541" s="25" t="s">
        <v>32</v>
      </c>
      <c r="U1541" s="25" t="s">
        <v>936</v>
      </c>
      <c r="V1541" s="25"/>
      <c r="W1541" s="27" t="s">
        <v>5430</v>
      </c>
      <c r="X1541" s="28" t="s">
        <v>972</v>
      </c>
      <c r="Y1541" s="28"/>
      <c r="Z1541" s="29" t="s">
        <v>37</v>
      </c>
    </row>
    <row r="1542" spans="1:26" ht="30" customHeight="1" thickBot="1" x14ac:dyDescent="0.25">
      <c r="A1542" s="17">
        <f t="shared" si="49"/>
        <v>1541</v>
      </c>
      <c r="B1542" s="18" t="s">
        <v>25</v>
      </c>
      <c r="C1542" s="19">
        <v>3410499231481</v>
      </c>
      <c r="D1542" s="19">
        <v>1891</v>
      </c>
      <c r="E1542" s="20">
        <v>45539</v>
      </c>
      <c r="F1542" s="20">
        <v>49191</v>
      </c>
      <c r="G1542" s="21">
        <v>35126</v>
      </c>
      <c r="H1542" s="22">
        <f t="shared" ca="1" si="48"/>
        <v>30</v>
      </c>
      <c r="I1542" s="19" t="s">
        <v>26</v>
      </c>
      <c r="J1542" s="18" t="s">
        <v>27</v>
      </c>
      <c r="K1542" s="18"/>
      <c r="L1542" s="23" t="s">
        <v>413</v>
      </c>
      <c r="M1542" s="23" t="s">
        <v>5431</v>
      </c>
      <c r="N1542" s="23" t="s">
        <v>1499</v>
      </c>
      <c r="O1542" s="18"/>
      <c r="P1542" s="24"/>
      <c r="Q1542" s="25">
        <v>45992</v>
      </c>
      <c r="R1542" s="13">
        <v>0</v>
      </c>
      <c r="S1542" s="26" t="str">
        <f>VLOOKUP(C1542,'[1]Bazaar Salary'!$B$6:$J$1193,9,0)</f>
        <v>06200010145892660018</v>
      </c>
      <c r="T1542" s="25" t="s">
        <v>32</v>
      </c>
      <c r="U1542" s="25" t="s">
        <v>936</v>
      </c>
      <c r="V1542" s="25"/>
      <c r="W1542" s="27" t="s">
        <v>5432</v>
      </c>
      <c r="X1542" s="28" t="s">
        <v>5433</v>
      </c>
      <c r="Y1542" s="28"/>
      <c r="Z1542" s="29" t="s">
        <v>37</v>
      </c>
    </row>
    <row r="1543" spans="1:26" ht="30" customHeight="1" thickBot="1" x14ac:dyDescent="0.25">
      <c r="A1543" s="17">
        <f t="shared" si="49"/>
        <v>1542</v>
      </c>
      <c r="B1543" s="18" t="s">
        <v>25</v>
      </c>
      <c r="C1543" s="19">
        <v>3410385329937</v>
      </c>
      <c r="D1543" s="19"/>
      <c r="E1543" s="20">
        <v>45516</v>
      </c>
      <c r="F1543" s="20">
        <v>49168</v>
      </c>
      <c r="G1543" s="21">
        <v>38732</v>
      </c>
      <c r="H1543" s="22">
        <f t="shared" ca="1" si="48"/>
        <v>20</v>
      </c>
      <c r="I1543" s="19" t="s">
        <v>26</v>
      </c>
      <c r="J1543" s="18" t="s">
        <v>27</v>
      </c>
      <c r="K1543" s="18"/>
      <c r="L1543" s="23" t="s">
        <v>5434</v>
      </c>
      <c r="M1543" s="23" t="s">
        <v>695</v>
      </c>
      <c r="N1543" s="23" t="s">
        <v>1499</v>
      </c>
      <c r="O1543" s="18"/>
      <c r="P1543" s="24"/>
      <c r="Q1543" s="25">
        <v>45992</v>
      </c>
      <c r="R1543" s="13">
        <v>0</v>
      </c>
      <c r="S1543" s="26" t="str">
        <f>VLOOKUP(C1543,'[1]Bazaar Salary'!$B$6:$J$1193,9,0)</f>
        <v>02900010148210140012</v>
      </c>
      <c r="T1543" s="25" t="s">
        <v>32</v>
      </c>
      <c r="U1543" s="25" t="s">
        <v>936</v>
      </c>
      <c r="V1543" s="25"/>
      <c r="W1543" s="27" t="s">
        <v>4036</v>
      </c>
      <c r="X1543" s="28" t="s">
        <v>5435</v>
      </c>
      <c r="Y1543" s="28"/>
      <c r="Z1543" s="29" t="s">
        <v>37</v>
      </c>
    </row>
    <row r="1544" spans="1:26" ht="30" customHeight="1" thickBot="1" x14ac:dyDescent="0.25">
      <c r="A1544" s="17">
        <f t="shared" si="49"/>
        <v>1543</v>
      </c>
      <c r="B1544" s="18" t="s">
        <v>25</v>
      </c>
      <c r="C1544" s="19">
        <v>3520212302017</v>
      </c>
      <c r="D1544" s="19"/>
      <c r="E1544" s="20">
        <v>45480</v>
      </c>
      <c r="F1544" s="20">
        <v>49132</v>
      </c>
      <c r="G1544" s="21">
        <v>30316</v>
      </c>
      <c r="H1544" s="22">
        <f t="shared" ca="1" si="48"/>
        <v>43</v>
      </c>
      <c r="I1544" s="19" t="s">
        <v>26</v>
      </c>
      <c r="J1544" s="18" t="s">
        <v>27</v>
      </c>
      <c r="K1544" s="18"/>
      <c r="L1544" s="23" t="s">
        <v>5436</v>
      </c>
      <c r="M1544" s="23" t="s">
        <v>5437</v>
      </c>
      <c r="N1544" s="23" t="s">
        <v>1499</v>
      </c>
      <c r="O1544" s="18"/>
      <c r="P1544" s="24"/>
      <c r="Q1544" s="25">
        <v>45992</v>
      </c>
      <c r="R1544" s="13">
        <v>0</v>
      </c>
      <c r="S1544" s="26" t="str">
        <f>VLOOKUP(C1544,'[1]Bazaar Salary'!$B$6:$J$1193,9,0)</f>
        <v>07040010146489440011</v>
      </c>
      <c r="T1544" s="25" t="s">
        <v>32</v>
      </c>
      <c r="U1544" s="25" t="s">
        <v>936</v>
      </c>
      <c r="V1544" s="25"/>
      <c r="W1544" s="27" t="s">
        <v>5438</v>
      </c>
      <c r="X1544" s="28" t="s">
        <v>5439</v>
      </c>
      <c r="Y1544" s="28"/>
      <c r="Z1544" s="29" t="s">
        <v>37</v>
      </c>
    </row>
    <row r="1545" spans="1:26" ht="30" customHeight="1" thickBot="1" x14ac:dyDescent="0.25">
      <c r="A1545" s="17">
        <f t="shared" si="49"/>
        <v>1544</v>
      </c>
      <c r="B1545" s="18" t="s">
        <v>25</v>
      </c>
      <c r="C1545" s="19">
        <v>3410361708537</v>
      </c>
      <c r="D1545" s="19"/>
      <c r="E1545" s="20">
        <v>43878</v>
      </c>
      <c r="F1545" s="20">
        <v>47531</v>
      </c>
      <c r="G1545" s="21">
        <v>37036</v>
      </c>
      <c r="H1545" s="22">
        <f t="shared" ca="1" si="48"/>
        <v>25</v>
      </c>
      <c r="I1545" s="19" t="s">
        <v>26</v>
      </c>
      <c r="J1545" s="18" t="s">
        <v>27</v>
      </c>
      <c r="K1545" s="18"/>
      <c r="L1545" s="23" t="s">
        <v>5440</v>
      </c>
      <c r="M1545" s="23" t="s">
        <v>5441</v>
      </c>
      <c r="N1545" s="23" t="s">
        <v>1499</v>
      </c>
      <c r="O1545" s="18"/>
      <c r="P1545" s="24"/>
      <c r="Q1545" s="25">
        <v>45992</v>
      </c>
      <c r="R1545" s="13">
        <v>0</v>
      </c>
      <c r="S1545" s="26" t="str">
        <f>VLOOKUP(C1545,'[1]Bazaar Salary'!$B$6:$J$1193,9,0)</f>
        <v>02900010151028090010</v>
      </c>
      <c r="T1545" s="25" t="s">
        <v>32</v>
      </c>
      <c r="U1545" s="25" t="s">
        <v>936</v>
      </c>
      <c r="V1545" s="25"/>
      <c r="W1545" s="27" t="s">
        <v>4036</v>
      </c>
      <c r="X1545" s="28" t="s">
        <v>5442</v>
      </c>
      <c r="Y1545" s="28"/>
      <c r="Z1545" s="29" t="s">
        <v>37</v>
      </c>
    </row>
    <row r="1546" spans="1:26" ht="30" customHeight="1" thickBot="1" x14ac:dyDescent="0.25">
      <c r="A1546" s="17">
        <f t="shared" si="49"/>
        <v>1545</v>
      </c>
      <c r="B1546" s="18" t="s">
        <v>25</v>
      </c>
      <c r="C1546" s="19">
        <v>3410379585699</v>
      </c>
      <c r="D1546" s="19">
        <v>1884</v>
      </c>
      <c r="E1546" s="20">
        <v>44405</v>
      </c>
      <c r="F1546" s="20">
        <v>48057</v>
      </c>
      <c r="G1546" s="21">
        <v>37682</v>
      </c>
      <c r="H1546" s="22">
        <f t="shared" ca="1" si="48"/>
        <v>23</v>
      </c>
      <c r="I1546" s="19" t="s">
        <v>26</v>
      </c>
      <c r="J1546" s="18" t="s">
        <v>27</v>
      </c>
      <c r="K1546" s="18"/>
      <c r="L1546" s="23" t="s">
        <v>5443</v>
      </c>
      <c r="M1546" s="23" t="s">
        <v>2677</v>
      </c>
      <c r="N1546" s="23" t="s">
        <v>1499</v>
      </c>
      <c r="O1546" s="18"/>
      <c r="P1546" s="24"/>
      <c r="Q1546" s="25">
        <v>45992</v>
      </c>
      <c r="R1546" s="13">
        <v>0</v>
      </c>
      <c r="S1546" s="26" t="str">
        <f>VLOOKUP(C1546,'[1]Bazaar Salary'!$B$6:$J$1193,9,0)</f>
        <v>07940010146213480013</v>
      </c>
      <c r="T1546" s="25" t="s">
        <v>32</v>
      </c>
      <c r="U1546" s="25" t="s">
        <v>936</v>
      </c>
      <c r="V1546" s="25"/>
      <c r="W1546" s="27" t="s">
        <v>4036</v>
      </c>
      <c r="X1546" s="28" t="s">
        <v>5444</v>
      </c>
      <c r="Y1546" s="28"/>
      <c r="Z1546" s="29" t="s">
        <v>37</v>
      </c>
    </row>
    <row r="1547" spans="1:26" ht="30" customHeight="1" thickBot="1" x14ac:dyDescent="0.25">
      <c r="A1547" s="17">
        <f t="shared" si="49"/>
        <v>1546</v>
      </c>
      <c r="B1547" s="18" t="s">
        <v>25</v>
      </c>
      <c r="C1547" s="19">
        <v>3430109344857</v>
      </c>
      <c r="D1547" s="19"/>
      <c r="E1547" s="20">
        <v>42401</v>
      </c>
      <c r="F1547" s="20">
        <v>46054</v>
      </c>
      <c r="G1547" s="21">
        <v>31024</v>
      </c>
      <c r="H1547" s="22">
        <f t="shared" ca="1" si="48"/>
        <v>41</v>
      </c>
      <c r="I1547" s="19" t="s">
        <v>26</v>
      </c>
      <c r="J1547" s="18" t="s">
        <v>27</v>
      </c>
      <c r="K1547" s="18"/>
      <c r="L1547" s="23" t="s">
        <v>1032</v>
      </c>
      <c r="M1547" s="23" t="s">
        <v>5445</v>
      </c>
      <c r="N1547" s="23" t="s">
        <v>1499</v>
      </c>
      <c r="O1547" s="18"/>
      <c r="P1547" s="24"/>
      <c r="Q1547" s="25">
        <v>46070</v>
      </c>
      <c r="R1547" s="13">
        <v>0</v>
      </c>
      <c r="S1547" s="26" t="str">
        <f>VLOOKUP(C1547,'[4]Daily Wages '!$B$6:$G$197,6,0)</f>
        <v>05650010160289940014</v>
      </c>
      <c r="T1547" s="25" t="s">
        <v>32</v>
      </c>
      <c r="U1547" s="25" t="s">
        <v>936</v>
      </c>
      <c r="V1547" s="25"/>
      <c r="W1547" s="27" t="s">
        <v>5446</v>
      </c>
      <c r="X1547" s="28" t="s">
        <v>5447</v>
      </c>
      <c r="Y1547" s="28"/>
      <c r="Z1547" s="29" t="s">
        <v>3390</v>
      </c>
    </row>
    <row r="1548" spans="1:26" ht="30" customHeight="1" thickBot="1" x14ac:dyDescent="0.25">
      <c r="A1548" s="47">
        <f t="shared" si="49"/>
        <v>1547</v>
      </c>
      <c r="B1548" s="48" t="s">
        <v>25</v>
      </c>
      <c r="C1548" s="49">
        <v>3410115721873</v>
      </c>
      <c r="D1548" s="49"/>
      <c r="E1548" s="50">
        <v>42956</v>
      </c>
      <c r="F1548" s="50">
        <v>46608</v>
      </c>
      <c r="G1548" s="51">
        <v>32509</v>
      </c>
      <c r="H1548" s="52">
        <f t="shared" ca="1" si="48"/>
        <v>37</v>
      </c>
      <c r="I1548" s="49" t="s">
        <v>26</v>
      </c>
      <c r="J1548" s="48" t="s">
        <v>27</v>
      </c>
      <c r="K1548" s="48"/>
      <c r="L1548" s="53" t="s">
        <v>5448</v>
      </c>
      <c r="M1548" s="53" t="s">
        <v>5449</v>
      </c>
      <c r="N1548" s="53" t="s">
        <v>1499</v>
      </c>
      <c r="O1548" s="48"/>
      <c r="P1548" s="54"/>
      <c r="Q1548" s="55">
        <v>46115</v>
      </c>
      <c r="R1548" s="13">
        <v>0</v>
      </c>
      <c r="S1548" s="56" t="str">
        <f>VLOOKUP(C1548,'[4]Daily Wages '!$B$6:$G$197,6,0)</f>
        <v>05650010162691950012</v>
      </c>
      <c r="T1548" s="55" t="s">
        <v>32</v>
      </c>
      <c r="U1548" s="55" t="s">
        <v>936</v>
      </c>
      <c r="V1548" s="55"/>
      <c r="W1548" s="57" t="s">
        <v>5450</v>
      </c>
      <c r="X1548" s="58" t="s">
        <v>5451</v>
      </c>
      <c r="Y1548" s="58"/>
      <c r="Z1548" s="59" t="s">
        <v>3390</v>
      </c>
    </row>
  </sheetData>
  <autoFilter ref="A1:Z1548" xr:uid="{C491F1C5-1BF3-4B7A-A845-43F3A1A5C8C7}"/>
  <conditionalFormatting sqref="A1:B1">
    <cfRule type="duplicateValues" dxfId="46" priority="9"/>
  </conditionalFormatting>
  <conditionalFormatting sqref="C1 C1549:C1048576">
    <cfRule type="duplicateValues" dxfId="45" priority="46"/>
    <cfRule type="duplicateValues" dxfId="44" priority="47"/>
  </conditionalFormatting>
  <conditionalFormatting sqref="C1">
    <cfRule type="duplicateValues" dxfId="43" priority="24"/>
    <cfRule type="duplicateValues" dxfId="42" priority="23"/>
    <cfRule type="duplicateValues" dxfId="41" priority="28"/>
    <cfRule type="duplicateValues" dxfId="40" priority="27"/>
    <cfRule type="duplicateValues" dxfId="39" priority="26"/>
    <cfRule type="duplicateValues" dxfId="38" priority="25"/>
    <cfRule type="duplicateValues" dxfId="37" priority="18"/>
    <cfRule type="duplicateValues" dxfId="36" priority="19"/>
    <cfRule type="duplicateValues" dxfId="35" priority="20"/>
    <cfRule type="duplicateValues" dxfId="34" priority="21"/>
    <cfRule type="duplicateValues" dxfId="33" priority="22"/>
  </conditionalFormatting>
  <conditionalFormatting sqref="C1549:C1048576 C1">
    <cfRule type="duplicateValues" dxfId="32" priority="37"/>
    <cfRule type="duplicateValues" dxfId="31" priority="36"/>
    <cfRule type="duplicateValues" dxfId="30" priority="35"/>
    <cfRule type="duplicateValues" dxfId="29" priority="34"/>
    <cfRule type="duplicateValues" dxfId="28" priority="33"/>
    <cfRule type="duplicateValues" dxfId="27" priority="32"/>
    <cfRule type="duplicateValues" dxfId="26" priority="31"/>
    <cfRule type="duplicateValues" dxfId="25" priority="30"/>
  </conditionalFormatting>
  <conditionalFormatting sqref="C1:D1">
    <cfRule type="duplicateValues" dxfId="24" priority="40"/>
    <cfRule type="duplicateValues" dxfId="23" priority="41"/>
    <cfRule type="duplicateValues" dxfId="22" priority="17"/>
    <cfRule type="duplicateValues" dxfId="21" priority="14"/>
    <cfRule type="duplicateValues" dxfId="20" priority="13"/>
    <cfRule type="duplicateValues" dxfId="19" priority="42"/>
    <cfRule type="duplicateValues" dxfId="18" priority="43"/>
    <cfRule type="duplicateValues" dxfId="17" priority="44"/>
    <cfRule type="duplicateValues" dxfId="16" priority="45"/>
    <cfRule type="duplicateValues" dxfId="15" priority="38"/>
    <cfRule type="duplicateValues" dxfId="14" priority="39"/>
  </conditionalFormatting>
  <conditionalFormatting sqref="D1">
    <cfRule type="duplicateValues" dxfId="13" priority="16"/>
    <cfRule type="duplicateValues" dxfId="12" priority="15"/>
    <cfRule type="duplicateValues" dxfId="11" priority="12"/>
    <cfRule type="duplicateValues" dxfId="10" priority="11"/>
    <cfRule type="duplicateValues" dxfId="9" priority="10"/>
  </conditionalFormatting>
  <conditionalFormatting sqref="M1 M1549:M1048576">
    <cfRule type="duplicateValues" dxfId="8" priority="29"/>
  </conditionalFormatting>
  <conditionalFormatting sqref="W1">
    <cfRule type="duplicateValues" dxfId="7" priority="1"/>
  </conditionalFormatting>
  <conditionalFormatting sqref="W1549:W1048576 W1">
    <cfRule type="duplicateValues" dxfId="6" priority="2"/>
  </conditionalFormatting>
  <conditionalFormatting sqref="W1:Y1">
    <cfRule type="duplicateValues" dxfId="5" priority="4"/>
    <cfRule type="duplicateValues" dxfId="4" priority="5"/>
  </conditionalFormatting>
  <conditionalFormatting sqref="W1549:Y1048576 W1:Y1">
    <cfRule type="duplicateValues" dxfId="3" priority="8"/>
  </conditionalFormatting>
  <conditionalFormatting sqref="X1:Y1 X1549:Y1048576">
    <cfRule type="duplicateValues" dxfId="2" priority="7"/>
  </conditionalFormatting>
  <conditionalFormatting sqref="X1:Y1">
    <cfRule type="duplicateValues" dxfId="1" priority="3"/>
    <cfRule type="duplicateValues" dxfId="0" priority="6"/>
  </conditionalFormatting>
  <printOptions horizontalCentered="1"/>
  <pageMargins left="0.2" right="0.2" top="0.25" bottom="0.2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for HR Software</vt:lpstr>
      <vt:lpstr>'Data for HR Software'!Print_Area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Department</dc:creator>
  <cp:lastModifiedBy>Muhammad Ali Hassan</cp:lastModifiedBy>
  <dcterms:created xsi:type="dcterms:W3CDTF">2026-06-12T14:56:22Z</dcterms:created>
  <dcterms:modified xsi:type="dcterms:W3CDTF">2026-06-13T08:04:39Z</dcterms:modified>
</cp:coreProperties>
</file>